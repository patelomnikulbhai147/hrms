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10245"/>
  </bookViews>
  <sheets>
    <sheet name="AHMEDABAD" sheetId="13" r:id="rId1"/>
    <sheet name="BHAVNAGAR" sheetId="6" r:id="rId2"/>
    <sheet name="RAJKOT" sheetId="7" r:id="rId3"/>
    <sheet name="SIDDHPUR" sheetId="8" r:id="rId4"/>
    <sheet name="Sheet1" sheetId="14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AHMEDABAD!$A$2:$AL$746</definedName>
    <definedName name="_xlnm._FilterDatabase" localSheetId="1" hidden="1">BHAVNAGAR!$A$3:$AL$18</definedName>
    <definedName name="_xlnm._FilterDatabase" localSheetId="2" hidden="1">RAJKOT!$A$3:$AL$19</definedName>
    <definedName name="_xlnm._FilterDatabase" localSheetId="3" hidden="1">SIDDHPUR!$A$3:$AL$19</definedName>
  </definedNames>
  <calcPr calcId="124519"/>
</workbook>
</file>

<file path=xl/calcChain.xml><?xml version="1.0" encoding="utf-8"?>
<calcChain xmlns="http://schemas.openxmlformats.org/spreadsheetml/2006/main">
  <c r="A782" i="13"/>
  <c r="A781"/>
  <c r="A780"/>
  <c r="A779"/>
  <c r="A778"/>
  <c r="A777"/>
  <c r="A776"/>
  <c r="A775"/>
  <c r="A774"/>
  <c r="A773"/>
  <c r="A772"/>
  <c r="A771"/>
  <c r="A770"/>
  <c r="S358"/>
  <c r="S357"/>
  <c r="S356"/>
  <c r="S355"/>
  <c r="S364"/>
  <c r="A355"/>
  <c r="A769"/>
  <c r="A768"/>
  <c r="A767" l="1"/>
  <c r="A766"/>
  <c r="A765"/>
  <c r="A764"/>
  <c r="A763"/>
  <c r="A762"/>
  <c r="A761"/>
  <c r="A760"/>
  <c r="A759"/>
  <c r="A758"/>
  <c r="A757"/>
  <c r="A756"/>
  <c r="A755"/>
  <c r="A754"/>
  <c r="A753"/>
  <c r="A752"/>
  <c r="A751"/>
  <c r="A750"/>
  <c r="A749"/>
  <c r="A748"/>
  <c r="A747"/>
  <c r="A746"/>
  <c r="A745"/>
  <c r="A744"/>
  <c r="A743"/>
  <c r="A742"/>
  <c r="A741"/>
  <c r="A740"/>
  <c r="A739"/>
  <c r="A738"/>
  <c r="A737"/>
  <c r="A736"/>
  <c r="A735"/>
  <c r="A734"/>
  <c r="A733"/>
  <c r="A732"/>
  <c r="A731"/>
  <c r="A730"/>
  <c r="A729"/>
  <c r="A728"/>
  <c r="A727"/>
  <c r="A726"/>
  <c r="A725"/>
  <c r="A724"/>
  <c r="A723"/>
  <c r="A722"/>
  <c r="A721"/>
  <c r="A720"/>
  <c r="A719"/>
  <c r="A718"/>
  <c r="A717"/>
  <c r="A716"/>
  <c r="A715"/>
  <c r="A714"/>
  <c r="A713"/>
  <c r="A712"/>
  <c r="A711"/>
  <c r="A710"/>
  <c r="A709"/>
  <c r="A708"/>
  <c r="A707"/>
  <c r="A706"/>
  <c r="A705"/>
  <c r="A704"/>
  <c r="A703"/>
  <c r="A702"/>
  <c r="A701"/>
  <c r="A700"/>
  <c r="A699"/>
  <c r="A698"/>
  <c r="A697"/>
  <c r="A696"/>
  <c r="A695"/>
  <c r="A694"/>
  <c r="A693"/>
  <c r="A692"/>
  <c r="A691"/>
  <c r="A690"/>
  <c r="A689"/>
  <c r="A688"/>
  <c r="A687"/>
  <c r="A686"/>
  <c r="A685" l="1"/>
  <c r="A684"/>
  <c r="A683"/>
  <c r="A682"/>
  <c r="A681"/>
  <c r="A680"/>
  <c r="A679"/>
  <c r="A678"/>
  <c r="A677"/>
  <c r="A676"/>
  <c r="A675"/>
  <c r="A674"/>
  <c r="A673"/>
  <c r="A672"/>
  <c r="A671"/>
  <c r="A670"/>
  <c r="A669"/>
  <c r="A668"/>
  <c r="A667"/>
  <c r="A666"/>
  <c r="A665"/>
  <c r="A664"/>
  <c r="A663"/>
  <c r="A662"/>
  <c r="A661"/>
  <c r="A660"/>
  <c r="A659"/>
  <c r="A658" l="1"/>
  <c r="A657"/>
  <c r="A656"/>
  <c r="A655"/>
  <c r="A654"/>
  <c r="A653"/>
  <c r="A652"/>
  <c r="A651"/>
  <c r="A650"/>
  <c r="A649"/>
  <c r="A648"/>
  <c r="A647"/>
  <c r="A646"/>
  <c r="A645"/>
  <c r="A644"/>
  <c r="A643"/>
  <c r="A642"/>
  <c r="A641"/>
  <c r="A640"/>
  <c r="A639"/>
  <c r="A638"/>
  <c r="A637"/>
  <c r="A636"/>
  <c r="A635"/>
  <c r="A634"/>
  <c r="AN268"/>
  <c r="AN10"/>
  <c r="AN74"/>
  <c r="A633"/>
  <c r="A632"/>
  <c r="A631"/>
  <c r="A630"/>
  <c r="A629"/>
  <c r="A628"/>
  <c r="A627"/>
  <c r="A626"/>
  <c r="A625"/>
  <c r="A624"/>
  <c r="A623"/>
  <c r="A622"/>
  <c r="A621"/>
  <c r="A620"/>
  <c r="A619"/>
  <c r="A618"/>
  <c r="A617"/>
  <c r="A616"/>
  <c r="A615"/>
  <c r="A614"/>
  <c r="A613"/>
  <c r="A612"/>
  <c r="A611"/>
  <c r="A610"/>
  <c r="A609"/>
  <c r="A608"/>
  <c r="A607"/>
  <c r="A606"/>
  <c r="A605"/>
  <c r="A604"/>
  <c r="A603"/>
  <c r="A602"/>
  <c r="A601"/>
  <c r="A600"/>
  <c r="A599"/>
  <c r="A598"/>
  <c r="A597"/>
  <c r="A596"/>
  <c r="A595"/>
  <c r="A594"/>
  <c r="A593"/>
  <c r="A592"/>
  <c r="A591"/>
  <c r="A590"/>
  <c r="A589"/>
  <c r="A588"/>
  <c r="A587"/>
  <c r="A586"/>
  <c r="A585"/>
  <c r="A584"/>
  <c r="A583"/>
  <c r="A582"/>
  <c r="A581"/>
  <c r="A580"/>
  <c r="A579"/>
  <c r="A578"/>
  <c r="A577"/>
  <c r="A576"/>
  <c r="A575"/>
  <c r="A574"/>
  <c r="A573"/>
  <c r="A572"/>
  <c r="A571"/>
  <c r="A570"/>
  <c r="A569"/>
  <c r="A568"/>
  <c r="A567"/>
  <c r="A566"/>
  <c r="A565"/>
  <c r="A564"/>
  <c r="A563"/>
  <c r="A562"/>
  <c r="A561"/>
  <c r="A560"/>
  <c r="A559"/>
  <c r="A558"/>
  <c r="A557"/>
  <c r="A556"/>
  <c r="A555"/>
  <c r="T521"/>
  <c r="T520"/>
  <c r="T519"/>
  <c r="T518"/>
  <c r="T515"/>
  <c r="T513"/>
  <c r="T512"/>
  <c r="T511"/>
  <c r="T510"/>
  <c r="T509"/>
  <c r="T508"/>
  <c r="T507"/>
  <c r="T506"/>
  <c r="T505"/>
  <c r="T504"/>
  <c r="S521" l="1"/>
  <c r="S520"/>
  <c r="S519"/>
  <c r="S518"/>
  <c r="S515"/>
  <c r="S513"/>
  <c r="S512"/>
  <c r="S511"/>
  <c r="S510"/>
  <c r="S509"/>
  <c r="S508"/>
  <c r="S507"/>
  <c r="S506"/>
  <c r="S505"/>
  <c r="S504"/>
  <c r="S502"/>
  <c r="S501"/>
  <c r="S498"/>
  <c r="S494"/>
  <c r="S492"/>
  <c r="S491"/>
  <c r="S490"/>
  <c r="S487"/>
  <c r="S484"/>
  <c r="S483"/>
  <c r="S480"/>
  <c r="S479"/>
  <c r="S477"/>
  <c r="S476"/>
  <c r="S475"/>
  <c r="S471"/>
  <c r="S470"/>
  <c r="S469"/>
  <c r="S468"/>
  <c r="S467"/>
  <c r="S465"/>
  <c r="S464"/>
  <c r="S463"/>
  <c r="S462"/>
  <c r="S460"/>
  <c r="S459"/>
  <c r="S458"/>
  <c r="S457"/>
  <c r="S456"/>
  <c r="S455"/>
  <c r="S454"/>
  <c r="S453"/>
  <c r="S452"/>
  <c r="S451"/>
  <c r="S450"/>
  <c r="S449"/>
  <c r="S448"/>
  <c r="S445"/>
  <c r="S442"/>
  <c r="S441"/>
  <c r="S440"/>
  <c r="S439"/>
  <c r="S438"/>
  <c r="S436"/>
  <c r="S435"/>
  <c r="S434"/>
  <c r="S429"/>
  <c r="S428"/>
  <c r="S427"/>
  <c r="S406"/>
  <c r="S405"/>
  <c r="S404"/>
  <c r="S403"/>
  <c r="S401"/>
  <c r="S399"/>
  <c r="S397"/>
  <c r="S396"/>
  <c r="S395"/>
  <c r="S394"/>
  <c r="S393"/>
  <c r="S390"/>
  <c r="S389"/>
  <c r="S388"/>
  <c r="S386"/>
  <c r="S383"/>
  <c r="S382"/>
  <c r="S377"/>
  <c r="S373"/>
  <c r="S372"/>
  <c r="S369"/>
  <c r="S368"/>
  <c r="S367"/>
  <c r="S363"/>
  <c r="S362"/>
  <c r="S361"/>
  <c r="S360"/>
  <c r="S359"/>
  <c r="S354"/>
  <c r="S350"/>
  <c r="S349"/>
  <c r="S348"/>
  <c r="S347"/>
  <c r="S338"/>
  <c r="S332"/>
  <c r="S331"/>
  <c r="S330"/>
  <c r="S304"/>
  <c r="S97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S516" l="1"/>
  <c r="S514"/>
  <c r="S499"/>
  <c r="S497"/>
  <c r="S496"/>
  <c r="S485"/>
  <c r="S481"/>
  <c r="S478"/>
  <c r="S474"/>
  <c r="S432"/>
  <c r="S431"/>
  <c r="S430"/>
  <c r="S421"/>
  <c r="S419"/>
  <c r="S417"/>
  <c r="S416"/>
  <c r="S415"/>
  <c r="S414"/>
  <c r="S409"/>
  <c r="S408"/>
  <c r="S407"/>
  <c r="S402"/>
  <c r="S398"/>
  <c r="S391"/>
  <c r="S387"/>
  <c r="S381"/>
  <c r="S380"/>
  <c r="S379"/>
  <c r="S378"/>
  <c r="S376"/>
  <c r="S375"/>
  <c r="S371"/>
  <c r="S370"/>
  <c r="S366"/>
  <c r="S365"/>
  <c r="S353"/>
  <c r="S352"/>
  <c r="S351"/>
  <c r="S346"/>
  <c r="S344"/>
  <c r="S343"/>
  <c r="S340"/>
  <c r="S339"/>
  <c r="S334"/>
  <c r="S328"/>
  <c r="S327"/>
  <c r="S326"/>
  <c r="S325"/>
  <c r="S323"/>
  <c r="S322"/>
  <c r="S321"/>
  <c r="S320"/>
  <c r="S319"/>
  <c r="S318"/>
  <c r="S316"/>
  <c r="S315"/>
  <c r="S314"/>
  <c r="S305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1"/>
  <c r="S232"/>
  <c r="S535" l="1"/>
  <c r="S528"/>
  <c r="S517"/>
  <c r="S503"/>
  <c r="S500"/>
  <c r="S495"/>
  <c r="S493"/>
  <c r="S489"/>
  <c r="S488"/>
  <c r="S486"/>
  <c r="S482"/>
  <c r="S473"/>
  <c r="S472"/>
  <c r="S466"/>
  <c r="S461"/>
  <c r="S447"/>
  <c r="S446"/>
  <c r="S444"/>
  <c r="S443"/>
  <c r="S437"/>
  <c r="S433"/>
  <c r="S426"/>
  <c r="S425"/>
  <c r="S424"/>
  <c r="S423"/>
  <c r="S422"/>
  <c r="S420"/>
  <c r="S418"/>
  <c r="S413"/>
  <c r="S412"/>
  <c r="S411"/>
  <c r="S410"/>
  <c r="S400"/>
  <c r="S392"/>
  <c r="S385"/>
  <c r="S384"/>
  <c r="S374"/>
  <c r="S345"/>
  <c r="S342"/>
  <c r="S341"/>
  <c r="S337"/>
  <c r="S336"/>
  <c r="S335"/>
  <c r="S333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87"/>
  <c r="A547" l="1"/>
  <c r="A550" l="1"/>
  <c r="A551"/>
  <c r="A552"/>
  <c r="A553"/>
  <c r="A554"/>
  <c r="A549"/>
  <c r="A548"/>
  <c r="A546"/>
  <c r="A545"/>
  <c r="A544"/>
  <c r="A543"/>
  <c r="A542"/>
  <c r="A541"/>
  <c r="A540"/>
  <c r="A539" l="1"/>
  <c r="A538"/>
  <c r="A537"/>
  <c r="A536"/>
  <c r="A535"/>
  <c r="A534"/>
  <c r="A533"/>
  <c r="A532"/>
  <c r="A531"/>
  <c r="A530"/>
  <c r="A529"/>
  <c r="A528"/>
  <c r="A527"/>
  <c r="A526"/>
  <c r="A525"/>
  <c r="A524"/>
  <c r="A523"/>
  <c r="A522"/>
  <c r="A521"/>
  <c r="A520"/>
  <c r="A519"/>
  <c r="A518"/>
  <c r="A517"/>
  <c r="A516"/>
  <c r="A515"/>
  <c r="A514"/>
  <c r="A513"/>
  <c r="A512"/>
  <c r="A511"/>
  <c r="A510"/>
  <c r="A509"/>
  <c r="A508"/>
  <c r="A507"/>
  <c r="A506"/>
  <c r="A505"/>
  <c r="A504"/>
  <c r="A503"/>
  <c r="A502"/>
  <c r="A501"/>
  <c r="A500"/>
  <c r="A499"/>
  <c r="A498" l="1"/>
  <c r="A497"/>
  <c r="A496"/>
  <c r="A495"/>
  <c r="A494"/>
  <c r="A493"/>
  <c r="A492"/>
  <c r="A491"/>
  <c r="A490"/>
  <c r="A489"/>
  <c r="A488"/>
  <c r="A487"/>
  <c r="A486"/>
  <c r="A485"/>
  <c r="A484"/>
  <c r="A483"/>
  <c r="A482"/>
  <c r="A481"/>
  <c r="A480"/>
  <c r="A479"/>
  <c r="A478"/>
  <c r="A477"/>
  <c r="A476"/>
  <c r="A475"/>
  <c r="A474"/>
  <c r="A473"/>
  <c r="A472"/>
  <c r="A471"/>
  <c r="A470"/>
  <c r="A469"/>
  <c r="A468"/>
  <c r="A467"/>
  <c r="A466"/>
  <c r="A465"/>
  <c r="A464"/>
  <c r="A463"/>
  <c r="A462"/>
  <c r="A461"/>
  <c r="A460"/>
  <c r="A459"/>
  <c r="A458"/>
  <c r="A457"/>
  <c r="A456"/>
  <c r="A455"/>
  <c r="A454"/>
  <c r="T453"/>
  <c r="A453"/>
  <c r="T452"/>
  <c r="A452"/>
  <c r="T451"/>
  <c r="A451"/>
  <c r="T450"/>
  <c r="A450"/>
  <c r="T449"/>
  <c r="A449"/>
  <c r="T448"/>
  <c r="A448"/>
  <c r="T447"/>
  <c r="A447"/>
  <c r="T446"/>
  <c r="A446"/>
  <c r="T445"/>
  <c r="A445"/>
  <c r="V444"/>
  <c r="T444"/>
  <c r="A444"/>
  <c r="V443"/>
  <c r="T443"/>
  <c r="A443"/>
  <c r="V442"/>
  <c r="T442"/>
  <c r="A442"/>
  <c r="V441"/>
  <c r="T441"/>
  <c r="A441"/>
  <c r="V440"/>
  <c r="T440"/>
  <c r="A440"/>
  <c r="V439"/>
  <c r="T439"/>
  <c r="A439"/>
  <c r="V438"/>
  <c r="T438"/>
  <c r="A438"/>
  <c r="V437"/>
  <c r="T437"/>
  <c r="A437"/>
  <c r="V436"/>
  <c r="T436"/>
  <c r="A436"/>
  <c r="V435"/>
  <c r="A435"/>
  <c r="V434"/>
  <c r="T434"/>
  <c r="A434"/>
  <c r="V433"/>
  <c r="T433"/>
  <c r="A433"/>
  <c r="V432"/>
  <c r="T432"/>
  <c r="A432"/>
  <c r="V431"/>
  <c r="T431"/>
  <c r="A431"/>
  <c r="A430"/>
  <c r="A429"/>
  <c r="A428"/>
  <c r="A427"/>
  <c r="A426"/>
  <c r="A425"/>
  <c r="A424"/>
  <c r="V423"/>
  <c r="T423"/>
  <c r="A423"/>
  <c r="V422"/>
  <c r="T422"/>
  <c r="A422"/>
  <c r="V421"/>
  <c r="T421"/>
  <c r="A421"/>
  <c r="V420"/>
  <c r="T420"/>
  <c r="A420"/>
  <c r="V419"/>
  <c r="T419"/>
  <c r="A419"/>
  <c r="V418"/>
  <c r="T418"/>
  <c r="A418"/>
  <c r="V417"/>
  <c r="T417"/>
  <c r="A417"/>
  <c r="V416"/>
  <c r="T416"/>
  <c r="A416"/>
  <c r="V415"/>
  <c r="T415"/>
  <c r="A415"/>
  <c r="V414"/>
  <c r="T414"/>
  <c r="A414"/>
  <c r="V413"/>
  <c r="T413"/>
  <c r="A413"/>
  <c r="V412"/>
  <c r="T412"/>
  <c r="A412"/>
  <c r="V411"/>
  <c r="T411"/>
  <c r="A411"/>
  <c r="V410"/>
  <c r="T410"/>
  <c r="A410"/>
  <c r="V409"/>
  <c r="T409"/>
  <c r="A409"/>
  <c r="V408"/>
  <c r="T408"/>
  <c r="A408"/>
  <c r="T407"/>
  <c r="A407"/>
  <c r="T406"/>
  <c r="A406"/>
  <c r="T405"/>
  <c r="A405"/>
  <c r="T404"/>
  <c r="A404"/>
  <c r="T403"/>
  <c r="A403"/>
  <c r="T402"/>
  <c r="A402"/>
  <c r="T401"/>
  <c r="A401"/>
  <c r="T400"/>
  <c r="A400"/>
  <c r="T399"/>
  <c r="A399"/>
  <c r="T398"/>
  <c r="A398"/>
  <c r="A397"/>
  <c r="T396"/>
  <c r="A396"/>
  <c r="T395"/>
  <c r="A395"/>
  <c r="T394"/>
  <c r="A394"/>
  <c r="T393"/>
  <c r="A393"/>
  <c r="T392"/>
  <c r="A392"/>
  <c r="T391"/>
  <c r="A391"/>
  <c r="T390"/>
  <c r="A390"/>
  <c r="T389"/>
  <c r="A389"/>
  <c r="T388"/>
  <c r="A388"/>
  <c r="V387"/>
  <c r="T387"/>
  <c r="A387"/>
  <c r="T386"/>
  <c r="A386"/>
  <c r="T385"/>
  <c r="A385"/>
  <c r="T384"/>
  <c r="A384"/>
  <c r="T383"/>
  <c r="A383"/>
  <c r="T382"/>
  <c r="A382"/>
  <c r="T381"/>
  <c r="A381"/>
  <c r="T380"/>
  <c r="A380"/>
  <c r="A379"/>
  <c r="T378"/>
  <c r="A378"/>
  <c r="T377"/>
  <c r="A377"/>
  <c r="T376"/>
  <c r="A376"/>
  <c r="T375"/>
  <c r="A375"/>
  <c r="T374"/>
  <c r="A374"/>
  <c r="T373"/>
  <c r="A373"/>
  <c r="T372"/>
  <c r="A372"/>
  <c r="T371"/>
  <c r="A371"/>
  <c r="T370"/>
  <c r="A370"/>
  <c r="T369"/>
  <c r="A369"/>
  <c r="T368"/>
  <c r="A368"/>
  <c r="T367"/>
  <c r="A367"/>
  <c r="T366"/>
  <c r="A366"/>
  <c r="T365"/>
  <c r="A365"/>
  <c r="V364"/>
  <c r="T364"/>
  <c r="A364"/>
  <c r="V363"/>
  <c r="T363"/>
  <c r="A363"/>
  <c r="V362"/>
  <c r="T362"/>
  <c r="A362"/>
  <c r="V361"/>
  <c r="T361"/>
  <c r="A361"/>
  <c r="V360"/>
  <c r="T360"/>
  <c r="A360"/>
  <c r="V359"/>
  <c r="T359"/>
  <c r="A359"/>
  <c r="V358"/>
  <c r="T358"/>
  <c r="A358"/>
  <c r="V357"/>
  <c r="T357"/>
  <c r="A357"/>
  <c r="A356"/>
  <c r="V354"/>
  <c r="T354"/>
  <c r="A354"/>
  <c r="V353"/>
  <c r="T353"/>
  <c r="A353"/>
  <c r="T352"/>
  <c r="A352"/>
  <c r="V351"/>
  <c r="T351"/>
  <c r="A351"/>
  <c r="T350"/>
  <c r="A350"/>
  <c r="T349"/>
  <c r="A349"/>
  <c r="T348"/>
  <c r="A348"/>
  <c r="T347"/>
  <c r="A347"/>
  <c r="T346"/>
  <c r="A346"/>
  <c r="V345"/>
  <c r="T345"/>
  <c r="A345"/>
  <c r="V344"/>
  <c r="T344"/>
  <c r="A344"/>
  <c r="T343"/>
  <c r="A343"/>
  <c r="T342"/>
  <c r="A342"/>
  <c r="T341"/>
  <c r="A341"/>
  <c r="T340"/>
  <c r="A340"/>
  <c r="V339"/>
  <c r="T339"/>
  <c r="A339"/>
  <c r="T338"/>
  <c r="A338"/>
  <c r="V337"/>
  <c r="T337"/>
  <c r="A337"/>
  <c r="T336"/>
  <c r="A336"/>
  <c r="V335"/>
  <c r="T335"/>
  <c r="A335"/>
  <c r="T334"/>
  <c r="A334"/>
  <c r="V333"/>
  <c r="T333"/>
  <c r="A333"/>
  <c r="A332"/>
  <c r="T331"/>
  <c r="A331"/>
  <c r="T330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<sst xmlns="http://schemas.openxmlformats.org/spreadsheetml/2006/main" count="20584" uniqueCount="9361">
  <si>
    <t xml:space="preserve">SR. NO. </t>
  </si>
  <si>
    <t>FULL NAME OF EMPLOYEE</t>
  </si>
  <si>
    <t>NAME AS PER AADHAR</t>
  </si>
  <si>
    <t>SURNAME</t>
  </si>
  <si>
    <t>FIRST NAME</t>
  </si>
  <si>
    <t>GENDER
 M/F</t>
  </si>
  <si>
    <t>DATE OF BIRTH</t>
  </si>
  <si>
    <t>RELATION</t>
  </si>
  <si>
    <t>MARRIED/ UNMARRIED</t>
  </si>
  <si>
    <t>NATIONALITY</t>
  </si>
  <si>
    <t>EDUCATION</t>
  </si>
  <si>
    <t>DATE OF JOINING</t>
  </si>
  <si>
    <t>DESIGNATION</t>
  </si>
  <si>
    <t>CATEGORY (HS/S/SS/US)</t>
  </si>
  <si>
    <t>TYPE OF EMPLOYMENT</t>
  </si>
  <si>
    <t>MOBIL NO</t>
  </si>
  <si>
    <t>PF NO.</t>
  </si>
  <si>
    <t>UAN</t>
  </si>
  <si>
    <t>ESIC IP</t>
  </si>
  <si>
    <t>PAN</t>
  </si>
  <si>
    <t>AADHAR</t>
  </si>
  <si>
    <t>BANK A/C NO</t>
  </si>
  <si>
    <t>PRESENT ADDRESS</t>
  </si>
  <si>
    <t>PERMENENT ADDRESS</t>
  </si>
  <si>
    <t>SERVICE BOOK NO</t>
  </si>
  <si>
    <t>DATE OF EXIT</t>
  </si>
  <si>
    <t>REASON OF EXIT</t>
  </si>
  <si>
    <t>MARK OF IDENTIFICATION</t>
  </si>
  <si>
    <t>PHOTO</t>
  </si>
  <si>
    <t>SPECIMEN SIGNATURE /THUMB</t>
  </si>
  <si>
    <t>REMARKS</t>
  </si>
  <si>
    <t>VACINATION</t>
  </si>
  <si>
    <t>POLICE VARIFICATOIN</t>
  </si>
  <si>
    <t>FITNESS CERTIFICATE</t>
  </si>
  <si>
    <t>VE1301</t>
  </si>
  <si>
    <t>NAGARADE PRITI VIJAYBHAI</t>
  </si>
  <si>
    <t>NAGARADE</t>
  </si>
  <si>
    <t>PRITI</t>
  </si>
  <si>
    <t>VIJAYBHAI</t>
  </si>
  <si>
    <t>20/09/1995</t>
  </si>
  <si>
    <t>FATHER</t>
  </si>
  <si>
    <t>UNMARRIED</t>
  </si>
  <si>
    <t>INDIAN</t>
  </si>
  <si>
    <t>G.N.M</t>
  </si>
  <si>
    <t>STAFF NURSE</t>
  </si>
  <si>
    <t>8780056624</t>
  </si>
  <si>
    <t>3712212158</t>
  </si>
  <si>
    <t>BGJPN8796E</t>
  </si>
  <si>
    <t>855311890420</t>
  </si>
  <si>
    <t>4000851622</t>
  </si>
  <si>
    <t>CBIN0282047</t>
  </si>
  <si>
    <t>CENTRAL BANK OF INDIA</t>
  </si>
  <si>
    <t>A-10, GURUNANAK PARK, PRAKASH PETROLPUMP, BAPUNAGAR, AHMEDABAD 380024</t>
  </si>
  <si>
    <t>VE1095</t>
  </si>
  <si>
    <t>NINAMA JASMINA HARICHANDRABHAI</t>
  </si>
  <si>
    <t>NINAMA JASMINA HARICHANDRA</t>
  </si>
  <si>
    <t>NINAMA</t>
  </si>
  <si>
    <t>HARICHANDRABHAI</t>
  </si>
  <si>
    <t>10/08/1998</t>
  </si>
  <si>
    <t>9313731461</t>
  </si>
  <si>
    <t>3713403959</t>
  </si>
  <si>
    <t>BTSPN1235J</t>
  </si>
  <si>
    <t>248430873995</t>
  </si>
  <si>
    <t>35336034393</t>
  </si>
  <si>
    <t>SBIN0011051</t>
  </si>
  <si>
    <t>STATE BANK OF INDIA</t>
  </si>
  <si>
    <t>396, NINAMA FALIYU, VIJAYNAGAR CHITARIYA, SABARKANTHA 383462</t>
  </si>
  <si>
    <t>VE1120</t>
  </si>
  <si>
    <t>SOLANKI ISHA HASMUKHBHAI</t>
  </si>
  <si>
    <t>SOLANKI ISHA</t>
  </si>
  <si>
    <t>SOLANKI</t>
  </si>
  <si>
    <t>ISHA</t>
  </si>
  <si>
    <t>HASMUKHBHAI</t>
  </si>
  <si>
    <t>22/08/1997</t>
  </si>
  <si>
    <t>7433051898</t>
  </si>
  <si>
    <t>3712661339</t>
  </si>
  <si>
    <t>JHRPS2002D</t>
  </si>
  <si>
    <t>685681181827</t>
  </si>
  <si>
    <t>3713806918</t>
  </si>
  <si>
    <t>7-193,BHAKTINAGAR BAPUNAGAR AHMEDABAD 380024</t>
  </si>
  <si>
    <t>VE1131</t>
  </si>
  <si>
    <t>GUNJAL NAMRATA SANJAYBHAI</t>
  </si>
  <si>
    <t>GUNJAL</t>
  </si>
  <si>
    <t>NAMRATA</t>
  </si>
  <si>
    <t>SANJAYBHAI</t>
  </si>
  <si>
    <t>09/05/2001</t>
  </si>
  <si>
    <t>7359621813</t>
  </si>
  <si>
    <t>3714146600</t>
  </si>
  <si>
    <t>CUPPG7345K</t>
  </si>
  <si>
    <t>255274131726</t>
  </si>
  <si>
    <t>38114796750</t>
  </si>
  <si>
    <t>SBIN0003043</t>
  </si>
  <si>
    <t>2/46, GUJARAT HOUSING BOARD, RAYPUR MILL PASE, SARASPUR AHMEDABAD 380018</t>
  </si>
  <si>
    <t>VE1121</t>
  </si>
  <si>
    <t>MEKVAN ELISA LAZARAS</t>
  </si>
  <si>
    <t>MEKVAN ELISA</t>
  </si>
  <si>
    <t>MEKVAN</t>
  </si>
  <si>
    <t>ELISA</t>
  </si>
  <si>
    <t>LAZARAS</t>
  </si>
  <si>
    <t>29/03/1994</t>
  </si>
  <si>
    <t>9723359347</t>
  </si>
  <si>
    <t>CWEPM6197E</t>
  </si>
  <si>
    <t>230434774960</t>
  </si>
  <si>
    <t>00910111117</t>
  </si>
  <si>
    <t>KCCB0VTV009</t>
  </si>
  <si>
    <t>THE KALUPUR COMMERCIAL CO-OPERATIVE BANK LTD</t>
  </si>
  <si>
    <t>1375, MOTO VANKARVAS, GOMTIPUR HAVADA PASE, GOMTIPUR 380021</t>
  </si>
  <si>
    <t>VE1138</t>
  </si>
  <si>
    <t>CHRISTIAN ARPITA SANJAYBHAI</t>
  </si>
  <si>
    <t>ARPITA CHRISTIAN</t>
  </si>
  <si>
    <t>CHRISTIAN</t>
  </si>
  <si>
    <t>ARPITA</t>
  </si>
  <si>
    <t>20/08/2000</t>
  </si>
  <si>
    <t>6352931217</t>
  </si>
  <si>
    <t>CPPPC6278C</t>
  </si>
  <si>
    <t>782289330791</t>
  </si>
  <si>
    <t>36004498131</t>
  </si>
  <si>
    <t>SBIN0060272</t>
  </si>
  <si>
    <t>44, SAGAR TENAMENT BH JYOTI HOTEL, NANA CHILODA, AHMEDABAD 382330</t>
  </si>
  <si>
    <t>VE1137</t>
  </si>
  <si>
    <t>RAVAL GOPIBEN SANJAYKUMAR</t>
  </si>
  <si>
    <t xml:space="preserve">GOPIBEN SANJAYBHAI RAVAL </t>
  </si>
  <si>
    <t>RAVAL</t>
  </si>
  <si>
    <t>GOPIBEN</t>
  </si>
  <si>
    <t>SANJAYKUMAR</t>
  </si>
  <si>
    <t>10/06/1996</t>
  </si>
  <si>
    <t>8140745218</t>
  </si>
  <si>
    <t>3713073309</t>
  </si>
  <si>
    <t>FBHPR2905C</t>
  </si>
  <si>
    <t>801424940374</t>
  </si>
  <si>
    <t>240810110001072</t>
  </si>
  <si>
    <t>BKID0002408</t>
  </si>
  <si>
    <t>BANK OF INDIA</t>
  </si>
  <si>
    <t>RAVAL VAS, NANI BHAGOL, PRANTIJ, SABARKANTHA, 383205</t>
  </si>
  <si>
    <t>VE1237</t>
  </si>
  <si>
    <t>PARMAR VANITA ASHOKBHAI</t>
  </si>
  <si>
    <t>PARMAR</t>
  </si>
  <si>
    <t>VANITA</t>
  </si>
  <si>
    <t>ASHOKBHAI</t>
  </si>
  <si>
    <t>17/02/1997</t>
  </si>
  <si>
    <t>7436059366</t>
  </si>
  <si>
    <t>3712893495</t>
  </si>
  <si>
    <t>EQDPP1561E</t>
  </si>
  <si>
    <t>901510424355</t>
  </si>
  <si>
    <t>84620100004186</t>
  </si>
  <si>
    <t>BARB0DBBAPU</t>
  </si>
  <si>
    <t>BANK OF BARODA</t>
  </si>
  <si>
    <t>C-16, AMITA RAY APP. RAMI NI CHALI SAME, RAKHIYAL, UDHYOG VISTAR, RAKHIYAL, AHMEDABAD, 380023</t>
  </si>
  <si>
    <t>VE1216</t>
  </si>
  <si>
    <t>PRATIXA SANJAYBHAI CHRISTIAN</t>
  </si>
  <si>
    <t>CHRISTIAN PRATIXHA SANJAYBHAI</t>
  </si>
  <si>
    <t>PRATIXA</t>
  </si>
  <si>
    <t>08/01/1997</t>
  </si>
  <si>
    <t>7990032595</t>
  </si>
  <si>
    <t>3713236443</t>
  </si>
  <si>
    <t>BOPPC3037R</t>
  </si>
  <si>
    <t>216431162800</t>
  </si>
  <si>
    <t>36004483689</t>
  </si>
  <si>
    <t>VE1316</t>
  </si>
  <si>
    <t>CHAUDHARY NIRALIBEN SEMABHAI</t>
  </si>
  <si>
    <t xml:space="preserve">CHAUDHARI NIALIBEN </t>
  </si>
  <si>
    <t>CHAUDHARY</t>
  </si>
  <si>
    <t>NIRALIBEN</t>
  </si>
  <si>
    <t>SEMABHAI</t>
  </si>
  <si>
    <t>05/11/1999</t>
  </si>
  <si>
    <t>9998186103</t>
  </si>
  <si>
    <t>3713665681</t>
  </si>
  <si>
    <t>740096313698</t>
  </si>
  <si>
    <t>742210060119</t>
  </si>
  <si>
    <t>BARB0BGGBXX</t>
  </si>
  <si>
    <t>BARODA GUJARAT GRAMIN BANK</t>
  </si>
  <si>
    <t>2, VAIABHAV DUPLEX, SHITALA MATA NU MANDIR, PATAN TOWN, 384265</t>
  </si>
  <si>
    <t>VE1196</t>
  </si>
  <si>
    <t>MANSURI SIFA MOHSINBHAI</t>
  </si>
  <si>
    <t>SIFA MANSURI</t>
  </si>
  <si>
    <t>MANSURI</t>
  </si>
  <si>
    <t>SIFA</t>
  </si>
  <si>
    <t>MOHSINBHAI</t>
  </si>
  <si>
    <t>29/10/1999</t>
  </si>
  <si>
    <t>7573939068</t>
  </si>
  <si>
    <t>3714129355</t>
  </si>
  <si>
    <t>915393280526</t>
  </si>
  <si>
    <t>202110110012360</t>
  </si>
  <si>
    <t>BKID0002021</t>
  </si>
  <si>
    <t>1378, RAYKHAD, PRAGATI CHOWK NI SAME, AHMEDABAD, 380001</t>
  </si>
  <si>
    <t>VE1315</t>
  </si>
  <si>
    <t>BHAMBHI JIGARKUMAR KANUBHAI</t>
  </si>
  <si>
    <t>JIGARKUMAR KANUBHAI BHAMBHI</t>
  </si>
  <si>
    <t>BHAMBHI</t>
  </si>
  <si>
    <t>JIGARKUMAR</t>
  </si>
  <si>
    <t>KANUBHAI</t>
  </si>
  <si>
    <t>14/12/1996</t>
  </si>
  <si>
    <t>7990487656</t>
  </si>
  <si>
    <t>3713016545</t>
  </si>
  <si>
    <t>605897613440</t>
  </si>
  <si>
    <t>20201678682</t>
  </si>
  <si>
    <t>SBIN0007630</t>
  </si>
  <si>
    <t>219, GUNDEL, VASAHAT 1, KHEDBRAHMA, SABARKANTHA, 383270</t>
  </si>
  <si>
    <t>VE1214</t>
  </si>
  <si>
    <t>CHAUDHARY NEETA MAHADEVBHAI</t>
  </si>
  <si>
    <t>NEETA MAHADEVBHAI CHAUDHARY</t>
  </si>
  <si>
    <t>MAHADEVBHAI</t>
  </si>
  <si>
    <t>01/06/2000</t>
  </si>
  <si>
    <t>8238621837</t>
  </si>
  <si>
    <t>3714049138</t>
  </si>
  <si>
    <t>568116829879</t>
  </si>
  <si>
    <t>36934112606</t>
  </si>
  <si>
    <t>SBIN0002643</t>
  </si>
  <si>
    <t>DUGADOL MOTI, BANSKANTHA 385310</t>
  </si>
  <si>
    <t>VE1055</t>
  </si>
  <si>
    <t>PANCHAL KRUPALIBEN DHARMESHBHAI</t>
  </si>
  <si>
    <t>PANCHAL KRUPALIBEN</t>
  </si>
  <si>
    <t>PANCHAL</t>
  </si>
  <si>
    <t>KRUPALIBEN</t>
  </si>
  <si>
    <t>DHARMESHBHAI</t>
  </si>
  <si>
    <t>9998793647</t>
  </si>
  <si>
    <t>3714100344</t>
  </si>
  <si>
    <t>EZLPP2515P</t>
  </si>
  <si>
    <t>697312608916</t>
  </si>
  <si>
    <t>52060100016217</t>
  </si>
  <si>
    <t>BARB0NEWAHM</t>
  </si>
  <si>
    <t>A 15, DWARKESH SOCIRTY, NAVA NARODA, I.E. AHMEDABAD 382330</t>
  </si>
  <si>
    <t>VE1264</t>
  </si>
  <si>
    <t>KATAPARA MILAPSINH GIRISHCHANDRA</t>
  </si>
  <si>
    <t>KATAPARA</t>
  </si>
  <si>
    <t>MILAPSINH</t>
  </si>
  <si>
    <t>GIRISHCHANDRA</t>
  </si>
  <si>
    <t>05/11/1996</t>
  </si>
  <si>
    <t>8153003056</t>
  </si>
  <si>
    <t>3713501254</t>
  </si>
  <si>
    <t>GNFPK9366B</t>
  </si>
  <si>
    <t>281124147251</t>
  </si>
  <si>
    <t>33904687446</t>
  </si>
  <si>
    <t>SBIN0060147</t>
  </si>
  <si>
    <t>15/177, RAJIV NAGAR, GENERAL HOSPITAL, BAPUNAGAR AHMEDABD 380024</t>
  </si>
  <si>
    <t>VE1236</t>
  </si>
  <si>
    <t>PARMAR DIVYAKUMARI PRAVINBHAI</t>
  </si>
  <si>
    <t xml:space="preserve">PARMAR DIVYAKUMARI PRAVINBHAI </t>
  </si>
  <si>
    <t>DIVYAKUMARI</t>
  </si>
  <si>
    <t>PRAVINBHAI</t>
  </si>
  <si>
    <t>05/02/1996</t>
  </si>
  <si>
    <t>7434847286</t>
  </si>
  <si>
    <t>3712661356</t>
  </si>
  <si>
    <t>EUZPP5885B</t>
  </si>
  <si>
    <t>914200701465</t>
  </si>
  <si>
    <t>3713806872</t>
  </si>
  <si>
    <t>0, MOTA VANKAR VASA, TULSIKUNJ FALI, SATHAMBA, ARVALLI, 383340</t>
  </si>
  <si>
    <t>VE1091</t>
  </si>
  <si>
    <t xml:space="preserve">PATNI TINKALBEN KANTIBHAI </t>
  </si>
  <si>
    <t>PATNI</t>
  </si>
  <si>
    <t>TINKALBEN</t>
  </si>
  <si>
    <t>KANTIBHAI</t>
  </si>
  <si>
    <t>01/03/1999</t>
  </si>
  <si>
    <t>8200987512</t>
  </si>
  <si>
    <t>3713278125</t>
  </si>
  <si>
    <t>EWHPP5999A</t>
  </si>
  <si>
    <t>889076863558</t>
  </si>
  <si>
    <t>46850100025059</t>
  </si>
  <si>
    <t>BARB0JIVRAJ</t>
  </si>
  <si>
    <t>PATANINAGAR, GOKULCHAND KASTURCHAND NI CHALI, ASARWA VTC AHMEDABAD 380016</t>
  </si>
  <si>
    <t>VE1092</t>
  </si>
  <si>
    <t>RATHOD MONIKA LALITKUMAR</t>
  </si>
  <si>
    <t>MONIKA RATHOD</t>
  </si>
  <si>
    <t>RATHOD</t>
  </si>
  <si>
    <t>LALITKUMAR</t>
  </si>
  <si>
    <t>19/03/2000</t>
  </si>
  <si>
    <t>7359786991</t>
  </si>
  <si>
    <t>3714049321</t>
  </si>
  <si>
    <t>770634334574</t>
  </si>
  <si>
    <t>0173108001715</t>
  </si>
  <si>
    <t>CNRB0000173</t>
  </si>
  <si>
    <t>CANARA BANK</t>
  </si>
  <si>
    <t>C 17, PRABHAKAR TENAMENT GD SCHOOL ROAD SAIJPUR BOGHA AHMEDABAD 382345</t>
  </si>
  <si>
    <t>VE1273</t>
  </si>
  <si>
    <t>BAJAG JAYESHKUMAR OKHAJI</t>
  </si>
  <si>
    <t>JAYESHKUMAR OKHAJI BAJAG</t>
  </si>
  <si>
    <t>BAJAG</t>
  </si>
  <si>
    <t>JAYESHKUMAR</t>
  </si>
  <si>
    <t>OKHAJI</t>
  </si>
  <si>
    <t>30/10/1995</t>
  </si>
  <si>
    <t>MARRIED</t>
  </si>
  <si>
    <t>9173146220</t>
  </si>
  <si>
    <t>3713236492</t>
  </si>
  <si>
    <t>BXAPB8894F</t>
  </si>
  <si>
    <t>503451757754</t>
  </si>
  <si>
    <t>108000810111</t>
  </si>
  <si>
    <t>GSCB0000001</t>
  </si>
  <si>
    <t>THE GUJARAT STATE CO OP BANK LTD</t>
  </si>
  <si>
    <t>KHODIYAR MATANI CHALI, 30 ORDI RAMAPIR NO TEKRO, NAVA VADAJ AHMEDABAD 380013</t>
  </si>
  <si>
    <t>VE1151</t>
  </si>
  <si>
    <t xml:space="preserve">MAKWANA ANKITA NAGARBHAI </t>
  </si>
  <si>
    <t>MAKWANA</t>
  </si>
  <si>
    <t>NAGARBHAI</t>
  </si>
  <si>
    <t>15/01/2000</t>
  </si>
  <si>
    <t>9726215184</t>
  </si>
  <si>
    <t>3714129384</t>
  </si>
  <si>
    <t>742766294786</t>
  </si>
  <si>
    <t>78009376861</t>
  </si>
  <si>
    <t>SBIN0RRSRGB</t>
  </si>
  <si>
    <t>SURASHTRA GRAMIN BANK</t>
  </si>
  <si>
    <t>GHANSHYAMPURA, TA-HALVAD, SURENDRANAGAR, 363330</t>
  </si>
  <si>
    <t>VE1200</t>
  </si>
  <si>
    <t>PARMAR KULDIP HARSHADBHAI</t>
  </si>
  <si>
    <t>PARMAR KULDIP</t>
  </si>
  <si>
    <t>KULDIP</t>
  </si>
  <si>
    <t>HARSHADBHAI</t>
  </si>
  <si>
    <t>11/10/1998</t>
  </si>
  <si>
    <t>9913680108</t>
  </si>
  <si>
    <t>3713236316</t>
  </si>
  <si>
    <t>DHDPP4516B</t>
  </si>
  <si>
    <t>684128620550</t>
  </si>
  <si>
    <t>15050100019930</t>
  </si>
  <si>
    <t>BARB0SANTRA</t>
  </si>
  <si>
    <t>642, VANKARVAS, SANTRAMPUR, PANCHMAHAL389260</t>
  </si>
  <si>
    <t>VE1140</t>
  </si>
  <si>
    <t>GAMAR REVABHAI HIRABHAI</t>
  </si>
  <si>
    <t>GAMAR REVABHAI</t>
  </si>
  <si>
    <t>GAMAR</t>
  </si>
  <si>
    <t>REVABHAI</t>
  </si>
  <si>
    <t>HIRABHAI</t>
  </si>
  <si>
    <t>01/06/1981</t>
  </si>
  <si>
    <t>9712067058</t>
  </si>
  <si>
    <t>3713015995</t>
  </si>
  <si>
    <t>BSXPG7288N</t>
  </si>
  <si>
    <t>309015237370</t>
  </si>
  <si>
    <t>915010029432501</t>
  </si>
  <si>
    <t>AXIS BANK</t>
  </si>
  <si>
    <t>BLOCK L, 20 ROOM, NO 633, SARKARI VASAHAT, SASTRINAGAR, NARANPURA GHATLODIYA AHMEDABAD 380061</t>
  </si>
  <si>
    <t>VE1192</t>
  </si>
  <si>
    <t>KANZARIYA GAYATRIBEN MOTIBHAI</t>
  </si>
  <si>
    <t>KANZARIYA</t>
  </si>
  <si>
    <t>GAYATRIBEN</t>
  </si>
  <si>
    <t>MOTIBHAI</t>
  </si>
  <si>
    <t>08/02/2000</t>
  </si>
  <si>
    <t>6359581948</t>
  </si>
  <si>
    <t>3714129362</t>
  </si>
  <si>
    <t>GXCPK7264K</t>
  </si>
  <si>
    <t>334076459802</t>
  </si>
  <si>
    <t>78020758960</t>
  </si>
  <si>
    <t>SAURASTRA GRAMIN BANK</t>
  </si>
  <si>
    <t>GHANSHYAMPURA, TA-HALVAD, SURENDRANAGAR, 363336</t>
  </si>
  <si>
    <t>VE1197</t>
  </si>
  <si>
    <t>LADUMOR KISHOR NARASHIBHAI</t>
  </si>
  <si>
    <t>LADUMOR</t>
  </si>
  <si>
    <t>KISHOR</t>
  </si>
  <si>
    <t>NARASHIBHAI</t>
  </si>
  <si>
    <t>09/11/1998</t>
  </si>
  <si>
    <t>9624725283</t>
  </si>
  <si>
    <t>3714129390</t>
  </si>
  <si>
    <t>AVQPL4367E</t>
  </si>
  <si>
    <t>698126902135</t>
  </si>
  <si>
    <t>34725127411</t>
  </si>
  <si>
    <t>SBIN0011749</t>
  </si>
  <si>
    <t>VE1127</t>
  </si>
  <si>
    <t>SATHWARA RAJSHREE KANUBHAI</t>
  </si>
  <si>
    <t>SATHVARA RAJESHREE KANUBHAI</t>
  </si>
  <si>
    <t>SATHWARA</t>
  </si>
  <si>
    <t>RAJSHREE</t>
  </si>
  <si>
    <t>7575859162</t>
  </si>
  <si>
    <t>3713747097</t>
  </si>
  <si>
    <t>762961569928</t>
  </si>
  <si>
    <t>6985084454</t>
  </si>
  <si>
    <t>IDBI0005156</t>
  </si>
  <si>
    <t>INDIAN BANK</t>
  </si>
  <si>
    <t>60 SHIVNAGAR, NAITAL DE PARK, CHANDLODIA, AHMEDABAD, 382481</t>
  </si>
  <si>
    <t>VE1227</t>
  </si>
  <si>
    <t>MANISHA GAUTAMBHAI PATNI</t>
  </si>
  <si>
    <t>PATNI MANISHA</t>
  </si>
  <si>
    <t>GAUTAMBHAI</t>
  </si>
  <si>
    <t>17/07/1999</t>
  </si>
  <si>
    <t>3713338877</t>
  </si>
  <si>
    <t>FOYPP6297H</t>
  </si>
  <si>
    <t>932053036203</t>
  </si>
  <si>
    <t>206810110012698</t>
  </si>
  <si>
    <t>BKID0002068</t>
  </si>
  <si>
    <t>SUMITRN NI CHALI, OPP. VIJAY MILL, NARODA, AHMEDABAD, 382330</t>
  </si>
  <si>
    <t>VE1180</t>
  </si>
  <si>
    <t>GAMIT SHEETALBEN VINUBHAI</t>
  </si>
  <si>
    <t>GAMIT SHITALBEN VINUBHAI</t>
  </si>
  <si>
    <t>GAMIT</t>
  </si>
  <si>
    <t>SHEETALBEN</t>
  </si>
  <si>
    <t>VINUBHAI</t>
  </si>
  <si>
    <t>15/02/1994</t>
  </si>
  <si>
    <t>8160993441</t>
  </si>
  <si>
    <t>3712893481</t>
  </si>
  <si>
    <t>BUHPG8151N</t>
  </si>
  <si>
    <t>3675847684</t>
  </si>
  <si>
    <t>VE1183</t>
  </si>
  <si>
    <t>PINJARA AAFRINBANU SADIKBHAI</t>
  </si>
  <si>
    <t>AAFRINBANU PINJARA</t>
  </si>
  <si>
    <t>PINJARA</t>
  </si>
  <si>
    <t>AAFRINBANU</t>
  </si>
  <si>
    <t>SADIKBHAI</t>
  </si>
  <si>
    <t>27/06/1998</t>
  </si>
  <si>
    <t>8758824982</t>
  </si>
  <si>
    <t>3713120054</t>
  </si>
  <si>
    <t>ETCPP2338K</t>
  </si>
  <si>
    <t>293067266314</t>
  </si>
  <si>
    <t>SBIN0002661</t>
  </si>
  <si>
    <t>281-A/5, GANGA MAIYA SOC, HATKESHVAR ROAD, KHOKHRA MANINAGAR AHMEDABAD 380008</t>
  </si>
  <si>
    <t>VE1234</t>
  </si>
  <si>
    <t>RAYKANGOR NEHA HIRALAL</t>
  </si>
  <si>
    <t>RAYKANGOR</t>
  </si>
  <si>
    <t>NEHA</t>
  </si>
  <si>
    <t>HIRALAL</t>
  </si>
  <si>
    <t>19/05/2000</t>
  </si>
  <si>
    <t>9909398221</t>
  </si>
  <si>
    <t>3714155871</t>
  </si>
  <si>
    <t>DVBPR0518B</t>
  </si>
  <si>
    <t>289995635991</t>
  </si>
  <si>
    <t>95810100025429</t>
  </si>
  <si>
    <t>JAGDISH BHUVAN SINDHI SOCIETY, UNA JUNAGADH 362560</t>
  </si>
  <si>
    <t>VE1280</t>
  </si>
  <si>
    <t xml:space="preserve">PATANI AAKASHBHAI PRAKASHBHAI </t>
  </si>
  <si>
    <t>PATANI AAKASHBHAI</t>
  </si>
  <si>
    <t>PATANI</t>
  </si>
  <si>
    <t>AAKASHBHAI</t>
  </si>
  <si>
    <t>PRAKASHBHAI</t>
  </si>
  <si>
    <t>12/10/1998</t>
  </si>
  <si>
    <t>8140546757</t>
  </si>
  <si>
    <t>3713405214</t>
  </si>
  <si>
    <t>DHOPP5773B</t>
  </si>
  <si>
    <t>911546570602</t>
  </si>
  <si>
    <t>202310500009136</t>
  </si>
  <si>
    <t>3/53, SLUM QUATARS, PATRA VALI CHALI, ASARWA, AHMEDABAD, 380016</t>
  </si>
  <si>
    <t>VE1188</t>
  </si>
  <si>
    <t xml:space="preserve">SANDHYA GUPTA SATYANARAYAN </t>
  </si>
  <si>
    <t>GUPTA SANDHYA</t>
  </si>
  <si>
    <t>GUPTA</t>
  </si>
  <si>
    <t>SANDHYA</t>
  </si>
  <si>
    <t>SATYANARAYAN</t>
  </si>
  <si>
    <t>7984204522</t>
  </si>
  <si>
    <t>3714146690</t>
  </si>
  <si>
    <t>CUEPG0813R</t>
  </si>
  <si>
    <t>719233453832</t>
  </si>
  <si>
    <t>919010014971860</t>
  </si>
  <si>
    <t>UTIB0000449</t>
  </si>
  <si>
    <t>SATNARAYAN, A/80, BANCHU NAGAR SOCIERTY, BB MARIYAM NI DARGAH, VATVA, 382440</t>
  </si>
  <si>
    <t>VE1101</t>
  </si>
  <si>
    <t>PATANI KAJAL RAJESHBHAI</t>
  </si>
  <si>
    <t>KAJAL</t>
  </si>
  <si>
    <t>RAJESHBHAI</t>
  </si>
  <si>
    <t>25/10/1998</t>
  </si>
  <si>
    <t>3713278257</t>
  </si>
  <si>
    <t>GENPP9103L</t>
  </si>
  <si>
    <t>586753344358</t>
  </si>
  <si>
    <t>03210100045824</t>
  </si>
  <si>
    <t>BARB0ASARWA</t>
  </si>
  <si>
    <t>BAPALAL GHANCHI NI CHALI, CHAMANPURA, AHMEDABAD, 380016</t>
  </si>
  <si>
    <t>VE1126</t>
  </si>
  <si>
    <t>KHAIRE RAJVI CHETANBHAI</t>
  </si>
  <si>
    <t>KHAIRE RAJVI</t>
  </si>
  <si>
    <t>KHAIRE</t>
  </si>
  <si>
    <t>RAJVI</t>
  </si>
  <si>
    <t>CHETANBHAI</t>
  </si>
  <si>
    <t>26/12/1997</t>
  </si>
  <si>
    <t>9023020790</t>
  </si>
  <si>
    <t>3713236449</t>
  </si>
  <si>
    <t>856992316056</t>
  </si>
  <si>
    <t>89930100007554</t>
  </si>
  <si>
    <t>BARB0VJKNAG</t>
  </si>
  <si>
    <t>A-103, RADHE HILLS, HATHIJAN, B BALESHVAR CITY, MEMDABAD ROAD, DASKROI, AHMEDABAD, .382445</t>
  </si>
  <si>
    <t>VE1312</t>
  </si>
  <si>
    <t>CHAUDHARY KIRANBEN RAMSANGBHAI</t>
  </si>
  <si>
    <t>KIRANBEN</t>
  </si>
  <si>
    <t>RAMSANGBHAI</t>
  </si>
  <si>
    <t>24/05/2000</t>
  </si>
  <si>
    <t>9537051578</t>
  </si>
  <si>
    <t>3714049187</t>
  </si>
  <si>
    <t>730120615462</t>
  </si>
  <si>
    <t>136901000666</t>
  </si>
  <si>
    <t>ICIC0001369</t>
  </si>
  <si>
    <t>ICICI BANK</t>
  </si>
  <si>
    <t>TETARVA, BANASKANTHA, 385320</t>
  </si>
  <si>
    <t>VE1191</t>
  </si>
  <si>
    <t>NIRALI RATILAL VAGHASIYA</t>
  </si>
  <si>
    <t>VAGHASIYA NIRALI</t>
  </si>
  <si>
    <t>VAGHASIYA</t>
  </si>
  <si>
    <t>NIRALI</t>
  </si>
  <si>
    <t>RATILAL</t>
  </si>
  <si>
    <t>07/07/1998</t>
  </si>
  <si>
    <t>9081843999</t>
  </si>
  <si>
    <t>3713082778</t>
  </si>
  <si>
    <t>BKTPV2677J</t>
  </si>
  <si>
    <t>630589807953</t>
  </si>
  <si>
    <t>10086254940</t>
  </si>
  <si>
    <t>IDFB0040332</t>
  </si>
  <si>
    <t>IDFC BANK</t>
  </si>
  <si>
    <t>A/19, JAGDISH PARK, KHODIYAR NAGAR, BAPUNAGAR, AHMEDABAD, 382350</t>
  </si>
  <si>
    <t>VE1129</t>
  </si>
  <si>
    <t>SAO MONIKA SURESH</t>
  </si>
  <si>
    <t>SAO MONIKA</t>
  </si>
  <si>
    <t>SAO</t>
  </si>
  <si>
    <t>MONIKA</t>
  </si>
  <si>
    <t>SURESH</t>
  </si>
  <si>
    <t>06/10/1999</t>
  </si>
  <si>
    <t>6352829442</t>
  </si>
  <si>
    <t>3714129377</t>
  </si>
  <si>
    <t>LRWPS4077S</t>
  </si>
  <si>
    <t>700487376493</t>
  </si>
  <si>
    <t>73710100021636</t>
  </si>
  <si>
    <t>BARB0DBSARK</t>
  </si>
  <si>
    <t>108, DHARKESHNAGAR, NEAR VANZARGAM, SARKHEJ, AHMEDABAD, 382210</t>
  </si>
  <si>
    <t>VE1213</t>
  </si>
  <si>
    <t>PANCHAL BHAVIKA MUKESHBHAI</t>
  </si>
  <si>
    <t>PANCHAL BHAVIKA</t>
  </si>
  <si>
    <t>BHAVIKA</t>
  </si>
  <si>
    <t>MUKESHBHAI</t>
  </si>
  <si>
    <t>7226901186</t>
  </si>
  <si>
    <t>3712701501</t>
  </si>
  <si>
    <t>FELPP3106J</t>
  </si>
  <si>
    <t>598493109271</t>
  </si>
  <si>
    <t>35155488025</t>
  </si>
  <si>
    <t>SBIN0017900</t>
  </si>
  <si>
    <t>38, BANSIDHAR PARK, MANIBA VIDHYALAYA , NAVA NARODA, SAIJPUR BOGHA, AHMEDABD 382345</t>
  </si>
  <si>
    <t>VE1104</t>
  </si>
  <si>
    <t>KAPADIYA UNNATI MAHESHBHAI</t>
  </si>
  <si>
    <t>KAPADIYA UNNATI MAHESHKUMAR</t>
  </si>
  <si>
    <t>KAPADIYA</t>
  </si>
  <si>
    <t>UNNATI</t>
  </si>
  <si>
    <t>MAHESHKUMAR</t>
  </si>
  <si>
    <t>9725251965</t>
  </si>
  <si>
    <t>3713236752</t>
  </si>
  <si>
    <t>DSSPK0069Q</t>
  </si>
  <si>
    <t>533202927866</t>
  </si>
  <si>
    <t>920010017053390</t>
  </si>
  <si>
    <t>UTIB0000247</t>
  </si>
  <si>
    <t>3-175, VANKARVAS, TAKODI, PATAN 384221</t>
  </si>
  <si>
    <t>VE1118</t>
  </si>
  <si>
    <t>PANDYA PRATIK KAMLESHBHAI</t>
  </si>
  <si>
    <t>PRATIK PANDYA</t>
  </si>
  <si>
    <t>PANDYA</t>
  </si>
  <si>
    <t>PRATIK</t>
  </si>
  <si>
    <t>KAMLESHBHAI</t>
  </si>
  <si>
    <t>7567759331</t>
  </si>
  <si>
    <t>3714059162</t>
  </si>
  <si>
    <t>CWPPP6858Q</t>
  </si>
  <si>
    <t>790206646810</t>
  </si>
  <si>
    <t>207510110003708</t>
  </si>
  <si>
    <t>BKID0002075</t>
  </si>
  <si>
    <t>434, SIDDHI APPARTMENT GHODASAR, AHMEDABAD 380050</t>
  </si>
  <si>
    <t>VE1089</t>
  </si>
  <si>
    <t>DABHI SHERIN RAJESHBHAI</t>
  </si>
  <si>
    <t>DABHI SHERIN</t>
  </si>
  <si>
    <t>DABHI</t>
  </si>
  <si>
    <t>SHERIN</t>
  </si>
  <si>
    <t>8141073511</t>
  </si>
  <si>
    <t>3713930222</t>
  </si>
  <si>
    <t>GAIPD5216H</t>
  </si>
  <si>
    <t>471380017157</t>
  </si>
  <si>
    <t>06960110026779</t>
  </si>
  <si>
    <t>UCBA0000696</t>
  </si>
  <si>
    <t>UCO BANK</t>
  </si>
  <si>
    <t>B 43 PADMASHALI SOCIETY, VIRATNAGAR ROAD, KHODIYARNAGAR AHMEDABAD 382350</t>
  </si>
  <si>
    <t>VE1305</t>
  </si>
  <si>
    <t xml:space="preserve">PARMAR AKSHAYKUMAR RAMANBHAI </t>
  </si>
  <si>
    <t>PARMAR AKSHAYKUMAR</t>
  </si>
  <si>
    <t xml:space="preserve">PARMAR </t>
  </si>
  <si>
    <t>AKSHAYKUMAR</t>
  </si>
  <si>
    <t>RAMANBHAI</t>
  </si>
  <si>
    <t>7069258125</t>
  </si>
  <si>
    <t>3713120185</t>
  </si>
  <si>
    <t>EVRPP5273E</t>
  </si>
  <si>
    <t>644187272096</t>
  </si>
  <si>
    <t>01600100010976</t>
  </si>
  <si>
    <t>BARB0AMBLIA</t>
  </si>
  <si>
    <t>PARMAR VAS INDIRANAGAR SOCIETY JORNANG MAHESANA 382732</t>
  </si>
  <si>
    <t>VE1298</t>
  </si>
  <si>
    <t>PARMAR PRIYANKA DINESHBHAI</t>
  </si>
  <si>
    <t>PRIYANKA</t>
  </si>
  <si>
    <t>DINESHBHAI</t>
  </si>
  <si>
    <t>7202817418
9714519655</t>
  </si>
  <si>
    <t>3713082777</t>
  </si>
  <si>
    <t>FBJPP4533C</t>
  </si>
  <si>
    <t>563465002473</t>
  </si>
  <si>
    <t>72500100012134</t>
  </si>
  <si>
    <t>BARB0DBNVAD</t>
  </si>
  <si>
    <t>726, CHAMUNDA NI CHALI RAMDEVPIR NO TEKRO OLD VADAJ NARAYANPURA VISTAR AHMEDABAD 380013</t>
  </si>
  <si>
    <t>VE1270</t>
  </si>
  <si>
    <t>PARMAR SALONI GAUTAMBHAI</t>
  </si>
  <si>
    <t>SALONI</t>
  </si>
  <si>
    <t>8734879532</t>
  </si>
  <si>
    <t>3713930136</t>
  </si>
  <si>
    <t>GDGPP7204G</t>
  </si>
  <si>
    <t>499763916954</t>
  </si>
  <si>
    <t>132003001010579</t>
  </si>
  <si>
    <t>HDFC0CTVCBL</t>
  </si>
  <si>
    <t>THE VIJAY CO OP BANK LTD</t>
  </si>
  <si>
    <t>115, ARYODAY JINING MILL NI CHALI BALIYA LIMDI BABUPURA ASRAWA AHMEDABAD 380016</t>
  </si>
  <si>
    <t>VE1265</t>
  </si>
  <si>
    <t>PIYUSHKUMAR JAYANTIBHAI PATNI</t>
  </si>
  <si>
    <t>PIYUSHKUMAR PATANI</t>
  </si>
  <si>
    <t>PIYUSHKUMAR</t>
  </si>
  <si>
    <t>JAYANTIBHAI</t>
  </si>
  <si>
    <t>9586619799</t>
  </si>
  <si>
    <t>FDRPP3605M</t>
  </si>
  <si>
    <t>926563058133</t>
  </si>
  <si>
    <t>34061732612</t>
  </si>
  <si>
    <t>SBIN0016052</t>
  </si>
  <si>
    <t>M25/298,SAHYOG APPARTMENT, SECTOR 24, GANDHINAGAR 382024</t>
  </si>
  <si>
    <t>VE1119</t>
  </si>
  <si>
    <t>VANIYA BHARGVI PRADIPBHAI</t>
  </si>
  <si>
    <t>VANIYA BHARGVI</t>
  </si>
  <si>
    <t>VANIYA</t>
  </si>
  <si>
    <t>BHARGVI</t>
  </si>
  <si>
    <t>PRADIPBHAI</t>
  </si>
  <si>
    <t>9662642178</t>
  </si>
  <si>
    <t>3713120051</t>
  </si>
  <si>
    <t>DSYPV6581J</t>
  </si>
  <si>
    <t>403564036131</t>
  </si>
  <si>
    <t>38952392957</t>
  </si>
  <si>
    <t>VANIYA VAS, MOTHER DAIRY, BHAT GANDHINAGAR, 382428</t>
  </si>
  <si>
    <t>VE1128</t>
  </si>
  <si>
    <t>6352375989</t>
  </si>
  <si>
    <t>3713746898</t>
  </si>
  <si>
    <t>GBBPP6166A</t>
  </si>
  <si>
    <t>478104819264</t>
  </si>
  <si>
    <t>483302010055711</t>
  </si>
  <si>
    <t>UBIN0548332</t>
  </si>
  <si>
    <t>UNION BANK OF INDIA</t>
  </si>
  <si>
    <t>VE1254</t>
  </si>
  <si>
    <t>BODAT TRUPTI PUJABHAI</t>
  </si>
  <si>
    <t>BODAT TRUPTI PUNJABHAI</t>
  </si>
  <si>
    <t>BODAT</t>
  </si>
  <si>
    <t>TRUPTI</t>
  </si>
  <si>
    <t>PUJABHAI</t>
  </si>
  <si>
    <t>6352297136</t>
  </si>
  <si>
    <t>3713454255</t>
  </si>
  <si>
    <t>CQTPB9218E</t>
  </si>
  <si>
    <t>222050128080</t>
  </si>
  <si>
    <t>69090100014142</t>
  </si>
  <si>
    <t>BARB0DBMUDE</t>
  </si>
  <si>
    <t>VE1297</t>
  </si>
  <si>
    <t>PARGI AJMEBHAI MAGANBHAI</t>
  </si>
  <si>
    <t>AJMELBHAI MAGANBHAI PARGI</t>
  </si>
  <si>
    <t>PARGI</t>
  </si>
  <si>
    <t>AJMELBHAI</t>
  </si>
  <si>
    <t>MAGANBHAI</t>
  </si>
  <si>
    <t>9909413055</t>
  </si>
  <si>
    <t>3713082757</t>
  </si>
  <si>
    <t>EYTPP5810G</t>
  </si>
  <si>
    <t>961873699998</t>
  </si>
  <si>
    <t>38238485325</t>
  </si>
  <si>
    <t>SBIN0001255</t>
  </si>
  <si>
    <t>OLAN FALI, ZANZVA PANI, SABARKANTHA, 383270</t>
  </si>
  <si>
    <t>VE1123</t>
  </si>
  <si>
    <t>DAMOR</t>
  </si>
  <si>
    <t>MANSINGBHAI</t>
  </si>
  <si>
    <t>7433083294</t>
  </si>
  <si>
    <t>3713454070</t>
  </si>
  <si>
    <t>GMSPD2682D</t>
  </si>
  <si>
    <t>964274431832</t>
  </si>
  <si>
    <t>36164292749</t>
  </si>
  <si>
    <t>SBIN0009478</t>
  </si>
  <si>
    <t>KASHALPUR FALIYU, UKHRELI, PANCHMAHAL, 382260</t>
  </si>
  <si>
    <t>VE1306</t>
  </si>
  <si>
    <t>MAKWANA AMRUTA JAGDISHBHAI</t>
  </si>
  <si>
    <t>MAKWANA AMRUTA</t>
  </si>
  <si>
    <t>AMRUTA</t>
  </si>
  <si>
    <t>JAGDISHBHAI</t>
  </si>
  <si>
    <t>8320532427</t>
  </si>
  <si>
    <t>3713381185</t>
  </si>
  <si>
    <t>FMVPM9483F</t>
  </si>
  <si>
    <t>501981977776</t>
  </si>
  <si>
    <t>72160100045788</t>
  </si>
  <si>
    <t>BARB0DBAMRA</t>
  </si>
  <si>
    <t>32, RABIYA BIBI NI CHALI, OPP. POST OFFICE, AMRAIWADI, AHMEDABAD, 380026</t>
  </si>
  <si>
    <t>VE1178</t>
  </si>
  <si>
    <t>BHATTI DIVYA BABUBHAI</t>
  </si>
  <si>
    <t>BHATTI DIVYA</t>
  </si>
  <si>
    <t>BHATTI</t>
  </si>
  <si>
    <t>DIVYA</t>
  </si>
  <si>
    <t>BABUBHAI</t>
  </si>
  <si>
    <t>7043797144</t>
  </si>
  <si>
    <t>3713082769</t>
  </si>
  <si>
    <t>11302010041740</t>
  </si>
  <si>
    <t>PUNB0113010</t>
  </si>
  <si>
    <t>PUNJAB NATIONAL BANK</t>
  </si>
  <si>
    <t>A-3, RAGHUVIR APP. NEAR SWAMINARAYAN MANDIR, BAPA SITARAM CHOK, NARODA, AHMEDABAD. 382345</t>
  </si>
  <si>
    <t>VE1094</t>
  </si>
  <si>
    <t>BAROT PRIYAL PARSHOTTAMBHAI</t>
  </si>
  <si>
    <t>BAROT PRIYAL PARASHOTTAMBHAI</t>
  </si>
  <si>
    <t>BAROT</t>
  </si>
  <si>
    <t>PRIYAL</t>
  </si>
  <si>
    <t>PARSHOTTAMBHAI</t>
  </si>
  <si>
    <t>7990028499</t>
  </si>
  <si>
    <t>3713970743</t>
  </si>
  <si>
    <t>EUPPB2564D</t>
  </si>
  <si>
    <t>464572664201</t>
  </si>
  <si>
    <t>70272310000588</t>
  </si>
  <si>
    <t>CNRB0001414</t>
  </si>
  <si>
    <t>105, RAJ COMPLEX, NEAR SHRADDHA HOSPITAL, RANIP, AHMEDABAD, 382480</t>
  </si>
  <si>
    <t>VE1228</t>
  </si>
  <si>
    <t>NEHA SOLANKI</t>
  </si>
  <si>
    <t>NARSINHBHAI</t>
  </si>
  <si>
    <t>9904470407</t>
  </si>
  <si>
    <t>3712407495</t>
  </si>
  <si>
    <t>KERPS7563P</t>
  </si>
  <si>
    <t>272919123768</t>
  </si>
  <si>
    <t>3681522088</t>
  </si>
  <si>
    <t>VE1238</t>
  </si>
  <si>
    <t>DAMOR NIRALIBEN JAGDISHBHAI</t>
  </si>
  <si>
    <t>HUSBAND</t>
  </si>
  <si>
    <t>9727766592</t>
  </si>
  <si>
    <t>EMLPD6273F</t>
  </si>
  <si>
    <t>391405423262</t>
  </si>
  <si>
    <t>38027153365</t>
  </si>
  <si>
    <t>SBIN0060437</t>
  </si>
  <si>
    <t>VE1240</t>
  </si>
  <si>
    <t>MAKWANA YASHVANTKUMAR RAMESHBHAI</t>
  </si>
  <si>
    <t>YASHVANTKUMAR</t>
  </si>
  <si>
    <t>RAMESHBHAI</t>
  </si>
  <si>
    <t>9586201046</t>
  </si>
  <si>
    <t>3713667308</t>
  </si>
  <si>
    <t>FFGPM8509J</t>
  </si>
  <si>
    <t>458038276500</t>
  </si>
  <si>
    <t>3265653537</t>
  </si>
  <si>
    <t>SBIN0280475</t>
  </si>
  <si>
    <t>VANKARVAS, GAMANPURA, VTC-GAMANPURA, PO-BALOL, MAHESANA, 384410</t>
  </si>
  <si>
    <t>VE1136</t>
  </si>
  <si>
    <t>CHAVDA DHARMISHTHA JETHABHAI</t>
  </si>
  <si>
    <t>DHARMISHTHA JETHABHAI CHAVDA</t>
  </si>
  <si>
    <t>CHAVDA</t>
  </si>
  <si>
    <t>DHARMISHTHA</t>
  </si>
  <si>
    <t>JETHABHAI</t>
  </si>
  <si>
    <t>8511772839</t>
  </si>
  <si>
    <t>BWQPC8452B</t>
  </si>
  <si>
    <t>326303331904</t>
  </si>
  <si>
    <t>37893586128</t>
  </si>
  <si>
    <t>SBIN0012000</t>
  </si>
  <si>
    <t>3/11, L.I.G FLAT BAPUNAGAR, HUDCO PROJECT, AHMEDABAD, 380024</t>
  </si>
  <si>
    <t>VE1277</t>
  </si>
  <si>
    <t>CHRISTIAN STAVAN BENJAMINBHAI</t>
  </si>
  <si>
    <t>STAVAN</t>
  </si>
  <si>
    <t>BENJAMINBHAI</t>
  </si>
  <si>
    <t>8140732712</t>
  </si>
  <si>
    <t>3713818634</t>
  </si>
  <si>
    <t>CHWPC7827G</t>
  </si>
  <si>
    <t>821764579669</t>
  </si>
  <si>
    <t>39652116266</t>
  </si>
  <si>
    <t>B-65, DIVYAPRABHA RO-HOUSE, OPP. GANDHI PARK, VIRATNAGAR ROAD, ODHAV, AHMEDABAD, 382415</t>
  </si>
  <si>
    <t>VE1276</t>
  </si>
  <si>
    <t>PARMAR PRIYANSH NVAVINBHAI</t>
  </si>
  <si>
    <t>PARMAR PRIYANSH</t>
  </si>
  <si>
    <t>PRIYANSH</t>
  </si>
  <si>
    <t>NVAVINBHAI</t>
  </si>
  <si>
    <t>9157448744 
8460134844</t>
  </si>
  <si>
    <t>3713974775</t>
  </si>
  <si>
    <t>EVIPP2437R</t>
  </si>
  <si>
    <t>518872241179</t>
  </si>
  <si>
    <t>353502010508097</t>
  </si>
  <si>
    <t>UBIN0535354</t>
  </si>
  <si>
    <t>26, SHRI RAM NAGAR SOCIETY, KALAPINAGAR, ASHARVA, AHMEDABAD, 380016</t>
  </si>
  <si>
    <t>VE1177</t>
  </si>
  <si>
    <t>PATEL</t>
  </si>
  <si>
    <t>HARSHKUMAR</t>
  </si>
  <si>
    <t>7874598936  9586057955</t>
  </si>
  <si>
    <t>3713234147</t>
  </si>
  <si>
    <t>FSEPP6547J</t>
  </si>
  <si>
    <t>279196120788</t>
  </si>
  <si>
    <t>37494197192</t>
  </si>
  <si>
    <t>SBIN0016060</t>
  </si>
  <si>
    <t>A/131, AMAR TENAMENT MAHALXMI CORNER PASE VATVA AHMEDABAD 382440</t>
  </si>
  <si>
    <t>VE1304</t>
  </si>
  <si>
    <t>CHRISTIAN SHRADDHA MAHESHBHAI</t>
  </si>
  <si>
    <t>CHRISTIAN SHRADDHA</t>
  </si>
  <si>
    <t xml:space="preserve">CHRISTIAN </t>
  </si>
  <si>
    <t>SHRADDHA</t>
  </si>
  <si>
    <t>MAHESHBHAI</t>
  </si>
  <si>
    <t>9104699473
7567315416</t>
  </si>
  <si>
    <t>3713278160</t>
  </si>
  <si>
    <t>BHAPC4800N</t>
  </si>
  <si>
    <t>376398194700</t>
  </si>
  <si>
    <t>32401509481</t>
  </si>
  <si>
    <t>SBIN0001203</t>
  </si>
  <si>
    <t>15/B, DIVYAPRABHA SOCIETY NR, OIL WELL VIRATNAGAR ODHAV AHMEDABAD 382415</t>
  </si>
  <si>
    <t>VE1217</t>
  </si>
  <si>
    <t>KOTADIYA NIKUNJKUMAR HIMATBHAI</t>
  </si>
  <si>
    <t>KOTADIYA</t>
  </si>
  <si>
    <t>NIKUNJKUMAR</t>
  </si>
  <si>
    <t>HIMATBHAI</t>
  </si>
  <si>
    <t>9409527587
6351028566</t>
  </si>
  <si>
    <t>HHWPK3250C</t>
  </si>
  <si>
    <t>799060059034</t>
  </si>
  <si>
    <t>37002165661</t>
  </si>
  <si>
    <t>SBIN0060032</t>
  </si>
  <si>
    <t>BORDI AMRELI 365640</t>
  </si>
  <si>
    <t>VE1194</t>
  </si>
  <si>
    <t>VALAND</t>
  </si>
  <si>
    <t>ASHVINKUMAR</t>
  </si>
  <si>
    <t>3714147132</t>
  </si>
  <si>
    <t>596017590082</t>
  </si>
  <si>
    <t>210110110009128</t>
  </si>
  <si>
    <t>BKID0002101</t>
  </si>
  <si>
    <t>83, VALAND VAS NR AMBAJI MATA NARODA GAM NARODA AHMEDABAD 382330</t>
  </si>
  <si>
    <t>VE1215</t>
  </si>
  <si>
    <t>CHRISTIAN SWEETY SHAILESHBHAI</t>
  </si>
  <si>
    <t>CHRISTIAN SWEETY</t>
  </si>
  <si>
    <t>SWEETY</t>
  </si>
  <si>
    <t>SHAILESHBHAI</t>
  </si>
  <si>
    <t>CPGPC2513B</t>
  </si>
  <si>
    <t>470731405019</t>
  </si>
  <si>
    <t>201210510006593</t>
  </si>
  <si>
    <t>BKID0002012</t>
  </si>
  <si>
    <t>INDIRA NAGAR, RANIPUR GAM SHAHWADI NAROL AHMEDABAD 382405</t>
  </si>
  <si>
    <t>VE1193</t>
  </si>
  <si>
    <t>JADAV DIPALI BHARATBHAI</t>
  </si>
  <si>
    <t xml:space="preserve">JADAV DIPALI </t>
  </si>
  <si>
    <t>JADAV</t>
  </si>
  <si>
    <t>DIPALI</t>
  </si>
  <si>
    <t>BHARATBHAI</t>
  </si>
  <si>
    <t>3713315260</t>
  </si>
  <si>
    <t>BSRPJ0364C</t>
  </si>
  <si>
    <t>415968875612</t>
  </si>
  <si>
    <t>20164541104</t>
  </si>
  <si>
    <t>SBIN0003093</t>
  </si>
  <si>
    <t>1494-30,LALPURI MATANI VADI SAME,SWAMINARAYAN MANDIR NI CHALI,DARIYAPUR,A'BAD,380016</t>
  </si>
  <si>
    <t>VE1310</t>
  </si>
  <si>
    <t>CHRISTIAN NANCY SATISHKUMAR</t>
  </si>
  <si>
    <t>CHRISTIAN NANCY</t>
  </si>
  <si>
    <t>NANCY</t>
  </si>
  <si>
    <t>SATISHKUMAR</t>
  </si>
  <si>
    <t>3713773496</t>
  </si>
  <si>
    <t>BXIPC8554R</t>
  </si>
  <si>
    <t>249626045036</t>
  </si>
  <si>
    <t>43150100017327</t>
  </si>
  <si>
    <t>BARB0NAROLX</t>
  </si>
  <si>
    <t>D-10 TRIMURTI SOCIETY,NEW SHAMA ROAD,VADODARA,390024</t>
  </si>
  <si>
    <t>VE1090</t>
  </si>
  <si>
    <t>PATEL RIDDHIBEN DASHRATHBHAI</t>
  </si>
  <si>
    <t>RIDDHIBEN</t>
  </si>
  <si>
    <t>DASHRATBHAI</t>
  </si>
  <si>
    <t>3712661336</t>
  </si>
  <si>
    <t>FBZPP0180B</t>
  </si>
  <si>
    <t>541405399807</t>
  </si>
  <si>
    <t>A-13 KAMWSWAR SOCIETY,HIRAVADI,SAIJPUR BOGHA,A'BAD,382345</t>
  </si>
  <si>
    <t>VE1242</t>
  </si>
  <si>
    <t>PATNI PINKAL VINODKUMAR</t>
  </si>
  <si>
    <t>PINKAL VINODKUMAR PATNI</t>
  </si>
  <si>
    <t>PINKAL</t>
  </si>
  <si>
    <t>VINNODKUMAR</t>
  </si>
  <si>
    <t>3713099985</t>
  </si>
  <si>
    <t>EQQPP7732E</t>
  </si>
  <si>
    <t>638272708069</t>
  </si>
  <si>
    <t>2138001500022958</t>
  </si>
  <si>
    <t>PUNB0213800</t>
  </si>
  <si>
    <t>10/187 SUBHLAXMI FLAT,D-19 VIMAYOJNA DAVALKHANA PASE,BAPUNAGAR,A'BAD,380024</t>
  </si>
  <si>
    <t>VE1318</t>
  </si>
  <si>
    <t>SUMERA BHAVESH DINESHBHAI</t>
  </si>
  <si>
    <t>SUMERA BHAVESH</t>
  </si>
  <si>
    <t>SUMERA</t>
  </si>
  <si>
    <t>BHAVESH</t>
  </si>
  <si>
    <t>3713930165</t>
  </si>
  <si>
    <t>NACPS2145K</t>
  </si>
  <si>
    <t>935008145212</t>
  </si>
  <si>
    <t>201510110014893</t>
  </si>
  <si>
    <t>BKID0002015</t>
  </si>
  <si>
    <t>7 BAHUCHAR NAGAR,OPP MANIBEN CHALI,THAKKARBAPANAGAR,A'BAD,382350</t>
  </si>
  <si>
    <t>VE1299</t>
  </si>
  <si>
    <t>DAMOR RAJNIBEN RATANBHAI</t>
  </si>
  <si>
    <t>RAJNIBEN</t>
  </si>
  <si>
    <t>RATANBHAI</t>
  </si>
  <si>
    <t>3712893461</t>
  </si>
  <si>
    <t>DZSPD6355K</t>
  </si>
  <si>
    <t>285957080550</t>
  </si>
  <si>
    <t>89930100008993</t>
  </si>
  <si>
    <t>DHAKRI FALIYU ,VAGHELA,DAHOD,389170</t>
  </si>
  <si>
    <t>VE1201</t>
  </si>
  <si>
    <t>PATANI ANJALI VINODKUMAR</t>
  </si>
  <si>
    <t>ANJALI VINODKUMAR  PATANI</t>
  </si>
  <si>
    <t>ANJALI</t>
  </si>
  <si>
    <t>VINODKUMAR</t>
  </si>
  <si>
    <t>3713278211</t>
  </si>
  <si>
    <t>211745540695</t>
  </si>
  <si>
    <t>2138001500023133</t>
  </si>
  <si>
    <t>10/187,SHUBHLAXMIN ACCOCIATE,URBAN A YOJNA ,BAPUNAGAR,A'BAD,380024</t>
  </si>
  <si>
    <t>VE1179</t>
  </si>
  <si>
    <t>CHADHARI</t>
  </si>
  <si>
    <t>BALVANTBHAI</t>
  </si>
  <si>
    <t>3713233945</t>
  </si>
  <si>
    <t>366036780427</t>
  </si>
  <si>
    <t>38979969550</t>
  </si>
  <si>
    <t>SBIN0000450</t>
  </si>
  <si>
    <t>2 VAIBHAV DUPLEX,CHINDIYA DARVAJA,PATAN,384265</t>
  </si>
  <si>
    <t>VE1144</t>
  </si>
  <si>
    <t>GARASIYA SONALBEN RAHULBHAI</t>
  </si>
  <si>
    <t>GARASIYA</t>
  </si>
  <si>
    <t>SONALBEN</t>
  </si>
  <si>
    <t>RAHULBHAI</t>
  </si>
  <si>
    <t>3713236832</t>
  </si>
  <si>
    <t>DKNPG9463H</t>
  </si>
  <si>
    <t>966784831856</t>
  </si>
  <si>
    <t>55430100005893</t>
  </si>
  <si>
    <t>BARB0AKHABA</t>
  </si>
  <si>
    <t>23/269, AKASHDIP APP. NR. AKHABAR NAGAR, NAVA VADAJ, AHMEDABAD, 380013</t>
  </si>
  <si>
    <t>VE1147</t>
  </si>
  <si>
    <t>GOHEL ANJALI RAMESHBHAI</t>
  </si>
  <si>
    <t>GOHEL ANJALI</t>
  </si>
  <si>
    <t>GOHEL</t>
  </si>
  <si>
    <t>8758857231</t>
  </si>
  <si>
    <t>DJDPG7671A</t>
  </si>
  <si>
    <t>210043379139</t>
  </si>
  <si>
    <t>0696010026700</t>
  </si>
  <si>
    <t>69, ASHOK MILL NI JUNI CHALI, NEAR ANIL STARCH ROAD, SARASPUR, AHMEDABAD, 380018</t>
  </si>
  <si>
    <t>VE1309</t>
  </si>
  <si>
    <t>PATEL DIVYANG JASHVANTBHAI</t>
  </si>
  <si>
    <t>PATEL DIVYANG</t>
  </si>
  <si>
    <t>DIVYANG</t>
  </si>
  <si>
    <t>JASHVANTBHAI</t>
  </si>
  <si>
    <t>8160681214</t>
  </si>
  <si>
    <t>3713715127</t>
  </si>
  <si>
    <t>687954639282</t>
  </si>
  <si>
    <t>210110500003979</t>
  </si>
  <si>
    <t>122, ASHOK MILL NI NAVI CHALI, NARODA ROAD, AHMEDABAD, 382330</t>
  </si>
  <si>
    <t>VE1168</t>
  </si>
  <si>
    <t>PATEL HINALI MANOJBHAI</t>
  </si>
  <si>
    <t>PATEL HINALI</t>
  </si>
  <si>
    <t>HINALI</t>
  </si>
  <si>
    <t>MANOJBHAI</t>
  </si>
  <si>
    <t>9106686134</t>
  </si>
  <si>
    <t>3713888507</t>
  </si>
  <si>
    <t>595525670477</t>
  </si>
  <si>
    <t>38765702645</t>
  </si>
  <si>
    <t>SBIN0016685</t>
  </si>
  <si>
    <t>3/1, SECTOR 30, GANDHINAGAR, 383020</t>
  </si>
  <si>
    <t>VE1167</t>
  </si>
  <si>
    <t>SOMALAVALA</t>
  </si>
  <si>
    <t>RAJESHKUMAR</t>
  </si>
  <si>
    <t>8320301513</t>
  </si>
  <si>
    <t>3713803444</t>
  </si>
  <si>
    <t>874548196598</t>
  </si>
  <si>
    <t>20281861447</t>
  </si>
  <si>
    <t>31/47, MOTILAL LALLUBHAI NI CHALI, OPP. GREEN CITY, ASARVA, AHMEDABAD, 380016</t>
  </si>
  <si>
    <t>VE1307</t>
  </si>
  <si>
    <t>BORISA DIPA NARESHBHAI</t>
  </si>
  <si>
    <t>BORISA DIPA</t>
  </si>
  <si>
    <t>BORISA</t>
  </si>
  <si>
    <t>DIPA</t>
  </si>
  <si>
    <t>NARESHBHAI</t>
  </si>
  <si>
    <t>9512601094</t>
  </si>
  <si>
    <t>DMWPB9297K</t>
  </si>
  <si>
    <t>925088143943</t>
  </si>
  <si>
    <t>36243091756</t>
  </si>
  <si>
    <t>SBIN0001045</t>
  </si>
  <si>
    <t>4, DHARMNATH PRABHU SOCIETY, OPP STYAM VIDYALAY, NARODA, AHMEDABAD, 382330</t>
  </si>
  <si>
    <t>VE1308</t>
  </si>
  <si>
    <t>DARJI NEHAL BHAVESHBHAI</t>
  </si>
  <si>
    <t>DARJI NEHAL</t>
  </si>
  <si>
    <t>DARJI</t>
  </si>
  <si>
    <t>NEHAL</t>
  </si>
  <si>
    <t>BHSHBHAI</t>
  </si>
  <si>
    <t>6351943038</t>
  </si>
  <si>
    <t>FCTPD2690P</t>
  </si>
  <si>
    <t>368862694247</t>
  </si>
  <si>
    <t>29090100020455</t>
  </si>
  <si>
    <t>BARB0ISANPU</t>
  </si>
  <si>
    <t>2H, 25,5, GAYATRINAGAR, OPP. JETHABHAI VAVV, ISANPUR, AHMEDABAD, 382443</t>
  </si>
  <si>
    <t>VE1278</t>
  </si>
  <si>
    <t>AJMERI KARUKSHA AHMEDBHAI</t>
  </si>
  <si>
    <t>KARUKSHA AHMEDBHAI AJMERI</t>
  </si>
  <si>
    <t>AJMERI</t>
  </si>
  <si>
    <t>KARUKSHA</t>
  </si>
  <si>
    <t>AHMEDBHAI</t>
  </si>
  <si>
    <t>9974884253</t>
  </si>
  <si>
    <t>BARB0DUDHSA</t>
  </si>
  <si>
    <t>CMCPA5135N</t>
  </si>
  <si>
    <t>463855116041</t>
  </si>
  <si>
    <t>3685387882</t>
  </si>
  <si>
    <t>357, NEAR DADI BIBI MASJID, JAMALPUR, AHMEDABAD, 380001</t>
  </si>
  <si>
    <t>VE1207</t>
  </si>
  <si>
    <t>KAJALBEN DINESHBHAI PATEL</t>
  </si>
  <si>
    <t>KAJALBEN</t>
  </si>
  <si>
    <t>7862047899</t>
  </si>
  <si>
    <t>491788233462</t>
  </si>
  <si>
    <t>30990100008901</t>
  </si>
  <si>
    <t>DIYOLI, SABARKANTHA, 383410</t>
  </si>
  <si>
    <t>VE1097</t>
  </si>
  <si>
    <t>RAJPAL</t>
  </si>
  <si>
    <t>VINAYAKBHAI</t>
  </si>
  <si>
    <t>8849631479</t>
  </si>
  <si>
    <t>3712454766</t>
  </si>
  <si>
    <t>DONPR3329H</t>
  </si>
  <si>
    <t>347082837692</t>
  </si>
  <si>
    <t>3676680687</t>
  </si>
  <si>
    <t>E, 402, VRUNDAVAN RESIDENCY, NAVA NARODA, AHMEDABAD, 382330</t>
  </si>
  <si>
    <t>VE1156</t>
  </si>
  <si>
    <t>SOLANKI VRUSHALIBEN NIPULKUMAR</t>
  </si>
  <si>
    <t>VRUSHALIBEN</t>
  </si>
  <si>
    <t>NIPULKUMAR</t>
  </si>
  <si>
    <t>9898612208</t>
  </si>
  <si>
    <t>3714129342</t>
  </si>
  <si>
    <t>KATPS8840B</t>
  </si>
  <si>
    <t>979276880165</t>
  </si>
  <si>
    <t>1960001500018162</t>
  </si>
  <si>
    <t>PUNB0196000</t>
  </si>
  <si>
    <t>101, MIRA MANTHAN RAIPUR SOCIETY, AABAD DAIRI PACHAL, KANKARIYA, AHMEDABAD, 380022</t>
  </si>
  <si>
    <t>VE1241</t>
  </si>
  <si>
    <t>CHRISTIAN WELLKIN WINDSEND</t>
  </si>
  <si>
    <t>WELLKIN WINDSEND CHRISTIAN</t>
  </si>
  <si>
    <t>WELLKIN</t>
  </si>
  <si>
    <t>WINDSEND</t>
  </si>
  <si>
    <t>6353546261</t>
  </si>
  <si>
    <t>CGZPC5044D</t>
  </si>
  <si>
    <t>466895021685</t>
  </si>
  <si>
    <t>201210110011608</t>
  </si>
  <si>
    <t>B/36, NEW RANIPUR GAM, NAROL, AHMEDABAD, 382405</t>
  </si>
  <si>
    <t>VE1320</t>
  </si>
  <si>
    <t>BALDANEEYA REENKALBEN RAMJEEBHAI</t>
  </si>
  <si>
    <t>BALDANEEYA</t>
  </si>
  <si>
    <t>REENKALBEN</t>
  </si>
  <si>
    <t>RAMJEEBHAI</t>
  </si>
  <si>
    <t>693274166233</t>
  </si>
  <si>
    <t>32997083463</t>
  </si>
  <si>
    <t>SBI0060026</t>
  </si>
  <si>
    <t>JALVADAR, THALIYA, BHAVNAGAR, 363145</t>
  </si>
  <si>
    <t>VE1142</t>
  </si>
  <si>
    <t>PATEL CHIRAGKUMAR ARVINDBHAI</t>
  </si>
  <si>
    <t>PATEL CHIRAGBHAI ARVINDBHAI</t>
  </si>
  <si>
    <t>CHIRAGBHAI</t>
  </si>
  <si>
    <t>ARVINDBHAI</t>
  </si>
  <si>
    <t>EVSPP5165A</t>
  </si>
  <si>
    <t>832986267320</t>
  </si>
  <si>
    <t>38064587571</t>
  </si>
  <si>
    <t>SBIN0060323</t>
  </si>
  <si>
    <t>160, VAD FALIYU, VADELA, DAHOD, 389140</t>
  </si>
  <si>
    <t>VE1039</t>
  </si>
  <si>
    <t>TWINKLE YADAV SHRIRAM</t>
  </si>
  <si>
    <t>TWINKLE YADAV</t>
  </si>
  <si>
    <t>YADAV</t>
  </si>
  <si>
    <t>TWINKLE</t>
  </si>
  <si>
    <t>SHRI RAM YADAV</t>
  </si>
  <si>
    <t>8347440866</t>
  </si>
  <si>
    <t>AUIPY1816E</t>
  </si>
  <si>
    <t>328122097742</t>
  </si>
  <si>
    <t>20368864237</t>
  </si>
  <si>
    <t>SBIN0014940</t>
  </si>
  <si>
    <t>FATEHPUR, DODHARA, BIBIPUR, MAU, UTTARPRADESH</t>
  </si>
  <si>
    <t>VE1080</t>
  </si>
  <si>
    <t xml:space="preserve">NAI HASMUKHKUMAR LAXMANBHAI </t>
  </si>
  <si>
    <t>NAI HASMUKHKUMAR LAXMANBHAI</t>
  </si>
  <si>
    <t>NAI</t>
  </si>
  <si>
    <t>HASHMUKHKUMAR</t>
  </si>
  <si>
    <t>LAXMANBHAI</t>
  </si>
  <si>
    <t>01/06/1978</t>
  </si>
  <si>
    <t>B.COM</t>
  </si>
  <si>
    <t>9574150744</t>
  </si>
  <si>
    <t>3712541839</t>
  </si>
  <si>
    <t>242699725914</t>
  </si>
  <si>
    <t>3225648853</t>
  </si>
  <si>
    <t>73/3 KRISHNDHAM AAVAS YOJNA - 2,VEJALPUR,AMBAVADI VISTAR,A'BAD,380015</t>
  </si>
  <si>
    <t>VE1198</t>
  </si>
  <si>
    <t xml:space="preserve">BANSU JAYESH RAMESHBHAI </t>
  </si>
  <si>
    <t xml:space="preserve">BANSU JAYESH </t>
  </si>
  <si>
    <t>BANSU</t>
  </si>
  <si>
    <t>JAYESH</t>
  </si>
  <si>
    <t>09/04/1980</t>
  </si>
  <si>
    <t>9016359771</t>
  </si>
  <si>
    <t>3712541845</t>
  </si>
  <si>
    <t>FLTPP7467M</t>
  </si>
  <si>
    <t>420965808774</t>
  </si>
  <si>
    <t>3225648514</t>
  </si>
  <si>
    <t>A/10 DHANLAXMI FLAT,AMRAIWADI,BALIYAVAS,A'BAD,380026</t>
  </si>
  <si>
    <t>VE1218</t>
  </si>
  <si>
    <t>SOLANKI POOJA GOPALBHAI</t>
  </si>
  <si>
    <t xml:space="preserve">SOLANKI POOJA </t>
  </si>
  <si>
    <t>POOJA</t>
  </si>
  <si>
    <t>GOPALBHAI</t>
  </si>
  <si>
    <t>24/07/1993</t>
  </si>
  <si>
    <t>9974613340</t>
  </si>
  <si>
    <t>3712018403</t>
  </si>
  <si>
    <t>AOUPR1587D</t>
  </si>
  <si>
    <t>988281201037</t>
  </si>
  <si>
    <t>3625324390</t>
  </si>
  <si>
    <t>21 HARINAGAR SOCIETY,BHARGAV ROAD,MEGHANINAGAR,A'BAD,380016</t>
  </si>
  <si>
    <t>VE1081</t>
  </si>
  <si>
    <t xml:space="preserve">SHUKLA HETAL NILESH </t>
  </si>
  <si>
    <t>SHUKLA HETALBEN</t>
  </si>
  <si>
    <t>SHUKLA</t>
  </si>
  <si>
    <t>HETAL</t>
  </si>
  <si>
    <t>NILESH</t>
  </si>
  <si>
    <t>17/02/1981</t>
  </si>
  <si>
    <t>9773060056</t>
  </si>
  <si>
    <t>3712541974</t>
  </si>
  <si>
    <t>BULPP0960N</t>
  </si>
  <si>
    <t>585801250051</t>
  </si>
  <si>
    <t>3644024665</t>
  </si>
  <si>
    <t>R-501,KRISH EXOTICA,NR HABJIBAPA,NIKOL,A'BAD,382350</t>
  </si>
  <si>
    <t>VE1141</t>
  </si>
  <si>
    <t>RATHOD JIGNA BALDEVBHAI</t>
  </si>
  <si>
    <t>RATHOD JIGNA</t>
  </si>
  <si>
    <t>JIGNA</t>
  </si>
  <si>
    <t>BALDEVBHAI</t>
  </si>
  <si>
    <t>22/02/1994</t>
  </si>
  <si>
    <t>7227010148</t>
  </si>
  <si>
    <t>3713869637</t>
  </si>
  <si>
    <t>FFQPR3075Q</t>
  </si>
  <si>
    <t>554038037278</t>
  </si>
  <si>
    <t>206810310000543</t>
  </si>
  <si>
    <t>38,MADHUVAN SOCIETY PART - 1 ,LIMDA BUS STOP,BHARGHAV ROAD,MEGHANINAGAAR,A'BAD</t>
  </si>
  <si>
    <t>VE1047</t>
  </si>
  <si>
    <t>BHALGAMDIYA SHIVANGINI JAGDISHBHAI</t>
  </si>
  <si>
    <t>BHALGAMDIYA</t>
  </si>
  <si>
    <t>SHIVANGINI</t>
  </si>
  <si>
    <t>10/09/1992</t>
  </si>
  <si>
    <t>B.A</t>
  </si>
  <si>
    <t>TELEPHONE OPERATOR</t>
  </si>
  <si>
    <t>8511848587</t>
  </si>
  <si>
    <t>3712407419</t>
  </si>
  <si>
    <t>GPTPP7453A</t>
  </si>
  <si>
    <t>845732231210</t>
  </si>
  <si>
    <t>3673929570</t>
  </si>
  <si>
    <t>2197 MURLIDHARNI KHADKI,BHANDERI NI POL,KALUPUR,A'BAD,380001</t>
  </si>
  <si>
    <t>VE1046</t>
  </si>
  <si>
    <t>RAHESHIYA</t>
  </si>
  <si>
    <t>26/07/2000</t>
  </si>
  <si>
    <t>6355456793</t>
  </si>
  <si>
    <t>3713803232</t>
  </si>
  <si>
    <t>KVUPS0389K</t>
  </si>
  <si>
    <t>889393490367</t>
  </si>
  <si>
    <t>30380100019284</t>
  </si>
  <si>
    <t>BARB0KH0KHR</t>
  </si>
  <si>
    <t>JAYSHREE SHAKTINAGAR NA CHHAPRA,AMRAPALI CINEMA,GOMTIPUR,A'BAD,380021</t>
  </si>
  <si>
    <t>VE1048</t>
  </si>
  <si>
    <t>SENGAL DIPAK HASMUKHBHAI</t>
  </si>
  <si>
    <t>SENGAL DIPAK</t>
  </si>
  <si>
    <t>SENGAL</t>
  </si>
  <si>
    <t>DIPAK</t>
  </si>
  <si>
    <t>30/08/1998</t>
  </si>
  <si>
    <t>MA, B.ED</t>
  </si>
  <si>
    <t>7383546901</t>
  </si>
  <si>
    <t>3712295677</t>
  </si>
  <si>
    <t>423217469817</t>
  </si>
  <si>
    <t>3661454407</t>
  </si>
  <si>
    <t>AMRAJI MOTIJI NI CHALI,KALAPINAGAR,ASARWA,A'BAD,380016</t>
  </si>
  <si>
    <t>VE1163</t>
  </si>
  <si>
    <t xml:space="preserve">GOHEL BHARTI UMESHKUMAR </t>
  </si>
  <si>
    <t>BHARTI UMESHKUMAR GOHEL</t>
  </si>
  <si>
    <t xml:space="preserve">GOHEL </t>
  </si>
  <si>
    <t xml:space="preserve">BHARTI </t>
  </si>
  <si>
    <t>UMESHKUMAR</t>
  </si>
  <si>
    <t>03/06/1977</t>
  </si>
  <si>
    <t>9913713679</t>
  </si>
  <si>
    <t>3712541996</t>
  </si>
  <si>
    <t>520826911268</t>
  </si>
  <si>
    <t>3671445242</t>
  </si>
  <si>
    <t>A-71 AGRESAN TOWER,OPP CIVIL GATE NO 2 SHAHIBAUGH,A'BAD,380004</t>
  </si>
  <si>
    <t>VE1286</t>
  </si>
  <si>
    <t xml:space="preserve">RATHOD JIGNESH DINESHBHAI </t>
  </si>
  <si>
    <t>RATHOD JIGNESH</t>
  </si>
  <si>
    <t>JIGNESH</t>
  </si>
  <si>
    <t>26/08/1995</t>
  </si>
  <si>
    <t>B.COM, CCC</t>
  </si>
  <si>
    <t>3713235501</t>
  </si>
  <si>
    <t>BQJPA1554K</t>
  </si>
  <si>
    <t>861288392696</t>
  </si>
  <si>
    <t>3712028494</t>
  </si>
  <si>
    <t>20/468, GUJARAT HOUSING BOARD, MEGHANINAGAR, AHMEDABAD. 380016</t>
  </si>
  <si>
    <t>VE1219</t>
  </si>
  <si>
    <t>PATEL RUCHI UPERANDRABHAI</t>
  </si>
  <si>
    <t>PATEL RUCHI</t>
  </si>
  <si>
    <t>RUCHI</t>
  </si>
  <si>
    <t>UPERANDRABHAI</t>
  </si>
  <si>
    <t>19/04/2000</t>
  </si>
  <si>
    <t>9586320167</t>
  </si>
  <si>
    <t>3713845031</t>
  </si>
  <si>
    <t>BQPPC9002A</t>
  </si>
  <si>
    <t>801593925366</t>
  </si>
  <si>
    <t>78100100008721</t>
  </si>
  <si>
    <t>BARB0VJSAPU</t>
  </si>
  <si>
    <t>48/8, MOTI SALVI VAL, SARASPUR, AHMEDABAD. 380018</t>
  </si>
  <si>
    <t>VE1073</t>
  </si>
  <si>
    <t>THAKOR JAHANVIBAHEN KANUBHAI</t>
  </si>
  <si>
    <t>THAKOR</t>
  </si>
  <si>
    <t>JAHANVIBAHEN</t>
  </si>
  <si>
    <t>17/10/1998</t>
  </si>
  <si>
    <t>BA</t>
  </si>
  <si>
    <t>7046599094</t>
  </si>
  <si>
    <t>FEWPP0414L</t>
  </si>
  <si>
    <t>584400944375</t>
  </si>
  <si>
    <t>353502010519272</t>
  </si>
  <si>
    <t>PILAVALO VAS, ASARWA, AHMEDABAD. 380016</t>
  </si>
  <si>
    <t>VE1243</t>
  </si>
  <si>
    <t>JIGNESHKUMAR NATVARBHAI KOTAD</t>
  </si>
  <si>
    <t>JIGNESHKUMAR KOTAD</t>
  </si>
  <si>
    <t>KOTAD</t>
  </si>
  <si>
    <t>JIGNESHKUMAR</t>
  </si>
  <si>
    <t>NATVARBHAI</t>
  </si>
  <si>
    <t>15/06/1996</t>
  </si>
  <si>
    <t>MA ,TALLY</t>
  </si>
  <si>
    <t>9909206312</t>
  </si>
  <si>
    <t>3713236268</t>
  </si>
  <si>
    <t>481763321780</t>
  </si>
  <si>
    <t>33094430553</t>
  </si>
  <si>
    <t>SBIN0007476</t>
  </si>
  <si>
    <t>14 SIVABHAI NU DELU, RANIP. AHMEDABAD. 382480</t>
  </si>
  <si>
    <t>VE1220</t>
  </si>
  <si>
    <t xml:space="preserve">PATELIYA NIMESHKUMAR PIYUSHBHAI </t>
  </si>
  <si>
    <t>NIMESHKUMAR PATELIYA</t>
  </si>
  <si>
    <t>PATELIYA</t>
  </si>
  <si>
    <t>NIMESHKUMAR</t>
  </si>
  <si>
    <t>PIYUSHBHAI</t>
  </si>
  <si>
    <t>13/06/1992</t>
  </si>
  <si>
    <t>B.ED, CCC</t>
  </si>
  <si>
    <t>8866808748</t>
  </si>
  <si>
    <t>3712407467</t>
  </si>
  <si>
    <t>249279944650</t>
  </si>
  <si>
    <t>3456352747</t>
  </si>
  <si>
    <t>B/26, NEW HIRABAG SOCIETY, CTM CROSS ROAD, AMRAIVADI, AHMEDABAD. 380026</t>
  </si>
  <si>
    <t>VE1025</t>
  </si>
  <si>
    <t>SOLANKI AANAL MANOJKUMAR</t>
  </si>
  <si>
    <t>SOLANKI AANAL</t>
  </si>
  <si>
    <t>AANAL</t>
  </si>
  <si>
    <t>MANOJKUMAR</t>
  </si>
  <si>
    <t>01/09/1996</t>
  </si>
  <si>
    <t>6353874918</t>
  </si>
  <si>
    <t>3712789196</t>
  </si>
  <si>
    <t>328175696097</t>
  </si>
  <si>
    <t>201010110012047</t>
  </si>
  <si>
    <t>BKID0002010</t>
  </si>
  <si>
    <t>6 FIRST FLOOR, GOVIND GOPAL FLAT, NEAR UPASNA SCHOOL, DOLATKHANA, AHMEDABAD. 380001</t>
  </si>
  <si>
    <t>VE1024</t>
  </si>
  <si>
    <t>PARMAR MINAXIBEN HARGOVINDBHAI</t>
  </si>
  <si>
    <t>PARMAR MINAXIBEN</t>
  </si>
  <si>
    <t>MINAXIBEN</t>
  </si>
  <si>
    <t>HARGOVINDBHAI</t>
  </si>
  <si>
    <t>12/10/1993</t>
  </si>
  <si>
    <t>8160959177</t>
  </si>
  <si>
    <t>3713907014</t>
  </si>
  <si>
    <t>744363214591</t>
  </si>
  <si>
    <t>200910110015677</t>
  </si>
  <si>
    <t>BKID0002009</t>
  </si>
  <si>
    <t>1753/6, PITHVALI CHAL, MARIYAM BIBI CHAR RASTYA, RAJPUR, AHMEDABADS. 380021</t>
  </si>
  <si>
    <t>VE1006</t>
  </si>
  <si>
    <t xml:space="preserve">PATEL KEPALBEN JAGDISHBHAI </t>
  </si>
  <si>
    <t>KEPALBEN JAGDISHBHAI PATEL</t>
  </si>
  <si>
    <t>KEPALBEN</t>
  </si>
  <si>
    <t>28/05/1979</t>
  </si>
  <si>
    <t>BA, DTP</t>
  </si>
  <si>
    <t>9727549487, 
8511100422</t>
  </si>
  <si>
    <t>3712541770</t>
  </si>
  <si>
    <t>978435727716</t>
  </si>
  <si>
    <t>3225648977</t>
  </si>
  <si>
    <t>VE1003</t>
  </si>
  <si>
    <t>MEHTA</t>
  </si>
  <si>
    <t>KAUSHIKKUMAR</t>
  </si>
  <si>
    <t>11/12/1985</t>
  </si>
  <si>
    <t>9409571723</t>
  </si>
  <si>
    <t>3712541802</t>
  </si>
  <si>
    <t>804187370519</t>
  </si>
  <si>
    <t>3227086582</t>
  </si>
  <si>
    <t>B/302, SAHAJ SAPPHIRE, OPP APMC, SAHVADI, VASNA, AHMEDABAD, 380055</t>
  </si>
  <si>
    <t>VE1026</t>
  </si>
  <si>
    <t>BHIL RAHUL BHAGVANBHAI</t>
  </si>
  <si>
    <t>RAHUL BHIL</t>
  </si>
  <si>
    <t>BHIL</t>
  </si>
  <si>
    <t>RAHUL</t>
  </si>
  <si>
    <t>BHAGVANBHAI</t>
  </si>
  <si>
    <t>15/03/1998</t>
  </si>
  <si>
    <t>9662704711</t>
  </si>
  <si>
    <t>3713974689</t>
  </si>
  <si>
    <t>CSMPB2494P</t>
  </si>
  <si>
    <t>923509861436</t>
  </si>
  <si>
    <t>3540540507</t>
  </si>
  <si>
    <t>C/87 SECTOR 2,NANDIGRAM SOCIETY,NOBAL NAGAR,NANA CHILODA,A'BAD,382340</t>
  </si>
  <si>
    <t>VE1031</t>
  </si>
  <si>
    <t>CHAVDA MANSI GHANSHYAMBHAI</t>
  </si>
  <si>
    <t>MANSI</t>
  </si>
  <si>
    <t>GHANSHYAMBHAI</t>
  </si>
  <si>
    <t>23/05/1999</t>
  </si>
  <si>
    <t>9327488592</t>
  </si>
  <si>
    <t>3714051395</t>
  </si>
  <si>
    <t>BYWPC9933R</t>
  </si>
  <si>
    <t>551326594962</t>
  </si>
  <si>
    <t>70152210067845</t>
  </si>
  <si>
    <t>CNRB0017015</t>
  </si>
  <si>
    <t>321/20 GAJJAR NIVAS,SATYANARAYAN NAGAR,AMRAIWADI,A'BAD,380026</t>
  </si>
  <si>
    <t>VE1007</t>
  </si>
  <si>
    <t>GOHIL KHUSHBU BALVANTBHAI</t>
  </si>
  <si>
    <t>GOHIL KHUSHBU</t>
  </si>
  <si>
    <t>GOHIL</t>
  </si>
  <si>
    <t>KHUSHBU</t>
  </si>
  <si>
    <t>06/06/1995</t>
  </si>
  <si>
    <t>B.COM,CCC</t>
  </si>
  <si>
    <t>8153053054</t>
  </si>
  <si>
    <t>3811243094</t>
  </si>
  <si>
    <t>CIMPG0554R</t>
  </si>
  <si>
    <t>987063412728</t>
  </si>
  <si>
    <t>50100346200580</t>
  </si>
  <si>
    <t>HDFC0000384</t>
  </si>
  <si>
    <t>HDFC BANK</t>
  </si>
  <si>
    <t>1163 DATTANAGAR,NR AMBIKANAGAR,GOTRI,VADODARA,390021</t>
  </si>
  <si>
    <t>VE1224</t>
  </si>
  <si>
    <t>PARMAR PINKIBEN PARSOTTAMBHAI</t>
  </si>
  <si>
    <t>PINKIBEN PARSOTTAMBHAI PARMAR</t>
  </si>
  <si>
    <t>PINKIBEN</t>
  </si>
  <si>
    <t>PARSOTTAMBHAI</t>
  </si>
  <si>
    <t>24/08/1990</t>
  </si>
  <si>
    <t>BCOM, CCC</t>
  </si>
  <si>
    <t>8758271487</t>
  </si>
  <si>
    <t>3712787499</t>
  </si>
  <si>
    <t>CBFPP6982C</t>
  </si>
  <si>
    <t>991423307500</t>
  </si>
  <si>
    <t>220410110000234</t>
  </si>
  <si>
    <t>BKID0002204</t>
  </si>
  <si>
    <t>AT FULETRA,MEHSANA,382715</t>
  </si>
  <si>
    <t>VE1019</t>
  </si>
  <si>
    <t xml:space="preserve">CHAUHAN VIJAYKUMAR BHIKHABHAI </t>
  </si>
  <si>
    <t>VIJAYKUMAR BHIKHABHAI CHAUHAN</t>
  </si>
  <si>
    <t>CHAUHAN</t>
  </si>
  <si>
    <t>VIJAYKUMAR</t>
  </si>
  <si>
    <t>BHIKHABHAI</t>
  </si>
  <si>
    <t>20/02/1994</t>
  </si>
  <si>
    <t>9601135380</t>
  </si>
  <si>
    <t>3712787480</t>
  </si>
  <si>
    <t>BCUPC4151P</t>
  </si>
  <si>
    <t>948065439899</t>
  </si>
  <si>
    <t>202510110012557</t>
  </si>
  <si>
    <t>BKID0002025</t>
  </si>
  <si>
    <t>27 INDIRANAGAR NA CHHAPRA,NR WATER TANK,IPS STADIUM,NEW BAPUNAGAR,A'BAD,380024</t>
  </si>
  <si>
    <t>VE1250</t>
  </si>
  <si>
    <t>MANISHABN KALASWA</t>
  </si>
  <si>
    <t>KALASVA</t>
  </si>
  <si>
    <t>KANTILAL</t>
  </si>
  <si>
    <t>01/06/1989</t>
  </si>
  <si>
    <t>MA</t>
  </si>
  <si>
    <t>7874743018</t>
  </si>
  <si>
    <t>3713527406</t>
  </si>
  <si>
    <t>HOUPK0460K</t>
  </si>
  <si>
    <t>953309041872</t>
  </si>
  <si>
    <t>3633960211</t>
  </si>
  <si>
    <t>ASARI FALIYU,AT GODHAVALA,VAGHPUR,SABARKANTHA,383350</t>
  </si>
  <si>
    <t>VE1036</t>
  </si>
  <si>
    <t xml:space="preserve">JADEJA DIGVIJAYSINH VANRAJSINH </t>
  </si>
  <si>
    <t>DIGVIJAYBHAI JADEJA</t>
  </si>
  <si>
    <t>JADEJA</t>
  </si>
  <si>
    <t>DIGVIJAYSINH</t>
  </si>
  <si>
    <t>VANRAJSINH</t>
  </si>
  <si>
    <t>12/05/1986</t>
  </si>
  <si>
    <t>9724515436</t>
  </si>
  <si>
    <t>3712893502</t>
  </si>
  <si>
    <t>BEFPJ0139D</t>
  </si>
  <si>
    <t>836150564177</t>
  </si>
  <si>
    <t>3225648285</t>
  </si>
  <si>
    <t>RAJNAGAR,ANTARJAL 5,GANDHIDHAM,PADANA, KACHH. 370240</t>
  </si>
  <si>
    <t>VE1013</t>
  </si>
  <si>
    <t>BHATI</t>
  </si>
  <si>
    <t>30/07/1994</t>
  </si>
  <si>
    <t>9725980377</t>
  </si>
  <si>
    <t>3712661397</t>
  </si>
  <si>
    <t>CGPPB1511G</t>
  </si>
  <si>
    <t>554989812577</t>
  </si>
  <si>
    <t>B/29, SECTOR-2, NANDIGRAM SOC, OPP. NOBEL NAGAR, KUBERNAGAR, AHMEDABAD. 382340</t>
  </si>
  <si>
    <t>VE1037</t>
  </si>
  <si>
    <t>YADAV LAXMIKUMARI YAMUNAPRASAD</t>
  </si>
  <si>
    <t>LAXMIKUMARI</t>
  </si>
  <si>
    <t>YAMUNAPRASAD</t>
  </si>
  <si>
    <t>12/01/2001</t>
  </si>
  <si>
    <t>3713236287</t>
  </si>
  <si>
    <t>BCIPY2354J</t>
  </si>
  <si>
    <t>882719347933</t>
  </si>
  <si>
    <t>37761394449</t>
  </si>
  <si>
    <t>SBIN0006140</t>
  </si>
  <si>
    <t>311,SHAKTINAGAR,NR AVKAR FACTORY,MEMCO,A'BAD,382345</t>
  </si>
  <si>
    <t>VE1199</t>
  </si>
  <si>
    <t>VAGHELA KAIVALYAKUMAR BABUSINH</t>
  </si>
  <si>
    <t>VAGHELA KAIVALYAKUMAR</t>
  </si>
  <si>
    <t>VAGHELA</t>
  </si>
  <si>
    <t>KAIVALYAKUMAR</t>
  </si>
  <si>
    <t>BABUSINH</t>
  </si>
  <si>
    <t>30/12/1992</t>
  </si>
  <si>
    <t>7874510906</t>
  </si>
  <si>
    <t>3711658220</t>
  </si>
  <si>
    <t>268041285372</t>
  </si>
  <si>
    <t>3583360252</t>
  </si>
  <si>
    <t>29-2-93-17,NAVI BECHARDAS NI CHALI,NR MOHAN CINEMA,ASARWA,380016</t>
  </si>
  <si>
    <t>VE1022</t>
  </si>
  <si>
    <t>DAVE SANDIP HIMMATBHAI</t>
  </si>
  <si>
    <t>DAVE SANDIP</t>
  </si>
  <si>
    <t>DAVE</t>
  </si>
  <si>
    <t>SANDIP</t>
  </si>
  <si>
    <t>HIMMATBHAI</t>
  </si>
  <si>
    <t>30/09/2001</t>
  </si>
  <si>
    <t>M.CA</t>
  </si>
  <si>
    <t>9512137360</t>
  </si>
  <si>
    <t>3714051371</t>
  </si>
  <si>
    <t>GATPD6286E</t>
  </si>
  <si>
    <t>290530913602</t>
  </si>
  <si>
    <t>75840100027441</t>
  </si>
  <si>
    <t>BARB0DBMEGN</t>
  </si>
  <si>
    <t>PRAJAPATI VAS, MEGHANINAGAR, AHMEDABAD. 380016</t>
  </si>
  <si>
    <t>VE1038</t>
  </si>
  <si>
    <t>VAGHELA DHAVALSINH JASHVANTSINH</t>
  </si>
  <si>
    <t>DHAVALSINH</t>
  </si>
  <si>
    <t>JASHVANTSINH</t>
  </si>
  <si>
    <t>07/11/1986</t>
  </si>
  <si>
    <t>9924358047</t>
  </si>
  <si>
    <t>3713804688</t>
  </si>
  <si>
    <t>598001108149</t>
  </si>
  <si>
    <t>3471482815</t>
  </si>
  <si>
    <t>2/24, HIRALAL BHOGILAL NI CHAL;I, OPP. CANCER GATE NO. 6, ASARWA, AHMEDABAD. 380016</t>
  </si>
  <si>
    <t>VE1170</t>
  </si>
  <si>
    <t>SOLANKI JIGNESH MULCHANDBHAI</t>
  </si>
  <si>
    <t>SOLANKI JIGNESH</t>
  </si>
  <si>
    <t>MULCHANDBHAI</t>
  </si>
  <si>
    <t>28/01/1998</t>
  </si>
  <si>
    <t>BCOM</t>
  </si>
  <si>
    <t>9054961451</t>
  </si>
  <si>
    <t>3713307140</t>
  </si>
  <si>
    <t>462880263655</t>
  </si>
  <si>
    <t>181501000006011</t>
  </si>
  <si>
    <t>IOBA0001815</t>
  </si>
  <si>
    <t>INDIAN OVERSEAS BANK</t>
  </si>
  <si>
    <t>34 INDIRANAGAR NA CHAPRA, PANIN NI TANKI PASE, BAPUNAGAR, AHMEDABAD. 380024</t>
  </si>
  <si>
    <t>VE1285</t>
  </si>
  <si>
    <t>CHAVDA AJAYSINH VIKRAMSINH</t>
  </si>
  <si>
    <t>CHAVDA AJAYSINH</t>
  </si>
  <si>
    <t>AJAYSINH</t>
  </si>
  <si>
    <t>VIKRAMSINH</t>
  </si>
  <si>
    <t>20/08/1992</t>
  </si>
  <si>
    <t>9016362253</t>
  </si>
  <si>
    <t>3713236239</t>
  </si>
  <si>
    <t>AQCPC6821D</t>
  </si>
  <si>
    <t>438536224773</t>
  </si>
  <si>
    <t>32503929829</t>
  </si>
  <si>
    <t>A/78/4 SHAHIBAUGH SOCIETY ,ASARWA,A'BAD,380016</t>
  </si>
  <si>
    <t>VE1032</t>
  </si>
  <si>
    <t>PRAJAPATI JYOTSANA RUPAJI</t>
  </si>
  <si>
    <t>PRAJAPATI JYOTSANA</t>
  </si>
  <si>
    <t>PRAJAPATI</t>
  </si>
  <si>
    <t>JYOTSANA</t>
  </si>
  <si>
    <t>RUPAJI</t>
  </si>
  <si>
    <t>21/10/1996</t>
  </si>
  <si>
    <t>7862082723</t>
  </si>
  <si>
    <t>3713974639</t>
  </si>
  <si>
    <t>CYKPP6158G</t>
  </si>
  <si>
    <t>542551316136</t>
  </si>
  <si>
    <t>920010012463226</t>
  </si>
  <si>
    <t>MANEKNATH NAGAR, NEAR GAYATRI SICIETY, SAIJPUR, BOGHA, AHMEDABAD, 382345</t>
  </si>
  <si>
    <t>VE1030</t>
  </si>
  <si>
    <t>11/10/1994</t>
  </si>
  <si>
    <t>9313707734
8511992411</t>
  </si>
  <si>
    <t>3713234958</t>
  </si>
  <si>
    <t>ELGPP5478C</t>
  </si>
  <si>
    <t>817792224801</t>
  </si>
  <si>
    <t>3776491641</t>
  </si>
  <si>
    <t>21/188/4 BHOGILALNI CHALI,ASARWA,A'BAD,380016</t>
  </si>
  <si>
    <t>VE1021</t>
  </si>
  <si>
    <t>PARMAR SANJAY RAMESHBHAI</t>
  </si>
  <si>
    <t>SANJAY</t>
  </si>
  <si>
    <t>23/08/2000</t>
  </si>
  <si>
    <t>9081104580</t>
  </si>
  <si>
    <t>389582605164</t>
  </si>
  <si>
    <t>38888571096</t>
  </si>
  <si>
    <t>SBIN0060434</t>
  </si>
  <si>
    <t>SANJAYNAGAR NNA CHHAPRA,CHANDABHAI  NI CHALI,BAPUNAGAR,VTC,A'BAD,380024</t>
  </si>
  <si>
    <t>VE1020</t>
  </si>
  <si>
    <t xml:space="preserve">SONARA MANOJKUMAR BABUBHAI </t>
  </si>
  <si>
    <t>MANOJKUMAR BABUBHAI SONARA</t>
  </si>
  <si>
    <t>SONARA</t>
  </si>
  <si>
    <t>16/01/1990</t>
  </si>
  <si>
    <t>8780315896</t>
  </si>
  <si>
    <t>3711572809</t>
  </si>
  <si>
    <t>GJGPS7202M</t>
  </si>
  <si>
    <t>342731334732</t>
  </si>
  <si>
    <t>3553899244</t>
  </si>
  <si>
    <t>1361/1 SUMAMASTER NI CHALI,GOMTIPUR,HAVADA PASE,RAJPUR,GOMTIPUR,A'BAD,380021</t>
  </si>
  <si>
    <t>VE1134</t>
  </si>
  <si>
    <t xml:space="preserve">PARMAR KAMLESHKUMAR DHIRUBHAI </t>
  </si>
  <si>
    <t>KAMLESHKUMAR DHIRUBHAI PARMAR</t>
  </si>
  <si>
    <t>DHIRUBHAI</t>
  </si>
  <si>
    <t>27/01/1983</t>
  </si>
  <si>
    <t>9924599628</t>
  </si>
  <si>
    <t>3712541724</t>
  </si>
  <si>
    <t>BDRPP9162M</t>
  </si>
  <si>
    <t>461763386686</t>
  </si>
  <si>
    <t>3680450758</t>
  </si>
  <si>
    <t>464/39 SHANTIPURA ,MANUBHAI NI CHALI,GIRDHARNAAR,A;BAD,380016</t>
  </si>
  <si>
    <t>VE1051</t>
  </si>
  <si>
    <t>DIXIT SWETA</t>
  </si>
  <si>
    <t>DIXIT</t>
  </si>
  <si>
    <t>SWETA</t>
  </si>
  <si>
    <t>VINODBHAI</t>
  </si>
  <si>
    <t>22/07/1993</t>
  </si>
  <si>
    <t>8733099715</t>
  </si>
  <si>
    <t>3713633962</t>
  </si>
  <si>
    <t>CSBPD7967G</t>
  </si>
  <si>
    <t>322743970406</t>
  </si>
  <si>
    <t>03110105520</t>
  </si>
  <si>
    <t>KCCB0SDR031</t>
  </si>
  <si>
    <t>THE KALUPUR COMMERCIAL CO-OP BANK</t>
  </si>
  <si>
    <t>52/400 GHB ,KALAPI NAGAR,CHAMANPURA,ASARWA,A'BAD,380016</t>
  </si>
  <si>
    <t>VE1204</t>
  </si>
  <si>
    <t xml:space="preserve">TIWARI LAXMI SUSHIL </t>
  </si>
  <si>
    <t>LAXMI SUSHIL TIWARI</t>
  </si>
  <si>
    <t>TIWARI</t>
  </si>
  <si>
    <t>SUSHIL</t>
  </si>
  <si>
    <t>11/08/1989</t>
  </si>
  <si>
    <t>BDNPD2709L</t>
  </si>
  <si>
    <t>293783935029</t>
  </si>
  <si>
    <t>20137538182</t>
  </si>
  <si>
    <t>SBIN0003791</t>
  </si>
  <si>
    <t>2/304,PURUSHOTTAMNAGARVIBHAG-2,VIRATNAGAR ROAD,NIKOL,A'BAD,382350</t>
  </si>
  <si>
    <t>VE1052</t>
  </si>
  <si>
    <t>PARMAR KINJAL DINESHBHAI</t>
  </si>
  <si>
    <t>PARMAR KINJAL</t>
  </si>
  <si>
    <t>KINJAL</t>
  </si>
  <si>
    <t>04/07/1997</t>
  </si>
  <si>
    <t>B.CA</t>
  </si>
  <si>
    <t>9054071197</t>
  </si>
  <si>
    <t>3712407349</t>
  </si>
  <si>
    <t>ENBPP5295J</t>
  </si>
  <si>
    <t>799104366945</t>
  </si>
  <si>
    <t>3681503803</t>
  </si>
  <si>
    <t>7 CHUVARNAGAR,BHARGAV ROAD,MEGHAANINAGAR,A'BAD,380016</t>
  </si>
  <si>
    <t>VE1043</t>
  </si>
  <si>
    <t>PANDYA KEYURBHAI MANHARBHAI</t>
  </si>
  <si>
    <t>KEYURBHAI</t>
  </si>
  <si>
    <t>MANHARBHAI</t>
  </si>
  <si>
    <t>30/06/1992</t>
  </si>
  <si>
    <t>8690797933</t>
  </si>
  <si>
    <t>3714051490</t>
  </si>
  <si>
    <t>679525044322</t>
  </si>
  <si>
    <t>3064054257</t>
  </si>
  <si>
    <t>CBIN0280555</t>
  </si>
  <si>
    <t>9999 AMBIKA NAGAR,SAIJPUR,BOGHA,GD ROAD,OPP PRABHAKAR,A'BAD,382345</t>
  </si>
  <si>
    <t>VE1029</t>
  </si>
  <si>
    <t>VAGHELA RIPAL JITENDRABHAI</t>
  </si>
  <si>
    <t>RIPAL</t>
  </si>
  <si>
    <t>JITENDRABHAI</t>
  </si>
  <si>
    <t>04/11/1994</t>
  </si>
  <si>
    <t>9624909627</t>
  </si>
  <si>
    <t>ARJPV1300N</t>
  </si>
  <si>
    <t>560135680371</t>
  </si>
  <si>
    <t>20137359680</t>
  </si>
  <si>
    <t>SBIN0013169</t>
  </si>
  <si>
    <t>1 SAHYOG FLATE 2,NR SHANTINATH FLAT,VEJALPUR,A'BAD,380051</t>
  </si>
  <si>
    <t>VE1005</t>
  </si>
  <si>
    <t>AGJA DIVYA NARENDRABHAI</t>
  </si>
  <si>
    <t>DIVYA AGJA</t>
  </si>
  <si>
    <t>AGJA</t>
  </si>
  <si>
    <t>NARENDRABHAI</t>
  </si>
  <si>
    <t>17/09/1997</t>
  </si>
  <si>
    <t>9998282741</t>
  </si>
  <si>
    <t>3714146660</t>
  </si>
  <si>
    <t>CWTPA5040D</t>
  </si>
  <si>
    <t>967147575209</t>
  </si>
  <si>
    <t>2613837080</t>
  </si>
  <si>
    <t>KKBK0000879</t>
  </si>
  <si>
    <t>KOTAK BANK</t>
  </si>
  <si>
    <t>BLOCK NO 81/9 JJE TYPE,SECTOR 17,GANDHINAGAR,382016</t>
  </si>
  <si>
    <t>VE1023</t>
  </si>
  <si>
    <t>PARMAR BHADRESHKUMAR NARESHBHAI</t>
  </si>
  <si>
    <t>PARMAR BHADRESHKUMAR</t>
  </si>
  <si>
    <t>BHADRESHKUMAR</t>
  </si>
  <si>
    <t>18/02/2000</t>
  </si>
  <si>
    <t>MA B.ED, CCC</t>
  </si>
  <si>
    <t>8160553082</t>
  </si>
  <si>
    <t>3713852575</t>
  </si>
  <si>
    <t>FPTPP6777Q</t>
  </si>
  <si>
    <t>528916225353</t>
  </si>
  <si>
    <t>30380100019190</t>
  </si>
  <si>
    <t>BARB0KHOKHR</t>
  </si>
  <si>
    <t>P.KASTIYA CHALI,RAJPUR,GOMTIPUR,A'BAD,380021</t>
  </si>
  <si>
    <t>VE1079</t>
  </si>
  <si>
    <t xml:space="preserve">PARMAR HARSHAD SHANKARLAL </t>
  </si>
  <si>
    <t>HARSHAD SHANKARLAL PARMAR</t>
  </si>
  <si>
    <t>HARSHAD</t>
  </si>
  <si>
    <t>SHANKARLAL</t>
  </si>
  <si>
    <t>31/08/1976</t>
  </si>
  <si>
    <t>MA, COPA</t>
  </si>
  <si>
    <t>9898166068</t>
  </si>
  <si>
    <t>3712541887</t>
  </si>
  <si>
    <t>APUPP1394P</t>
  </si>
  <si>
    <t>496615457723</t>
  </si>
  <si>
    <t>3225649175</t>
  </si>
  <si>
    <t>NAVDURGANI CHALI,RAMAPIR TEKRA,B/H KANJI SHOP,JUNA VADAJ,A'BAD,380013</t>
  </si>
  <si>
    <t>VE1027</t>
  </si>
  <si>
    <t>GOHIL JAYDIP JASHVANTBHAI</t>
  </si>
  <si>
    <t>JAYDIP</t>
  </si>
  <si>
    <t>31/03/1989</t>
  </si>
  <si>
    <t>M.COM</t>
  </si>
  <si>
    <t>9998044009</t>
  </si>
  <si>
    <t>3713981220</t>
  </si>
  <si>
    <t>AZAPG8706C</t>
  </si>
  <si>
    <t>230179978391</t>
  </si>
  <si>
    <t>20346025831</t>
  </si>
  <si>
    <t>SBIN0002628</t>
  </si>
  <si>
    <t>35 KANUBHAI BECHARBHAI CHALI,DANILIMDA,A'BAD,380028</t>
  </si>
  <si>
    <t>VE1009</t>
  </si>
  <si>
    <t xml:space="preserve">PRABHAKAR LEKHANK AMITBHAI </t>
  </si>
  <si>
    <t>LEKHANK AMITBHAI</t>
  </si>
  <si>
    <t>PRABHAKAR</t>
  </si>
  <si>
    <t>LEKHANK</t>
  </si>
  <si>
    <t>AMITBHAI</t>
  </si>
  <si>
    <t>21/10/1994</t>
  </si>
  <si>
    <t>8140480834</t>
  </si>
  <si>
    <t>3714146679</t>
  </si>
  <si>
    <t>DAIPP2738D</t>
  </si>
  <si>
    <t>608421406192</t>
  </si>
  <si>
    <t>203610110004028</t>
  </si>
  <si>
    <t>BKID0002036</t>
  </si>
  <si>
    <t>5 UTTARGUJARAT,SANGAM SOCIETY,MEGHANINAGAR,A'BAD,380016</t>
  </si>
  <si>
    <t>VE1008</t>
  </si>
  <si>
    <t>DESHMUKH PRABHA RAMESHBHAI</t>
  </si>
  <si>
    <t>DESHMUKH PRABHA</t>
  </si>
  <si>
    <t>DESHMUKH</t>
  </si>
  <si>
    <t>PRABHA</t>
  </si>
  <si>
    <t>04/06/1990</t>
  </si>
  <si>
    <t>7698711249</t>
  </si>
  <si>
    <t>3714146786</t>
  </si>
  <si>
    <t>GOCPP9491C</t>
  </si>
  <si>
    <t>525718611503</t>
  </si>
  <si>
    <t>132008001011742</t>
  </si>
  <si>
    <t>THE VIJAY CO-OP BANK LTD</t>
  </si>
  <si>
    <t>214/48,ASHAPURA CHALI,MEGHANINAGAR ROAD,NR LATANAGAR,MEGHANINAGAR,A'BAD,380016</t>
  </si>
  <si>
    <t>VE1087</t>
  </si>
  <si>
    <t>01/10/1977</t>
  </si>
  <si>
    <t>9724426740</t>
  </si>
  <si>
    <t>3712541944</t>
  </si>
  <si>
    <t>BXLPP9526P</t>
  </si>
  <si>
    <t>323364199083</t>
  </si>
  <si>
    <t>3523425655</t>
  </si>
  <si>
    <t>M-50-598 ,ASHIRVAD APPARTMENT,BESIDE TELEPHONE EXCHANGE,NARANPURA,A'BAD,380063</t>
  </si>
  <si>
    <t>VE1015</t>
  </si>
  <si>
    <t>DARJI DIPMALA VIKASBHAI</t>
  </si>
  <si>
    <t>DIPMALA</t>
  </si>
  <si>
    <t>VIKASBHAI</t>
  </si>
  <si>
    <t>20/09/1986</t>
  </si>
  <si>
    <t>9157237661</t>
  </si>
  <si>
    <t>3711572813</t>
  </si>
  <si>
    <t>AUPPD1261K</t>
  </si>
  <si>
    <t>686505771686</t>
  </si>
  <si>
    <t>3554264881</t>
  </si>
  <si>
    <t>C 22 ,AKSHARDHAM SOCIETY,BAPA SITARAM ROAD,NARODA,A'BAD,382330</t>
  </si>
  <si>
    <t>VE1203</t>
  </si>
  <si>
    <t>SOLANKI JAYESH JAGDISHBHAI</t>
  </si>
  <si>
    <t>SOLANKI JAYESHBHAI</t>
  </si>
  <si>
    <t>30/11/1992</t>
  </si>
  <si>
    <t>9714620258</t>
  </si>
  <si>
    <t>3713804794</t>
  </si>
  <si>
    <t>EOKPS3633M</t>
  </si>
  <si>
    <t>309347268721</t>
  </si>
  <si>
    <t>34138361606</t>
  </si>
  <si>
    <t>SBIN0003045</t>
  </si>
  <si>
    <t>1/12, PUNJALAL PRABHUDAS NI CHALI, NEAR D COLONY, NARODA ROAD, AHMEDABAD. 382345</t>
  </si>
  <si>
    <t>VE1088</t>
  </si>
  <si>
    <t>AMRUTLAL</t>
  </si>
  <si>
    <t>08/11/1978</t>
  </si>
  <si>
    <t>9978537445</t>
  </si>
  <si>
    <t>3712541812</t>
  </si>
  <si>
    <t>BBRPP8308R</t>
  </si>
  <si>
    <t>546760552280</t>
  </si>
  <si>
    <t>3013704819</t>
  </si>
  <si>
    <t>AT. BALOL, MAHESHANA. 384410</t>
  </si>
  <si>
    <t>VE1067</t>
  </si>
  <si>
    <t>KISHORBHAI</t>
  </si>
  <si>
    <t>21/08/1994</t>
  </si>
  <si>
    <t>9054083287</t>
  </si>
  <si>
    <t>3712447081</t>
  </si>
  <si>
    <t>ENXPP5899E</t>
  </si>
  <si>
    <t>981048194459</t>
  </si>
  <si>
    <t>3684402371</t>
  </si>
  <si>
    <t>51 SAIKRUPA SOCIETY, ANKUR SOCIETY, ARSODIYA, KALOL, KALOL, GANDHINAGAR. 382721</t>
  </si>
  <si>
    <t>VE1004</t>
  </si>
  <si>
    <t>KAPADIA NEHALBEN ARAVINDBHAI</t>
  </si>
  <si>
    <t>KAPADIA</t>
  </si>
  <si>
    <t>NEHALBEN</t>
  </si>
  <si>
    <t>ARAVINDBHAI</t>
  </si>
  <si>
    <t>18/08/1991</t>
  </si>
  <si>
    <t>BA,COPA</t>
  </si>
  <si>
    <t>7383416835</t>
  </si>
  <si>
    <t>3714102714</t>
  </si>
  <si>
    <t>CFJPK1109L</t>
  </si>
  <si>
    <t>567238580931</t>
  </si>
  <si>
    <t>78010100007503</t>
  </si>
  <si>
    <t>BARB0VJNAVP</t>
  </si>
  <si>
    <t>1809/4/5, SANKRA GHANCHI NI CHALI, MARIAMBABY MASJID, GOMTIPUR, VPC AHMEDABAD. 380021</t>
  </si>
  <si>
    <t>VE1114</t>
  </si>
  <si>
    <t xml:space="preserve">MEHTA HIREN RAJENDRABHAI </t>
  </si>
  <si>
    <t>MEHTA HIREN RAJENDRABHAI</t>
  </si>
  <si>
    <t>HIREN</t>
  </si>
  <si>
    <t>RAJENDRABHAI</t>
  </si>
  <si>
    <t>17/01/1987</t>
  </si>
  <si>
    <t>9909266942</t>
  </si>
  <si>
    <t>3713235336</t>
  </si>
  <si>
    <t>CEFPM8553K</t>
  </si>
  <si>
    <t>650143897059</t>
  </si>
  <si>
    <t>3227085352</t>
  </si>
  <si>
    <t>21/B, ADVAIT SOCIETY, RADHASWAMI ROAD, RANIP, AHMEDABAD, 382480</t>
  </si>
  <si>
    <t>VE1115</t>
  </si>
  <si>
    <t>06/12/1978</t>
  </si>
  <si>
    <t xml:space="preserve">B.COM, CCC </t>
  </si>
  <si>
    <t>9712932676</t>
  </si>
  <si>
    <t>3712541913</t>
  </si>
  <si>
    <t>AXRPR8658M</t>
  </si>
  <si>
    <t>578374854337</t>
  </si>
  <si>
    <t>3488798830</t>
  </si>
  <si>
    <t>1279/23, COLLECTORCUSTODIAN CHALI, SHUKHLALPURA, AMDUPURA, SARASPUR, AHMEDABAD. 380018</t>
  </si>
  <si>
    <t>VE1281</t>
  </si>
  <si>
    <t>CHAVDA NITESH MAHENDRABHAI</t>
  </si>
  <si>
    <t>NITESH MAHENDRABHAI CHAVDA</t>
  </si>
  <si>
    <t>NITESH</t>
  </si>
  <si>
    <t>MAHENDRABHAI</t>
  </si>
  <si>
    <t>09/02/1999</t>
  </si>
  <si>
    <t>7046779477</t>
  </si>
  <si>
    <t>3713633332</t>
  </si>
  <si>
    <t>CIAPC4235R</t>
  </si>
  <si>
    <t>290820699704</t>
  </si>
  <si>
    <t>3556215752</t>
  </si>
  <si>
    <t>CHAMINDA NIVAS, BAJRANG ESTATE NI PACHAL, THAKKARBAPANAGAR, AHMEDABAD, 382350</t>
  </si>
  <si>
    <t>VE1116</t>
  </si>
  <si>
    <t>THAKOR BHARATJI AMRATJI</t>
  </si>
  <si>
    <t xml:space="preserve">THAKOR BHARATJI AMRATJI </t>
  </si>
  <si>
    <t>BHARATJI</t>
  </si>
  <si>
    <t>AMRATJI</t>
  </si>
  <si>
    <t>02/02/1988</t>
  </si>
  <si>
    <t>7778021788</t>
  </si>
  <si>
    <t>3712893503</t>
  </si>
  <si>
    <t>BQDPT7985F</t>
  </si>
  <si>
    <t>900072186420</t>
  </si>
  <si>
    <t>3986932087</t>
  </si>
  <si>
    <t>THAKOR VAS, KARSHANPURA, BHALGAM, BANASKANTHA, 385560</t>
  </si>
  <si>
    <t>VE1246</t>
  </si>
  <si>
    <t>MAKWANA KARAN SURESHCHANDRA</t>
  </si>
  <si>
    <t>KARAN</t>
  </si>
  <si>
    <t>SURESHCHANDRA</t>
  </si>
  <si>
    <t>21/11/1994</t>
  </si>
  <si>
    <t>B.COM, TALLY</t>
  </si>
  <si>
    <t>6355955954</t>
  </si>
  <si>
    <t>3713120193</t>
  </si>
  <si>
    <t>DXPPM0671A</t>
  </si>
  <si>
    <t>361705710004</t>
  </si>
  <si>
    <t>30380100013770</t>
  </si>
  <si>
    <t>BANK  OF BARODA</t>
  </si>
  <si>
    <t>25/798 GEETANAGAR,NR AEC AMRAIWADI,A'BAD,380026</t>
  </si>
  <si>
    <t>VE1185</t>
  </si>
  <si>
    <t>SOLANKI KANUBHAI PACHANBHAI</t>
  </si>
  <si>
    <t>KANUBHAI PACHANBHAI SOLANKI</t>
  </si>
  <si>
    <t>PACHANBHAI</t>
  </si>
  <si>
    <t>07/08/1983</t>
  </si>
  <si>
    <t>9909104149</t>
  </si>
  <si>
    <t>3712541862</t>
  </si>
  <si>
    <t>HAZPS2924D</t>
  </si>
  <si>
    <t>530906606048</t>
  </si>
  <si>
    <t>3227083581</t>
  </si>
  <si>
    <t>1010 RAM RAHIM NAGAR, B/H CALICO MILL, BAHERAMPURA, DASHAMA CHALI, AHMEDABAD, 380022</t>
  </si>
  <si>
    <t>VE1284</t>
  </si>
  <si>
    <t>23/02/1991</t>
  </si>
  <si>
    <t>9328638501</t>
  </si>
  <si>
    <t>3712586732</t>
  </si>
  <si>
    <t>DQQPS4215A</t>
  </si>
  <si>
    <t>346226705537</t>
  </si>
  <si>
    <t>3705791557</t>
  </si>
  <si>
    <t>VALMIKI VAS, DEROL, SABARKANTHA, GUJARAT. 383275</t>
  </si>
  <si>
    <t>VE1187</t>
  </si>
  <si>
    <t>CHANAL RAHULKUMAR NARESHBHAI</t>
  </si>
  <si>
    <t>CHANAL RAHULKUMAR</t>
  </si>
  <si>
    <t>CHANAL</t>
  </si>
  <si>
    <t>RAHULKUMAR</t>
  </si>
  <si>
    <t>21/12/1991</t>
  </si>
  <si>
    <t>9979123768</t>
  </si>
  <si>
    <t>3712447042</t>
  </si>
  <si>
    <t>ATJPC7070Q</t>
  </si>
  <si>
    <t>322004032844</t>
  </si>
  <si>
    <t>3678833407</t>
  </si>
  <si>
    <t>VE1117</t>
  </si>
  <si>
    <t>BHOJAK BHAVESH ARUNBHAI</t>
  </si>
  <si>
    <t>BHOJAK BHAVESH</t>
  </si>
  <si>
    <t>BHOJAK</t>
  </si>
  <si>
    <t>ARUNBHAI</t>
  </si>
  <si>
    <t>08/09/1981</t>
  </si>
  <si>
    <t>9974712699</t>
  </si>
  <si>
    <t>3712541958</t>
  </si>
  <si>
    <t>AONPB7268J</t>
  </si>
  <si>
    <t>537769046121</t>
  </si>
  <si>
    <t>3455741927</t>
  </si>
  <si>
    <t>CBIN0280546</t>
  </si>
  <si>
    <t>868/6 AMTHASWAMINU DELU,LUNSAVAD,DARIYAPUR,A'BAD,380001</t>
  </si>
  <si>
    <t>VE1172</t>
  </si>
  <si>
    <t>RATHOD JATINKUMAR NARENDRAKUMAR</t>
  </si>
  <si>
    <t>JATINKUMAR</t>
  </si>
  <si>
    <t>NARENDRAKUMAR</t>
  </si>
  <si>
    <t>28/03/1992</t>
  </si>
  <si>
    <t>9998688288</t>
  </si>
  <si>
    <t>3713803250</t>
  </si>
  <si>
    <t>AYLPR5278E</t>
  </si>
  <si>
    <t>602855173821</t>
  </si>
  <si>
    <t>3581721654</t>
  </si>
  <si>
    <t>VE1150</t>
  </si>
  <si>
    <t>BAMBHANIYA</t>
  </si>
  <si>
    <t>BANUBHAI</t>
  </si>
  <si>
    <t>12/02/1996</t>
  </si>
  <si>
    <t>7698323449</t>
  </si>
  <si>
    <t>3712407452</t>
  </si>
  <si>
    <t>DQFPB6480P</t>
  </si>
  <si>
    <t>652495956003</t>
  </si>
  <si>
    <t>3673928497</t>
  </si>
  <si>
    <t>6/36 MADHUPURA POLICE LINE,SHAHIBAUG POLICE STATION PACHAD,A'BAD,380004</t>
  </si>
  <si>
    <t>VE1011</t>
  </si>
  <si>
    <t>VASAIKAR VAISHALI DIPAKKUMAR</t>
  </si>
  <si>
    <t>VASAIKAR</t>
  </si>
  <si>
    <t>VAISHALI</t>
  </si>
  <si>
    <t>DIPAKKUMAR</t>
  </si>
  <si>
    <t>08/11/1987</t>
  </si>
  <si>
    <t>9081139687</t>
  </si>
  <si>
    <t>3713633954</t>
  </si>
  <si>
    <t>BOJPV4132G</t>
  </si>
  <si>
    <t>735657574659</t>
  </si>
  <si>
    <t>78150100007685</t>
  </si>
  <si>
    <t>BARB0VJSATE</t>
  </si>
  <si>
    <t>16/B/1, MANSURI MILL NI MENDHAVADI CHALI, ASARWA, AHMEDABAD. 380016</t>
  </si>
  <si>
    <t>VE1012</t>
  </si>
  <si>
    <t>PARMAR KAMINI KALPESHBHAI</t>
  </si>
  <si>
    <t>PARMAR KAMINI</t>
  </si>
  <si>
    <t>KAMINI</t>
  </si>
  <si>
    <t>KALPESHBHAI</t>
  </si>
  <si>
    <t>29/06/1980</t>
  </si>
  <si>
    <t>9173740101</t>
  </si>
  <si>
    <t>3712170743</t>
  </si>
  <si>
    <t>BSLPP7679L</t>
  </si>
  <si>
    <t>602272873463</t>
  </si>
  <si>
    <t>3640895229</t>
  </si>
  <si>
    <t>195/56, K.J KADIYA NI CHALI, BADIYA LIMBDI, GIRDHARNAGAR, AHMEDABAD. 380016</t>
  </si>
  <si>
    <t>VE1010</t>
  </si>
  <si>
    <t>SOLANKI USHA DANABHAI</t>
  </si>
  <si>
    <t>USHA</t>
  </si>
  <si>
    <t>DANABHAI</t>
  </si>
  <si>
    <t>01/12/1990</t>
  </si>
  <si>
    <t>3712541965</t>
  </si>
  <si>
    <t>GPRPS9803F</t>
  </si>
  <si>
    <t>344342710469</t>
  </si>
  <si>
    <t>3655473936</t>
  </si>
  <si>
    <t>186 BARAI FALIYU, SODHI BARWALA, AHMEDABAD. 382480</t>
  </si>
  <si>
    <t>VE1125</t>
  </si>
  <si>
    <t>MAKWANA SHAILESHKUMAR GANPATBHAI</t>
  </si>
  <si>
    <t>MAKWANA SHALESHKUMAR GANPATBHAI</t>
  </si>
  <si>
    <t>SHAILESHKUMAR</t>
  </si>
  <si>
    <t>GANPATBHAI</t>
  </si>
  <si>
    <t>19/11/1988</t>
  </si>
  <si>
    <t>9054860866</t>
  </si>
  <si>
    <t>3713714134</t>
  </si>
  <si>
    <t>FLYPM9931E</t>
  </si>
  <si>
    <t>501282387137</t>
  </si>
  <si>
    <t>915010014519338</t>
  </si>
  <si>
    <t>12/274, GAYATRI NAGAR, OPP. JANTA NAGAR, AMRAIVADI, AHMEDABAD. 380026</t>
  </si>
  <si>
    <t>VE1050</t>
  </si>
  <si>
    <t>DHAVALBHAI</t>
  </si>
  <si>
    <t>3712916011</t>
  </si>
  <si>
    <t>FDYPP9973D</t>
  </si>
  <si>
    <t>702646708272</t>
  </si>
  <si>
    <t>0614125465</t>
  </si>
  <si>
    <t>KKBK0000159</t>
  </si>
  <si>
    <t>KOTAK MAHINDRA BANK</t>
  </si>
  <si>
    <t>197/A MAHARANAPRATAP TENAMENT,ISANPUR,A'BAD,382443</t>
  </si>
  <si>
    <t>VE1186</t>
  </si>
  <si>
    <t>PATEL MANISH JITENDRABHAI</t>
  </si>
  <si>
    <t xml:space="preserve">PATEL MANISH </t>
  </si>
  <si>
    <t>MANISH</t>
  </si>
  <si>
    <t>9537121971</t>
  </si>
  <si>
    <t>3712541987</t>
  </si>
  <si>
    <t>448637331261</t>
  </si>
  <si>
    <t>3656940298</t>
  </si>
  <si>
    <t>PATEL VAS, RAJPUR, SABARKANTHA, HIMMATANAGAR. 383001</t>
  </si>
  <si>
    <t>VE1225</t>
  </si>
  <si>
    <t>RATHOD URVASHI VITHALBHAI</t>
  </si>
  <si>
    <t>URVASHI VITHALBHAI RATHOD</t>
  </si>
  <si>
    <t>URVASHIBEN</t>
  </si>
  <si>
    <t>VITHALBHAI</t>
  </si>
  <si>
    <t>9909647097</t>
  </si>
  <si>
    <t>3713337081</t>
  </si>
  <si>
    <t>EPIPR2886L</t>
  </si>
  <si>
    <t>384534710068</t>
  </si>
  <si>
    <t>32423970618</t>
  </si>
  <si>
    <t>SBIN0000525</t>
  </si>
  <si>
    <t>59/3 ANAND FLAT,BAPUNAGAR,A'BAD,380024</t>
  </si>
  <si>
    <t>VE1108</t>
  </si>
  <si>
    <t>SAKARIYA MAMTA VITTHALBHAI</t>
  </si>
  <si>
    <t>SAKARIYA</t>
  </si>
  <si>
    <t>MAMTA</t>
  </si>
  <si>
    <t>VITTHALBHAI</t>
  </si>
  <si>
    <t>BSC, MLT</t>
  </si>
  <si>
    <t>7490057371</t>
  </si>
  <si>
    <t>3713337012</t>
  </si>
  <si>
    <t>BXBPV6747C</t>
  </si>
  <si>
    <t>890844311538</t>
  </si>
  <si>
    <t>4051423052</t>
  </si>
  <si>
    <t>VAGHANIYA ,NAVA,AMRELI,GUJARAT,365456</t>
  </si>
  <si>
    <t>VE1106</t>
  </si>
  <si>
    <t>SHIROYA MEERA RAMESHBHAI</t>
  </si>
  <si>
    <t>SHIROYA</t>
  </si>
  <si>
    <t>MEERA</t>
  </si>
  <si>
    <t>6354085561</t>
  </si>
  <si>
    <t>3713236362</t>
  </si>
  <si>
    <t>541847843416</t>
  </si>
  <si>
    <t>3689318177</t>
  </si>
  <si>
    <t>AT - VIRPUR TA - VISAVADAR,BILKHA,JUNAGADH,362110</t>
  </si>
  <si>
    <t>VE1107</t>
  </si>
  <si>
    <t>SAKARIYA JINAL SURESHBHAI</t>
  </si>
  <si>
    <t>JINAL</t>
  </si>
  <si>
    <t>SURESHBHAI</t>
  </si>
  <si>
    <t>8154050574</t>
  </si>
  <si>
    <t>3713236346</t>
  </si>
  <si>
    <t>377624367204</t>
  </si>
  <si>
    <t>36038491975</t>
  </si>
  <si>
    <t>SBIN0060429</t>
  </si>
  <si>
    <t>AT - NAVA VAGHANIYA,TA- BAGASARA,VAGHANIYA NAVA ,AMRELI,365456</t>
  </si>
  <si>
    <t>VE1109</t>
  </si>
  <si>
    <t>SAVALIYA AARSI VINUBHAI</t>
  </si>
  <si>
    <t>SAVALIYA</t>
  </si>
  <si>
    <t>AARSI</t>
  </si>
  <si>
    <t>6353254674</t>
  </si>
  <si>
    <t>3713337041</t>
  </si>
  <si>
    <t>982188630083</t>
  </si>
  <si>
    <t>38616702079</t>
  </si>
  <si>
    <t>SBIN0060220</t>
  </si>
  <si>
    <t>GADHAKADA,SAVARKUNDLA,AMRELI,364515</t>
  </si>
  <si>
    <t>VE1045</t>
  </si>
  <si>
    <t>NIMAVAT DEIZY RAJESHKUMAR</t>
  </si>
  <si>
    <t>DEIZY RAJESHKUMAR NIMAVAT</t>
  </si>
  <si>
    <t>NIMAVAT</t>
  </si>
  <si>
    <t>DEIZY</t>
  </si>
  <si>
    <t>9879841849</t>
  </si>
  <si>
    <t>3714141511</t>
  </si>
  <si>
    <t>CQEPN9751M</t>
  </si>
  <si>
    <t>455239771977</t>
  </si>
  <si>
    <t>36046816098</t>
  </si>
  <si>
    <t>SBIN0060445</t>
  </si>
  <si>
    <t>AKSHARNAGAR,B/H VRAJGANGA APARTMENT,BYPASS,JUNAGADH,362001</t>
  </si>
  <si>
    <t>VE1076</t>
  </si>
  <si>
    <t>RAMANI KHUSHALI RAJESHBHAI</t>
  </si>
  <si>
    <t>RAMANI</t>
  </si>
  <si>
    <t>KHUSHALI</t>
  </si>
  <si>
    <t>6353561038</t>
  </si>
  <si>
    <t>3713633263</t>
  </si>
  <si>
    <t>ENMPR3849M</t>
  </si>
  <si>
    <t>829521607335</t>
  </si>
  <si>
    <t>7713365334</t>
  </si>
  <si>
    <t>KKBK0002589</t>
  </si>
  <si>
    <t>AT:- NAVA VAGHANIYA TA:- BAGASARA, AMRELI 365440</t>
  </si>
  <si>
    <t>VE1074</t>
  </si>
  <si>
    <t>PATEL MAITRIBEN RAJESHKUMAR</t>
  </si>
  <si>
    <t>MAITRIBEN</t>
  </si>
  <si>
    <t>7096365604</t>
  </si>
  <si>
    <t>3713347591</t>
  </si>
  <si>
    <t>674735176660</t>
  </si>
  <si>
    <t>001100101006166</t>
  </si>
  <si>
    <t>GSCB0UCNSBL</t>
  </si>
  <si>
    <t>THE CHARADA NAGRIK SAHAKARI BANK</t>
  </si>
  <si>
    <t>GAYTRINAGAR,AZOL ROAD,CHARADA,GANDHINAGAR,382810</t>
  </si>
  <si>
    <t>VE1077</t>
  </si>
  <si>
    <t>RAMANI RUSHIKA GOKALBHAI</t>
  </si>
  <si>
    <t>RUSHIKA</t>
  </si>
  <si>
    <t>GOKALBHAI</t>
  </si>
  <si>
    <t>6355130094</t>
  </si>
  <si>
    <t>3714146590</t>
  </si>
  <si>
    <t>674210138646</t>
  </si>
  <si>
    <t>34778100004218</t>
  </si>
  <si>
    <t>BARB0BHESAN</t>
  </si>
  <si>
    <t>MAIN ROAD,KHAMBHALIYA,JUNAGADH,362030</t>
  </si>
  <si>
    <t>VE1034</t>
  </si>
  <si>
    <t>RANK</t>
  </si>
  <si>
    <t>DEVRAJBHAI</t>
  </si>
  <si>
    <t>8160839545</t>
  </si>
  <si>
    <t>3714146712</t>
  </si>
  <si>
    <t>DXRPR2280G</t>
  </si>
  <si>
    <t>310257576244</t>
  </si>
  <si>
    <t>50100346839856</t>
  </si>
  <si>
    <t>HDFC0009098</t>
  </si>
  <si>
    <t>VE1065</t>
  </si>
  <si>
    <t>SHELADIYA KRUPALI PRAKASHBHAI</t>
  </si>
  <si>
    <t>SHELADIYA</t>
  </si>
  <si>
    <t>KRUPALI</t>
  </si>
  <si>
    <t>8141869477</t>
  </si>
  <si>
    <t>3714146806</t>
  </si>
  <si>
    <t>PBFPS3676K</t>
  </si>
  <si>
    <t>401866995393</t>
  </si>
  <si>
    <t>78017845077</t>
  </si>
  <si>
    <t>SAURASHTRA GRAMIN BANK</t>
  </si>
  <si>
    <t>GUNDALA,RAJKOT,360311</t>
  </si>
  <si>
    <t>VE1275</t>
  </si>
  <si>
    <t>CHAUDHARI</t>
  </si>
  <si>
    <t>RAMJIBHAI</t>
  </si>
  <si>
    <t>9409572535</t>
  </si>
  <si>
    <t>3711809201</t>
  </si>
  <si>
    <t>BZYPC0050Q</t>
  </si>
  <si>
    <t>373446861582</t>
  </si>
  <si>
    <t>3598457612</t>
  </si>
  <si>
    <t>MOTA KOTDA,SABARKANTHA,GUJRAT,383421</t>
  </si>
  <si>
    <t>VE1044</t>
  </si>
  <si>
    <t>TILALA URVASHIBEN ANILBHAI</t>
  </si>
  <si>
    <t>TILALA</t>
  </si>
  <si>
    <t>ANILBHAI</t>
  </si>
  <si>
    <t>B.SC, PGDMLT</t>
  </si>
  <si>
    <t>9313013307</t>
  </si>
  <si>
    <t>732999315066</t>
  </si>
  <si>
    <t>93760100008113</t>
  </si>
  <si>
    <t>BARB0DBGHOG</t>
  </si>
  <si>
    <t>GHOGHAVADAR,RAJKOT,360311</t>
  </si>
  <si>
    <t>VE1082</t>
  </si>
  <si>
    <t>PATHANSIPAI NAZMINBANU MOHAMMEDISRAR</t>
  </si>
  <si>
    <t>PATHAN NAZMINBANU</t>
  </si>
  <si>
    <t>PATHANSIPAI</t>
  </si>
  <si>
    <t>NAZMINBANU</t>
  </si>
  <si>
    <t>MOHAMMEDISRAR</t>
  </si>
  <si>
    <t>3713236612</t>
  </si>
  <si>
    <t>FOGPP8166H</t>
  </si>
  <si>
    <t>273791778096</t>
  </si>
  <si>
    <t>200010110016018</t>
  </si>
  <si>
    <t>BKID0002000</t>
  </si>
  <si>
    <t>6/9 DARJI NI CHALI,CHAKTORA KABRASTAN,GOMTIPUR,A'BAD,380021</t>
  </si>
  <si>
    <t>VE1289</t>
  </si>
  <si>
    <t>TRIPATHI KIRTI VEDPRAKASHBHAI</t>
  </si>
  <si>
    <t>TRIPATHI KIRTI</t>
  </si>
  <si>
    <t>TRIPATHI</t>
  </si>
  <si>
    <t>KIRTI</t>
  </si>
  <si>
    <t>VEDPRAKASHBHAI</t>
  </si>
  <si>
    <t>9825304957</t>
  </si>
  <si>
    <t>3713278279</t>
  </si>
  <si>
    <t>BSMPT2215B</t>
  </si>
  <si>
    <t>223431205977</t>
  </si>
  <si>
    <t>70012010097797</t>
  </si>
  <si>
    <t>CNRB0017001</t>
  </si>
  <si>
    <t>5,RANNAPARK SOCIETY,GEBANSHAPIR,VATVA,ISANPUR,A'BAD,382443</t>
  </si>
  <si>
    <t>VE1221</t>
  </si>
  <si>
    <t>MUNDHAVA BHAVESHKUMAR BHALABHAI</t>
  </si>
  <si>
    <t>MUNDHAVA</t>
  </si>
  <si>
    <t>BHAVESHKUMAR</t>
  </si>
  <si>
    <t>BHALABHAI</t>
  </si>
  <si>
    <t>7778932658</t>
  </si>
  <si>
    <t>3712541705</t>
  </si>
  <si>
    <t>871348911536</t>
  </si>
  <si>
    <t>3671421264</t>
  </si>
  <si>
    <t>77 MANTHAN TENAMENT,OPP NAROL COURT,NAROL,A'BAD,382405</t>
  </si>
  <si>
    <t>VE1222</t>
  </si>
  <si>
    <t>PATEL HIRALBEN AKSHAYKUMAR</t>
  </si>
  <si>
    <t>HIRALBEN AKSHAYKUMAR PATEL</t>
  </si>
  <si>
    <t xml:space="preserve">HIRALBEN </t>
  </si>
  <si>
    <t>9586574554</t>
  </si>
  <si>
    <t>528903533072</t>
  </si>
  <si>
    <t>3597981875</t>
  </si>
  <si>
    <t>C-501 SAIFLORA NR GOKUL PARTY PLOT,NIKOL,A'BAD,382350</t>
  </si>
  <si>
    <t>VE1223</t>
  </si>
  <si>
    <t>SARVAIYA YASHRAJ RAJESHBHAI</t>
  </si>
  <si>
    <t>SARVAIYA</t>
  </si>
  <si>
    <t>YASHRAJ</t>
  </si>
  <si>
    <t>9879933959</t>
  </si>
  <si>
    <t>543226128012</t>
  </si>
  <si>
    <t>331010510000888</t>
  </si>
  <si>
    <t>BKID0003310</t>
  </si>
  <si>
    <t>B/H GAY NA GONDRA,PRABHATNAGAR,KESHOD,JUNAGADH,362220</t>
  </si>
  <si>
    <t>VE1252</t>
  </si>
  <si>
    <t>KURESHI NAZMIRA HARUNBHAI</t>
  </si>
  <si>
    <t>KURESHI</t>
  </si>
  <si>
    <t>NAZMIRA</t>
  </si>
  <si>
    <t>HARUNBHAI</t>
  </si>
  <si>
    <t>MLT, DMLT</t>
  </si>
  <si>
    <t>9824590980</t>
  </si>
  <si>
    <t>3712541359</t>
  </si>
  <si>
    <t>HVXPK2382E</t>
  </si>
  <si>
    <t>487668515631</t>
  </si>
  <si>
    <t>BAS STAND ROASD,B/H PANKAJBHATT HOSPITAL,MAFATIYA PARA,LIMDI,SURENDRANAGAR.363421</t>
  </si>
  <si>
    <t>VE1133</t>
  </si>
  <si>
    <t>GUNA DHARA ASHVINBHAI</t>
  </si>
  <si>
    <t>GUNA</t>
  </si>
  <si>
    <t>DHARA</t>
  </si>
  <si>
    <t>ASHVINBHAI</t>
  </si>
  <si>
    <t>B.SC, MLT, PGDMLT</t>
  </si>
  <si>
    <t>7201063511</t>
  </si>
  <si>
    <t>3714105479</t>
  </si>
  <si>
    <t>455788966456</t>
  </si>
  <si>
    <t>38523465213</t>
  </si>
  <si>
    <t>SBIN0060058</t>
  </si>
  <si>
    <t>AMBAWADI PLOT,BHESAN,JUNAGADH,362020</t>
  </si>
  <si>
    <t>VE1105</t>
  </si>
  <si>
    <t>PARMAR ROJINA YUNUSHBHAI</t>
  </si>
  <si>
    <t>ROJINA</t>
  </si>
  <si>
    <t>YUNUSHBHAI</t>
  </si>
  <si>
    <t>3713714521</t>
  </si>
  <si>
    <t>GPXPP5735R</t>
  </si>
  <si>
    <t>293902462197</t>
  </si>
  <si>
    <t>31309934599</t>
  </si>
  <si>
    <t>SBIN0060168</t>
  </si>
  <si>
    <t>KANEK ,NAVA PLOT,KANEK,CHORVAR,JUNAGADH,362250</t>
  </si>
  <si>
    <t>VE1033</t>
  </si>
  <si>
    <t>TIMBADIYA AARZU DALSUKHBHAI</t>
  </si>
  <si>
    <t>TIMBADIYA</t>
  </si>
  <si>
    <t>AARZU</t>
  </si>
  <si>
    <t>DALSUKHBHAI</t>
  </si>
  <si>
    <t>8160220817</t>
  </si>
  <si>
    <t>BRSPT7809L</t>
  </si>
  <si>
    <t>862664275986</t>
  </si>
  <si>
    <t>39891687555</t>
  </si>
  <si>
    <t>SBIN0015817</t>
  </si>
  <si>
    <t>ALFA VIDHYALAY PACHAD,GUNDRAN ROAD,TALALA,GIR SOMNATH,362150</t>
  </si>
  <si>
    <t>VE1083</t>
  </si>
  <si>
    <t>AAHIR MITAL VIHABHAI</t>
  </si>
  <si>
    <t>AAHIR MITAL</t>
  </si>
  <si>
    <t>AAHIR</t>
  </si>
  <si>
    <t>MITAL</t>
  </si>
  <si>
    <t>VIHABHAI</t>
  </si>
  <si>
    <t>9998820576</t>
  </si>
  <si>
    <t>211377594496</t>
  </si>
  <si>
    <t>20354582441</t>
  </si>
  <si>
    <t>SBIN0016031</t>
  </si>
  <si>
    <t>69 VISHVAS TENAMENT,NR GST CROSING,NEW RANIP,A'BAD,382480</t>
  </si>
  <si>
    <t>VE1248</t>
  </si>
  <si>
    <t xml:space="preserve">PATEL HIRENKUMAR VISHNUBHAI </t>
  </si>
  <si>
    <t>PATEL HIRENKUMAR VISHNUBHAI</t>
  </si>
  <si>
    <t>HIRENKUMAR</t>
  </si>
  <si>
    <t>VISHNUBHAI</t>
  </si>
  <si>
    <t>19/11/1989</t>
  </si>
  <si>
    <t>CCTV OPERATOR</t>
  </si>
  <si>
    <t>9687722206</t>
  </si>
  <si>
    <t>3711549133</t>
  </si>
  <si>
    <t>AZVPP9794L</t>
  </si>
  <si>
    <t>224048660659</t>
  </si>
  <si>
    <t>131, PATEL VAS, GULABPURA VAS, GANDHINAGAR, 382845</t>
  </si>
  <si>
    <t>VE1247</t>
  </si>
  <si>
    <t xml:space="preserve">MAKWANA ISHVARBHAI SHIVAJI </t>
  </si>
  <si>
    <t>ISHVARBHAI MAKWANA</t>
  </si>
  <si>
    <t>ISHVARBHAI</t>
  </si>
  <si>
    <t>SHIVAJI</t>
  </si>
  <si>
    <t>26/07/1981</t>
  </si>
  <si>
    <t>9979397385</t>
  </si>
  <si>
    <t>3713337155</t>
  </si>
  <si>
    <t>BMVPM4929C</t>
  </si>
  <si>
    <t>593166724272</t>
  </si>
  <si>
    <t>211810110003173</t>
  </si>
  <si>
    <t>BKID0002118</t>
  </si>
  <si>
    <t>THAKOR VAS, AMAJA GANDHINAGAR 382735</t>
  </si>
  <si>
    <t>VE1249</t>
  </si>
  <si>
    <t xml:space="preserve">TIWARI SURAJ RAKESH </t>
  </si>
  <si>
    <t>SURAJ RAKESH TIWARI</t>
  </si>
  <si>
    <t>SURAJ</t>
  </si>
  <si>
    <t>RAKESH</t>
  </si>
  <si>
    <t>09/07/1992</t>
  </si>
  <si>
    <t>7043967852</t>
  </si>
  <si>
    <t>3711549149</t>
  </si>
  <si>
    <t>AUAPT5022B</t>
  </si>
  <si>
    <t>700109276716</t>
  </si>
  <si>
    <t>3553041231</t>
  </si>
  <si>
    <t>TIWARI CHAWL VIDHYANAGAR, KUBERNAGAR AHMEDABAD</t>
  </si>
  <si>
    <t>VE1205</t>
  </si>
  <si>
    <t>PATEL PANKAJKUMAR KARSHANBHAI</t>
  </si>
  <si>
    <t>PATEL PANKAJ</t>
  </si>
  <si>
    <t>PANKAJKUMAR</t>
  </si>
  <si>
    <t>KARSHANBHAI</t>
  </si>
  <si>
    <t>27/12/1983</t>
  </si>
  <si>
    <t>7383845215</t>
  </si>
  <si>
    <t>3711549136</t>
  </si>
  <si>
    <t>980902545535</t>
  </si>
  <si>
    <t>3553740422</t>
  </si>
  <si>
    <t>53/1267, GUJRAT HOUSING BORD MEGHANINAGAR, AHMEDABAD 380016</t>
  </si>
  <si>
    <t>VE1160</t>
  </si>
  <si>
    <t xml:space="preserve">PATNI KRUNAL BHARATBHAI </t>
  </si>
  <si>
    <t>PATANI KRUNAL</t>
  </si>
  <si>
    <t>KRUNAL</t>
  </si>
  <si>
    <t>05/09/1999</t>
  </si>
  <si>
    <t>DIPLOMA BIO MEDICAL</t>
  </si>
  <si>
    <t>BIO-MEDICAL ENGINER</t>
  </si>
  <si>
    <t>8732916495</t>
  </si>
  <si>
    <t>3713974877</t>
  </si>
  <si>
    <t>EEEPP3680D</t>
  </si>
  <si>
    <t>558111991647</t>
  </si>
  <si>
    <t>34075398727</t>
  </si>
  <si>
    <t>SBIN001815</t>
  </si>
  <si>
    <t>F 44 /607, SAGAR APPARTMENT BHAVSAR HOSTEL NEW VADAJ AHMEDABAD 380013</t>
  </si>
  <si>
    <t>VE1084</t>
  </si>
  <si>
    <t xml:space="preserve">KAPADIA ISHANI PANKIT </t>
  </si>
  <si>
    <t>ISHANI P KAPADIA</t>
  </si>
  <si>
    <t>ISHANI</t>
  </si>
  <si>
    <t>PANKIT</t>
  </si>
  <si>
    <t>8141117167
9714734948</t>
  </si>
  <si>
    <t>3712900666</t>
  </si>
  <si>
    <t>CHYPM6456P</t>
  </si>
  <si>
    <t>289955900457</t>
  </si>
  <si>
    <t>4468110180000018</t>
  </si>
  <si>
    <t>UJVN0004468</t>
  </si>
  <si>
    <t>UJJIVAN SMALL FINANCE BANK</t>
  </si>
  <si>
    <t>VE1295</t>
  </si>
  <si>
    <t>CHAVDA NIRALBA NAGENDRASINH</t>
  </si>
  <si>
    <t>NIRALBA</t>
  </si>
  <si>
    <t>NAGENDRASINH</t>
  </si>
  <si>
    <t>7069492707</t>
  </si>
  <si>
    <t>493308216320</t>
  </si>
  <si>
    <t>33117715185</t>
  </si>
  <si>
    <t>SBIN0014969</t>
  </si>
  <si>
    <t>83, SONI SHERI, DHOLERA, AHMEDABAD, 382455</t>
  </si>
  <si>
    <t>VE1161</t>
  </si>
  <si>
    <t>CHAUDHAY AKSHAY KUMAR NARAYANBHAI</t>
  </si>
  <si>
    <t>AKASHAY KUMAR</t>
  </si>
  <si>
    <t>NARAYANBHAI</t>
  </si>
  <si>
    <t>MEDICAL INSTUMENT MECHENIC</t>
  </si>
  <si>
    <t>O.T ASSISTANT</t>
  </si>
  <si>
    <t>3713458072</t>
  </si>
  <si>
    <t>BNAPC3957L</t>
  </si>
  <si>
    <t>680431516305</t>
  </si>
  <si>
    <t>01730100008227</t>
  </si>
  <si>
    <t>BARB0CHARDA</t>
  </si>
  <si>
    <t>BANK OF BAROD</t>
  </si>
  <si>
    <t>21, SWAMINARAYAN SOCIETY, WONDER POINT PASE AMRAIWADI AHMEDABAD 380026</t>
  </si>
  <si>
    <t>VE1171</t>
  </si>
  <si>
    <t>KALMA JIGNESH NARANBHAI</t>
  </si>
  <si>
    <t xml:space="preserve">KALMA JIGNESH </t>
  </si>
  <si>
    <t>KALMA</t>
  </si>
  <si>
    <t>NARANBHAI</t>
  </si>
  <si>
    <t>24/04/1992</t>
  </si>
  <si>
    <t>ITI ELECTRONIICS MECHANIC</t>
  </si>
  <si>
    <t>9638092271</t>
  </si>
  <si>
    <t>3714146758</t>
  </si>
  <si>
    <t>CGMPK1623B</t>
  </si>
  <si>
    <t>794476973204</t>
  </si>
  <si>
    <t>6603125503</t>
  </si>
  <si>
    <t>IDBI0005281</t>
  </si>
  <si>
    <t>160/2 HIRALAL NI CHALI OPP, CIVIL HOSPITAL ASARWA AHMEDABAD 380016</t>
  </si>
  <si>
    <t>VE1153</t>
  </si>
  <si>
    <t>PATANI SNEHALBEN NATVARBHAI</t>
  </si>
  <si>
    <t>PATANI SNEHALBEN</t>
  </si>
  <si>
    <t>SNEHALBEN</t>
  </si>
  <si>
    <t>ITI IN ELECTRONIC MICANICAL</t>
  </si>
  <si>
    <t>9998562898
9558238366</t>
  </si>
  <si>
    <t>3713236256</t>
  </si>
  <si>
    <t>514986478146</t>
  </si>
  <si>
    <t>206810510013436</t>
  </si>
  <si>
    <t>D - 7, PANDIT NAGAR SOCIETY, METHAPANI DARWAJA SARASPUR AHMEDABAD 380018</t>
  </si>
  <si>
    <t>VE1085</t>
  </si>
  <si>
    <t>DHOK MEGHANA JAYESHBHAI</t>
  </si>
  <si>
    <t>MEGHANA DHOK</t>
  </si>
  <si>
    <t>DHOK</t>
  </si>
  <si>
    <t>MEGHANA</t>
  </si>
  <si>
    <t>JAYESHBHAI</t>
  </si>
  <si>
    <t>BIOMEDICAL ENGINEER/DEGREE</t>
  </si>
  <si>
    <t>9099805903</t>
  </si>
  <si>
    <t>3713907170</t>
  </si>
  <si>
    <t>GUOPD1888P</t>
  </si>
  <si>
    <t>260302874423</t>
  </si>
  <si>
    <t>70012250006554</t>
  </si>
  <si>
    <t>CNRB0017021</t>
  </si>
  <si>
    <t>31, SUNDARVAN ROW HOUSE, OPP. RAJMANDIR FLAT, GHODASAR, AHMEDABAD, 380050</t>
  </si>
  <si>
    <t>VE1002</t>
  </si>
  <si>
    <t>SAROTHIYA HEMLATA SANTOSHBHAI</t>
  </si>
  <si>
    <t>SAROTHIYA HEMLATA SANTOSH</t>
  </si>
  <si>
    <t>SAROTHIYA</t>
  </si>
  <si>
    <t>HEMLATA</t>
  </si>
  <si>
    <t>SANTOSHBHAI</t>
  </si>
  <si>
    <t>9558456192
7622028491</t>
  </si>
  <si>
    <t>3713633239</t>
  </si>
  <si>
    <t>JYGPS7220K</t>
  </si>
  <si>
    <t>393472049992</t>
  </si>
  <si>
    <t>20434213961</t>
  </si>
  <si>
    <t>SBIN0010864</t>
  </si>
  <si>
    <t>TATA ADVANCE MILL, BABA BAKUL NI CHALI, SHAHIBAUGH, AHMEDABAD, 380004</t>
  </si>
  <si>
    <t>VE1282</t>
  </si>
  <si>
    <t>BHAVSAR UTSAV PRAKASHKUMAR</t>
  </si>
  <si>
    <t>BHAVSAR</t>
  </si>
  <si>
    <t>UTSAV</t>
  </si>
  <si>
    <t>PRAKASHKUMAR</t>
  </si>
  <si>
    <t>ITI MEDICAL INSTUMENT MECHENIC</t>
  </si>
  <si>
    <t>7046406475</t>
  </si>
  <si>
    <t>3712895736</t>
  </si>
  <si>
    <t>FBDPB6684L</t>
  </si>
  <si>
    <t>708465577335</t>
  </si>
  <si>
    <t>SBIN0001754</t>
  </si>
  <si>
    <t>A-97, ASOPALAV SOCITEY, VALABH NAGAR, VATAVA, AHMEDABAD, 382440</t>
  </si>
  <si>
    <t>VE1251</t>
  </si>
  <si>
    <t>PARMAR BHAVANABAHEN PREMJIBHAI</t>
  </si>
  <si>
    <t>PARMAR BHAVANABAHEN</t>
  </si>
  <si>
    <t>BHAVANABAHEN</t>
  </si>
  <si>
    <t>PREMJIBHAI</t>
  </si>
  <si>
    <t>01/12/1997</t>
  </si>
  <si>
    <t>REHABILITATION PSYCHOLOGIST</t>
  </si>
  <si>
    <t>7435867635</t>
  </si>
  <si>
    <t>365369347263</t>
  </si>
  <si>
    <t>201010110010196</t>
  </si>
  <si>
    <t>1761/6, JIVRAM BHATT NI CHALI RAJPUR GOMATIPUR AHMEDABAD 380021</t>
  </si>
  <si>
    <t>VE1159</t>
  </si>
  <si>
    <t>KRUNAL NAGINBHAI SOLANKI</t>
  </si>
  <si>
    <t>NAGINBHAI</t>
  </si>
  <si>
    <t>05/12/1990</t>
  </si>
  <si>
    <t>MPHIL</t>
  </si>
  <si>
    <t>8487088029</t>
  </si>
  <si>
    <t>3713490316</t>
  </si>
  <si>
    <t>FZPPS2917P</t>
  </si>
  <si>
    <t>395822766937</t>
  </si>
  <si>
    <t>03340100013640</t>
  </si>
  <si>
    <t>BARB0PANCHK</t>
  </si>
  <si>
    <t>1867, DOLATKHANA HARIJAN VAS SARANGPUR AHMEDABAD 380001</t>
  </si>
  <si>
    <t>VE1135</t>
  </si>
  <si>
    <t>KETANKUMAR</t>
  </si>
  <si>
    <t>12/08/1998</t>
  </si>
  <si>
    <t>MASTER OF FOOD AND NUTRITION</t>
  </si>
  <si>
    <t>DIETICIAN</t>
  </si>
  <si>
    <t>8734992879</t>
  </si>
  <si>
    <t>3713119997</t>
  </si>
  <si>
    <t>548363652067</t>
  </si>
  <si>
    <t>01730100022242</t>
  </si>
  <si>
    <t>11/96, GAYATRINAGAR, CHARADA, GANDHINAGAR, 382810</t>
  </si>
  <si>
    <t>VE1145</t>
  </si>
  <si>
    <t>CHANDARANA DEVANSHI DIPAKKUMAR</t>
  </si>
  <si>
    <t>CHANDARANA</t>
  </si>
  <si>
    <t>DEVANSHI</t>
  </si>
  <si>
    <t>14/01/1997</t>
  </si>
  <si>
    <t>8866276994</t>
  </si>
  <si>
    <t>3713739127</t>
  </si>
  <si>
    <t>CNZPC4784P</t>
  </si>
  <si>
    <t>643528662858</t>
  </si>
  <si>
    <t>40796413661</t>
  </si>
  <si>
    <t>1, MAHAVIR JAIN SOCIETY, AMBER CINEMA BAPUNAGAR, AHMEDABAD 380024</t>
  </si>
  <si>
    <t>VE1283</t>
  </si>
  <si>
    <t>PARMAR PRIYANKKUMAR BHARATBHAI</t>
  </si>
  <si>
    <t>PRIYANKKUMAR</t>
  </si>
  <si>
    <t>23/07/1993</t>
  </si>
  <si>
    <t>DIPLOMA IN COMPUTER</t>
  </si>
  <si>
    <t>7228901452</t>
  </si>
  <si>
    <t>3713381179</t>
  </si>
  <si>
    <t>CJYPP3309J</t>
  </si>
  <si>
    <t>369546012142</t>
  </si>
  <si>
    <t>50100352622380</t>
  </si>
  <si>
    <t>HDFC0003066</t>
  </si>
  <si>
    <t>555, PAGI VASH JUNA ASARWA AHMEDABAD 380016</t>
  </si>
  <si>
    <t>VE1075</t>
  </si>
  <si>
    <t>RAJPUT ROHAN RAJKUMAR</t>
  </si>
  <si>
    <t>RAJPUT</t>
  </si>
  <si>
    <t xml:space="preserve">ROHAN </t>
  </si>
  <si>
    <t>RAJKUMAR</t>
  </si>
  <si>
    <t>09/06/2001</t>
  </si>
  <si>
    <t>MLT</t>
  </si>
  <si>
    <t>8320361986</t>
  </si>
  <si>
    <t>3714607813</t>
  </si>
  <si>
    <t>EHXPR6587K</t>
  </si>
  <si>
    <t>294029442226</t>
  </si>
  <si>
    <t>5713296764</t>
  </si>
  <si>
    <t>KKBK0002572</t>
  </si>
  <si>
    <t>NARSINH MANDIR NI CHALI, POST OFFICE, GENERAL HOSPITAL, BAPUNAGAR, AHMEDABAD 380024</t>
  </si>
  <si>
    <t>VE1035</t>
  </si>
  <si>
    <t>RATHOD USHA RAMJIBHAI</t>
  </si>
  <si>
    <t xml:space="preserve">RATHOD </t>
  </si>
  <si>
    <t>21/02/1983</t>
  </si>
  <si>
    <t>8140153118</t>
  </si>
  <si>
    <t>775770788061</t>
  </si>
  <si>
    <t>3227086366</t>
  </si>
  <si>
    <t>4/44, JANATANAGAR, AMRAIVADI, AHMEDABAD 380026</t>
  </si>
  <si>
    <t>VE1327</t>
  </si>
  <si>
    <t>PATEL ALFI BHARATBHAI</t>
  </si>
  <si>
    <t>ALFI</t>
  </si>
  <si>
    <t>F</t>
  </si>
  <si>
    <t>17/04/1999</t>
  </si>
  <si>
    <t>SKILLED</t>
  </si>
  <si>
    <t>3714378569</t>
  </si>
  <si>
    <t>FMAPP4777C</t>
  </si>
  <si>
    <t>322035190623</t>
  </si>
  <si>
    <t>03300100034338</t>
  </si>
  <si>
    <t>BARB0GIRDHA</t>
  </si>
  <si>
    <t>B101, SHREEJI AVENUE, NR. KALASH SCHOOL, MRGHANINAGAR, AHMEDABAD. 38001</t>
  </si>
  <si>
    <t>VE1235</t>
  </si>
  <si>
    <t>PARMAR HEENA LAXMANBHAI</t>
  </si>
  <si>
    <t>PARMAR HEENA</t>
  </si>
  <si>
    <t>HEENA</t>
  </si>
  <si>
    <t>18/12/1997</t>
  </si>
  <si>
    <t>8780618637,
9601490383</t>
  </si>
  <si>
    <t>3714392043</t>
  </si>
  <si>
    <t>FQQPP4605B</t>
  </si>
  <si>
    <t>604012749182</t>
  </si>
  <si>
    <t>06960110023044</t>
  </si>
  <si>
    <t>D/201, KANTAM APP. SUIJPUR BOGHA, AHMEDABAD</t>
  </si>
  <si>
    <t>VE1157</t>
  </si>
  <si>
    <t>PATEL NIDHI SHAILESHKUMAR</t>
  </si>
  <si>
    <t>NIDHI</t>
  </si>
  <si>
    <t>26/06/1999</t>
  </si>
  <si>
    <t>7436079111,
9925701701</t>
  </si>
  <si>
    <t>3714391916</t>
  </si>
  <si>
    <t>EAMPP6205G</t>
  </si>
  <si>
    <t>832014332035</t>
  </si>
  <si>
    <t>01748100005577</t>
  </si>
  <si>
    <t>BARB0NARODA</t>
  </si>
  <si>
    <t>C/22, YAMUNA SOC, BHARGAV ROAD, KUBERNAGAR, AHMEDABAD. 382340</t>
  </si>
  <si>
    <t>VE1102</t>
  </si>
  <si>
    <t>SADAT JASMINBEN MAGANBHAI</t>
  </si>
  <si>
    <t>SADAT</t>
  </si>
  <si>
    <t>JASMINBEN</t>
  </si>
  <si>
    <t>27/01/2001</t>
  </si>
  <si>
    <t>7575010136,
8140038552</t>
  </si>
  <si>
    <t>3714391716</t>
  </si>
  <si>
    <t>961736341507</t>
  </si>
  <si>
    <t>38114796727</t>
  </si>
  <si>
    <t>AT. RANJEDI, VANIYAVADA, ARVALLI, 383350</t>
  </si>
  <si>
    <t>VE1260</t>
  </si>
  <si>
    <t>PATNI DIPALI VIJAYBHAI</t>
  </si>
  <si>
    <t>11/07/2000</t>
  </si>
  <si>
    <t>M</t>
  </si>
  <si>
    <t>8128858348,
7600236651</t>
  </si>
  <si>
    <t>3714392051</t>
  </si>
  <si>
    <t>CAUPV6940A</t>
  </si>
  <si>
    <t>692858993671</t>
  </si>
  <si>
    <t>35072348896</t>
  </si>
  <si>
    <t>VE1195</t>
  </si>
  <si>
    <t>RAMANIKBHAI</t>
  </si>
  <si>
    <t>01/06/2001</t>
  </si>
  <si>
    <t>7567533357,
7201075178</t>
  </si>
  <si>
    <t>3714391901</t>
  </si>
  <si>
    <t>FMLPP6449G</t>
  </si>
  <si>
    <t>960343479859</t>
  </si>
  <si>
    <t>01748100019016</t>
  </si>
  <si>
    <t>BARB0PALANP</t>
  </si>
  <si>
    <t>AT. RASALPUR, TA. SIDHHPUR, DIST. PATAN. 384290</t>
  </si>
  <si>
    <t>VE1328</t>
  </si>
  <si>
    <t>KHANT HIRAL DIPSINH</t>
  </si>
  <si>
    <t>KHANT</t>
  </si>
  <si>
    <t>HIRAL</t>
  </si>
  <si>
    <t>DIPSINH</t>
  </si>
  <si>
    <t>10/05/2001</t>
  </si>
  <si>
    <t>9726699810,
926597262</t>
  </si>
  <si>
    <t>3714391757</t>
  </si>
  <si>
    <t>JXXPK5741R</t>
  </si>
  <si>
    <t>477133892733</t>
  </si>
  <si>
    <t>313411610000157</t>
  </si>
  <si>
    <t>BKID0003134</t>
  </si>
  <si>
    <t>PGVCL COLONY QUARTER NO. 4, HOSPITAL ROAD, JASDAN RAJKOT. 360050</t>
  </si>
  <si>
    <t>VE1093</t>
  </si>
  <si>
    <t>JOSHI VIJAYKUMAR GOVINDBHAI</t>
  </si>
  <si>
    <t>VIJAYKUMAR GOVINDBHAI JOSHI</t>
  </si>
  <si>
    <t>JOSHI</t>
  </si>
  <si>
    <t>GOVINDBHAI</t>
  </si>
  <si>
    <t>11/12/2000</t>
  </si>
  <si>
    <t>3714392078</t>
  </si>
  <si>
    <t>BYMPJ3752K</t>
  </si>
  <si>
    <t>509638005548</t>
  </si>
  <si>
    <t>01520100050899</t>
  </si>
  <si>
    <t>BARB0MEHSAN</t>
  </si>
  <si>
    <t>AT. GOTHADA, TA. KANKREJ, BANASKANTHA, 385555</t>
  </si>
  <si>
    <t>VE1190</t>
  </si>
  <si>
    <t>BARAIYA NAMRATA SURESHBHAI</t>
  </si>
  <si>
    <t>BARAIYA</t>
  </si>
  <si>
    <t>14/06/2000</t>
  </si>
  <si>
    <t>8347853427,
9429866230</t>
  </si>
  <si>
    <t>3714392081</t>
  </si>
  <si>
    <t>448600606589</t>
  </si>
  <si>
    <t>33053892754</t>
  </si>
  <si>
    <t>SBIN0003315</t>
  </si>
  <si>
    <t xml:space="preserve">NAVUGAM, AT. DIHOR, TA. TALAJA, BHAVNAGAR. 364150 </t>
  </si>
  <si>
    <t>VE1229</t>
  </si>
  <si>
    <t>STUTI SHAILESHBHAI PATELIYA</t>
  </si>
  <si>
    <t>STUTI</t>
  </si>
  <si>
    <t>14/01/2001</t>
  </si>
  <si>
    <t>9104191971,
9725581971</t>
  </si>
  <si>
    <t>3714386276</t>
  </si>
  <si>
    <t>347444952645</t>
  </si>
  <si>
    <t>50100516046030</t>
  </si>
  <si>
    <t>HDFC0005155</t>
  </si>
  <si>
    <t>20/1 ANAND FLAT, BAPUNAGAR, AHMDABAD 380024</t>
  </si>
  <si>
    <t>VE1267</t>
  </si>
  <si>
    <t>PARMAR BELIZ DANIYEL</t>
  </si>
  <si>
    <t>BELIZ</t>
  </si>
  <si>
    <t>DANIYAL</t>
  </si>
  <si>
    <t>30/09/1998</t>
  </si>
  <si>
    <t>7600118691,
7575015470</t>
  </si>
  <si>
    <t>3714398576</t>
  </si>
  <si>
    <t>FEXPP2326R</t>
  </si>
  <si>
    <t>376216247902</t>
  </si>
  <si>
    <t>16650100018778</t>
  </si>
  <si>
    <t>BARB0NADASH</t>
  </si>
  <si>
    <t>24, KAMLESHPARK SOCIETY, B/H GREENLAND SOCIETY, NADIAD</t>
  </si>
  <si>
    <t>VE1206</t>
  </si>
  <si>
    <t>KANZARIYA UMESHBHAI MAHESHBHAI</t>
  </si>
  <si>
    <t>UMESHBHAI</t>
  </si>
  <si>
    <t>04/09/2000</t>
  </si>
  <si>
    <t>3714391738</t>
  </si>
  <si>
    <t>HSWPK8352N</t>
  </si>
  <si>
    <t>413545603124</t>
  </si>
  <si>
    <t>33078165209</t>
  </si>
  <si>
    <t>SBIN0060105</t>
  </si>
  <si>
    <t>AT. GOKHAVADA, SURENDRANAGAR. 363410</t>
  </si>
  <si>
    <t>TARBUNDIYA GAYATRIBEN RAJESHBHAI</t>
  </si>
  <si>
    <t>TARBUNDIYA</t>
  </si>
  <si>
    <t>12/01/2000</t>
  </si>
  <si>
    <t>7567329890,
9913560211</t>
  </si>
  <si>
    <t>3714386347</t>
  </si>
  <si>
    <t>BLDPT7620J</t>
  </si>
  <si>
    <t>753956821914</t>
  </si>
  <si>
    <t>33480100046945</t>
  </si>
  <si>
    <t>BARB0HALVAD</t>
  </si>
  <si>
    <t>OUT SIDE MORBIDARVAJA, KRUSHNANAGAR, HALVAD, MORBI. 363330</t>
  </si>
  <si>
    <t>VE1262</t>
  </si>
  <si>
    <t>DANGODARA PRATIK HIRAJIBHAI</t>
  </si>
  <si>
    <t>DANGODARA</t>
  </si>
  <si>
    <t>HIRAJIBHAI</t>
  </si>
  <si>
    <t>25/10/2000</t>
  </si>
  <si>
    <t>7046178815,
9016157809</t>
  </si>
  <si>
    <t>3714392085</t>
  </si>
  <si>
    <t>FYTPD6071A</t>
  </si>
  <si>
    <t>477718793618</t>
  </si>
  <si>
    <t>33048466788</t>
  </si>
  <si>
    <t>SBIN0060124</t>
  </si>
  <si>
    <t>VE1332</t>
  </si>
  <si>
    <t>SOKHADIYA JAIMIN DINESHBHAI</t>
  </si>
  <si>
    <t>SOKHADIYA</t>
  </si>
  <si>
    <t>JAIMIN</t>
  </si>
  <si>
    <t>30/08/2001</t>
  </si>
  <si>
    <t>3714391929</t>
  </si>
  <si>
    <t>LBDPS5517F</t>
  </si>
  <si>
    <t>979835963248</t>
  </si>
  <si>
    <t>13900100014172</t>
  </si>
  <si>
    <t>BARB0KHEDAX</t>
  </si>
  <si>
    <t>VE1268</t>
  </si>
  <si>
    <t>DHOLAKIYA RAMABHAI GOVINDBHAI</t>
  </si>
  <si>
    <t>DHOLAKIYA</t>
  </si>
  <si>
    <t>RAMABHAI</t>
  </si>
  <si>
    <t>7984344880, 
7069479847</t>
  </si>
  <si>
    <t>3714392029</t>
  </si>
  <si>
    <t>GWPPD1060J</t>
  </si>
  <si>
    <t>351237500920</t>
  </si>
  <si>
    <t>6217028983</t>
  </si>
  <si>
    <t>AT. ZINZUDA, SURENDRANAGAR, 363520</t>
  </si>
  <si>
    <t>VE1255</t>
  </si>
  <si>
    <t>PALIYA TUSHARKUMAR JAYANTIBHAI</t>
  </si>
  <si>
    <t>PALIYA</t>
  </si>
  <si>
    <t>TUSHARBHAI</t>
  </si>
  <si>
    <t>10/06/2000</t>
  </si>
  <si>
    <t>7435018730,
9574968735</t>
  </si>
  <si>
    <t>3714392032</t>
  </si>
  <si>
    <t>796619462749</t>
  </si>
  <si>
    <t>20445290206</t>
  </si>
  <si>
    <t>AT. RAISINGPUR, ARVALLI, 383246</t>
  </si>
  <si>
    <t>VE1100</t>
  </si>
  <si>
    <t>VALAND HIRALBEN NARENDRAKUMAR</t>
  </si>
  <si>
    <t>HIRALBEN</t>
  </si>
  <si>
    <t>23/08/1995</t>
  </si>
  <si>
    <t>9099521807,
8460571482</t>
  </si>
  <si>
    <t>3714392609</t>
  </si>
  <si>
    <t>BWAPV5428G</t>
  </si>
  <si>
    <t>938042562893</t>
  </si>
  <si>
    <t>913010008756033</t>
  </si>
  <si>
    <t>UTIB0002927</t>
  </si>
  <si>
    <t>D/405, SMARTCITY-2, NARODA, RING ROAD, AHMEDABAD</t>
  </si>
  <si>
    <t>VE1336</t>
  </si>
  <si>
    <t>TWINKALBEN KAMLESHBHAI PRAJAPATI</t>
  </si>
  <si>
    <t>TWINKALBEN</t>
  </si>
  <si>
    <t>14/04/2000</t>
  </si>
  <si>
    <t>9327250214,
6359460613</t>
  </si>
  <si>
    <t>3714391987</t>
  </si>
  <si>
    <t>EKAPP6922C</t>
  </si>
  <si>
    <t>454609217453</t>
  </si>
  <si>
    <t>01748100013240</t>
  </si>
  <si>
    <t>AT. GORAL, TA. IDAR, SABARKANTHA. 383410</t>
  </si>
  <si>
    <t>VE1253</t>
  </si>
  <si>
    <t>THAKARDA</t>
  </si>
  <si>
    <t>RAMNJI</t>
  </si>
  <si>
    <t>19/12/2000</t>
  </si>
  <si>
    <t>9409782472,
8347265397</t>
  </si>
  <si>
    <t>3714391993</t>
  </si>
  <si>
    <t>BUIPT2880A</t>
  </si>
  <si>
    <t>294026321388</t>
  </si>
  <si>
    <t>33073131720</t>
  </si>
  <si>
    <t>SBIN0060369</t>
  </si>
  <si>
    <t>AT. LADODA, IDAR. SABARKANTHA. 383430</t>
  </si>
  <si>
    <t>VE1184</t>
  </si>
  <si>
    <t>DAMOR BHAVESHKUMAR SHANABHAI</t>
  </si>
  <si>
    <t>DAMOR BHAVESHKUMAR</t>
  </si>
  <si>
    <t>SHANABHAI</t>
  </si>
  <si>
    <t>09/04/1996</t>
  </si>
  <si>
    <t>7069314381,
8141186311</t>
  </si>
  <si>
    <t>3714391998</t>
  </si>
  <si>
    <t>CPQPD8924R</t>
  </si>
  <si>
    <t>337239564205</t>
  </si>
  <si>
    <t>55790100001966</t>
  </si>
  <si>
    <t>BARB0VELANW</t>
  </si>
  <si>
    <t>TARAL FALIYU, DHINGALWADA, MAHISAGAR. 389240</t>
  </si>
  <si>
    <t>VE1059</t>
  </si>
  <si>
    <t>RUVAJIBHA</t>
  </si>
  <si>
    <t>16/07/2001</t>
  </si>
  <si>
    <t>3714385008</t>
  </si>
  <si>
    <t>CUPPG7121M</t>
  </si>
  <si>
    <t>784335184798</t>
  </si>
  <si>
    <t>33325822837</t>
  </si>
  <si>
    <t>SBIN0000532</t>
  </si>
  <si>
    <t>NISHAL FALIYU, CHAMPAVADI, VYARA, TAPI. 394650</t>
  </si>
  <si>
    <t>VE1341</t>
  </si>
  <si>
    <t>VAHORA ARSILBHAI DINMAHAMMADBHAI</t>
  </si>
  <si>
    <t>ARSILBHAI VAHORA</t>
  </si>
  <si>
    <t>VAHORA</t>
  </si>
  <si>
    <t>ARSILBHAI</t>
  </si>
  <si>
    <t>DINMAHAMMADBHAI</t>
  </si>
  <si>
    <t>15/06/2001</t>
  </si>
  <si>
    <t>3714391920</t>
  </si>
  <si>
    <t>CGTPV1495F</t>
  </si>
  <si>
    <t>241458692743</t>
  </si>
  <si>
    <t>06960110032831</t>
  </si>
  <si>
    <t>528 INDIRA COLONY, OPP. H J PATEL HIGH SCHOOL, VAHERA, BORSAD, ANAND</t>
  </si>
  <si>
    <t>VE1209</t>
  </si>
  <si>
    <t>30/05/2000</t>
  </si>
  <si>
    <t>3714385043</t>
  </si>
  <si>
    <t>EGRPD7697P</t>
  </si>
  <si>
    <t>598463141374</t>
  </si>
  <si>
    <t>40080580930</t>
  </si>
  <si>
    <t>DAMOR FALI, CHORIMALA, BHILODA, ARVALLI. 383246</t>
  </si>
  <si>
    <t>VE1279</t>
  </si>
  <si>
    <t>MULJIBHAI</t>
  </si>
  <si>
    <t>17/10/1994</t>
  </si>
  <si>
    <t>8469704955,
7984172465</t>
  </si>
  <si>
    <t>3714385665</t>
  </si>
  <si>
    <t>CCTPM1251L</t>
  </si>
  <si>
    <t>616814788191</t>
  </si>
  <si>
    <t>32464324872</t>
  </si>
  <si>
    <t>73/1732 GUJ. HO. BOARD, MEGHANINAGAR, AHMEDABAD. 380016</t>
  </si>
  <si>
    <t>VE1016</t>
  </si>
  <si>
    <t>ITALIYA JAHANVI SHAILESHBHAI</t>
  </si>
  <si>
    <t>ITALIYA</t>
  </si>
  <si>
    <t>JAHANVI</t>
  </si>
  <si>
    <t>24/08/1999</t>
  </si>
  <si>
    <t>9265911157</t>
  </si>
  <si>
    <t>3714397748</t>
  </si>
  <si>
    <t>784462723660</t>
  </si>
  <si>
    <t>575402010010351</t>
  </si>
  <si>
    <t>UBIN0557544</t>
  </si>
  <si>
    <t>B/1, MUKTAJJUAN SOCIETY, NR BACHURAM ASHRAM, GHODASAR, AHMEDABAD.</t>
  </si>
  <si>
    <t>VE1174</t>
  </si>
  <si>
    <t>DAVE ZALAK CHANDRESHBHAI</t>
  </si>
  <si>
    <t>DAVE ZALAK</t>
  </si>
  <si>
    <t>ZALAK</t>
  </si>
  <si>
    <t>CHANDRESHBHAI</t>
  </si>
  <si>
    <t>08/06/1999</t>
  </si>
  <si>
    <t>PHARMACIST</t>
  </si>
  <si>
    <t>7984889463,
9924415121</t>
  </si>
  <si>
    <t>3714430210</t>
  </si>
  <si>
    <t>GOLPD6235P</t>
  </si>
  <si>
    <t>462670753320</t>
  </si>
  <si>
    <t>3788852469</t>
  </si>
  <si>
    <t>VE1148</t>
  </si>
  <si>
    <t>VIDAJA SWATIBEN JASVANTBHAI</t>
  </si>
  <si>
    <t>VIDAJA SWATIBEN</t>
  </si>
  <si>
    <t>VIDAJA</t>
  </si>
  <si>
    <t>SWATIBEN</t>
  </si>
  <si>
    <t>JASVANTBHAI</t>
  </si>
  <si>
    <t>13/03/2002</t>
  </si>
  <si>
    <t>3714430254</t>
  </si>
  <si>
    <t>624600606868</t>
  </si>
  <si>
    <t>09500100032261</t>
  </si>
  <si>
    <t>BARB0ODHAVX</t>
  </si>
  <si>
    <t>B/46, AMIDHARA SOCIETY, OPP. RAMI NI CHALI, RAKHIYAL, AHMEDABAD. 380023</t>
  </si>
  <si>
    <t>VE1086</t>
  </si>
  <si>
    <t>SOLANKI SHAILESHKUMAR BALABHAI</t>
  </si>
  <si>
    <t>SOLANKI SHAILESHKUMAR</t>
  </si>
  <si>
    <t>BALABHAI</t>
  </si>
  <si>
    <t>27/05/1993</t>
  </si>
  <si>
    <t>COUNCELLOR</t>
  </si>
  <si>
    <t>7359624055,
7990692004</t>
  </si>
  <si>
    <t>3714248030</t>
  </si>
  <si>
    <t>908002541128</t>
  </si>
  <si>
    <t>50100517202808</t>
  </si>
  <si>
    <t>HDFC0000069</t>
  </si>
  <si>
    <t>PREMNAGAR, BEHIND MAHAKALI MANDIR, MEMCO, AHMEDABAD. 382345</t>
  </si>
  <si>
    <t>VE1346</t>
  </si>
  <si>
    <t>LAKUM SHITALBEN DHIRUBHAI</t>
  </si>
  <si>
    <t>LAKUM</t>
  </si>
  <si>
    <t>SHITALBEN</t>
  </si>
  <si>
    <t>16/05/2001</t>
  </si>
  <si>
    <t>6354198042,
9723252819</t>
  </si>
  <si>
    <t>3714430285</t>
  </si>
  <si>
    <t>GMPPD2994P</t>
  </si>
  <si>
    <t>932159279756</t>
  </si>
  <si>
    <t>38106607403</t>
  </si>
  <si>
    <t>SBIN0060102</t>
  </si>
  <si>
    <t>OUT SIDE OF SHIYANI NI POL, JERAMPARA STREET NO. 5, WADHVAN, SURENDRANAGAR. 363030</t>
  </si>
  <si>
    <t>VE1061</t>
  </si>
  <si>
    <t>BABRIYA CHANDRIKABEN HIMMATBHAI</t>
  </si>
  <si>
    <t>BABRIYA</t>
  </si>
  <si>
    <t>CHANDRIKABEN</t>
  </si>
  <si>
    <t>27/02/2001</t>
  </si>
  <si>
    <t>3714430314</t>
  </si>
  <si>
    <t>218991232794</t>
  </si>
  <si>
    <t>31259133173</t>
  </si>
  <si>
    <t>SBIN0060035</t>
  </si>
  <si>
    <t>CHANMUNDA VIDIYO, AT. RAJULA, AMRELI, 365560</t>
  </si>
  <si>
    <t>VE1062</t>
  </si>
  <si>
    <t>PANCHAL AKSHATA KINNARKUMAR</t>
  </si>
  <si>
    <t>AKSHATA</t>
  </si>
  <si>
    <t>KINNARKUMAR</t>
  </si>
  <si>
    <t>16/09/1991</t>
  </si>
  <si>
    <t>3713429825</t>
  </si>
  <si>
    <t>BFGPR4064H</t>
  </si>
  <si>
    <t>394016918451</t>
  </si>
  <si>
    <t>37657516898</t>
  </si>
  <si>
    <t>A-102, SARITA RESIDENCY-4, NR. SHGAM 36 BUNGLOWS, VASTRAL AHMEDAB</t>
  </si>
  <si>
    <t>VE1122</t>
  </si>
  <si>
    <t>FRANK MISHEL SANJAYKUMAR</t>
  </si>
  <si>
    <t>FRENK</t>
  </si>
  <si>
    <t>MISHEL</t>
  </si>
  <si>
    <t>09/02/2001</t>
  </si>
  <si>
    <t>9328559521,
9723409235</t>
  </si>
  <si>
    <t>3714430363</t>
  </si>
  <si>
    <t>AEYPF5417J</t>
  </si>
  <si>
    <t>565149064026</t>
  </si>
  <si>
    <t>20472158696</t>
  </si>
  <si>
    <t>SBIN0003321</t>
  </si>
  <si>
    <t>11 PATANJALI APARTMENT, NIZAMPURA, VADODARA. 390002</t>
  </si>
  <si>
    <t>VE1096</t>
  </si>
  <si>
    <t>DALVI SANGITA BHAVSAHEB</t>
  </si>
  <si>
    <t>DALVI</t>
  </si>
  <si>
    <t>SANGITA</t>
  </si>
  <si>
    <t>BHAVSAHEB</t>
  </si>
  <si>
    <t>01/09/2001</t>
  </si>
  <si>
    <t>9328493665,
8758514416</t>
  </si>
  <si>
    <t>3714430439</t>
  </si>
  <si>
    <t>632992635200</t>
  </si>
  <si>
    <t>20321272483</t>
  </si>
  <si>
    <t>SBIN0011020</t>
  </si>
  <si>
    <t>61 KHODIYAR NAGAR-2, NEAR ADARSH SOCIETY, GODADARA, SURAT.1</t>
  </si>
  <si>
    <t>VE1274</t>
  </si>
  <si>
    <t>NIRUBEN KAMLESHBHAI BHARVAD</t>
  </si>
  <si>
    <t>BHARVAD</t>
  </si>
  <si>
    <t>NIRUBEN</t>
  </si>
  <si>
    <t>15/07/2001</t>
  </si>
  <si>
    <t>9016611473,
8140637241</t>
  </si>
  <si>
    <t>3714430452</t>
  </si>
  <si>
    <t>760255772761</t>
  </si>
  <si>
    <t>33188036324</t>
  </si>
  <si>
    <t>SBIN0000385</t>
  </si>
  <si>
    <t>AT. LADOLA, SABARKANTHA. 383430</t>
  </si>
  <si>
    <t>VE1113</t>
  </si>
  <si>
    <t>SAIYAD AASHEFABANU VARASALI</t>
  </si>
  <si>
    <t>SAIYAD</t>
  </si>
  <si>
    <t>AASHEFABANU</t>
  </si>
  <si>
    <t>VARASALI</t>
  </si>
  <si>
    <t>12/10/2000</t>
  </si>
  <si>
    <t>7041300913,
8487986406</t>
  </si>
  <si>
    <t>3714430465</t>
  </si>
  <si>
    <t>LCQPS3200P</t>
  </si>
  <si>
    <t>208291501997</t>
  </si>
  <si>
    <t>38061323338</t>
  </si>
  <si>
    <t>SBIN0060426</t>
  </si>
  <si>
    <t>SAIYAD TEKRA, NUR-E- MOHAMMADI MADRASA, BORSAD. 388540</t>
  </si>
  <si>
    <t>VE1230</t>
  </si>
  <si>
    <t>PRITIKUMARI VIJAYBHAI PATEL</t>
  </si>
  <si>
    <t>PRITIKUMARI</t>
  </si>
  <si>
    <t>08/02/2001</t>
  </si>
  <si>
    <t>9016340227,
8155801442</t>
  </si>
  <si>
    <t>3714432399</t>
  </si>
  <si>
    <t>GNAPP9882A</t>
  </si>
  <si>
    <t>581771025522</t>
  </si>
  <si>
    <t>41057583842</t>
  </si>
  <si>
    <t>SBIN0011022</t>
  </si>
  <si>
    <t>AT. DONJA AMBAVADI, CHIKHLI, NAVSARI. 396540</t>
  </si>
  <si>
    <t>VE1181</t>
  </si>
  <si>
    <t>PATEL DIVYABEN VASANTKUMAR</t>
  </si>
  <si>
    <t>DIVYABEN</t>
  </si>
  <si>
    <t>VASANTKUMAR</t>
  </si>
  <si>
    <t>13/10/2000</t>
  </si>
  <si>
    <t>9510040544,
9328349917</t>
  </si>
  <si>
    <t>3714438301</t>
  </si>
  <si>
    <t>EWEPP4772A</t>
  </si>
  <si>
    <t>361171848153</t>
  </si>
  <si>
    <t>38106240238</t>
  </si>
  <si>
    <t>PATEL FALIYU, LALAKPUR, PANCHMAHAL, 389230</t>
  </si>
  <si>
    <t>VE1068</t>
  </si>
  <si>
    <t>RATHWA REENABEN JASHUBHAI</t>
  </si>
  <si>
    <t>RATHWA REENABEN</t>
  </si>
  <si>
    <t>RATHWA</t>
  </si>
  <si>
    <t>REENABEN</t>
  </si>
  <si>
    <t>JASHUBHAI</t>
  </si>
  <si>
    <t>26/11/2000</t>
  </si>
  <si>
    <t>6355834094, 
9586584892</t>
  </si>
  <si>
    <t>3714445455</t>
  </si>
  <si>
    <t>DWVPR0545F</t>
  </si>
  <si>
    <t>498667149348</t>
  </si>
  <si>
    <t>33437198976</t>
  </si>
  <si>
    <t>SBIN0003892</t>
  </si>
  <si>
    <t>NEAR SCHOOL, PATEL FALIYA, RAYPUR, PANVAD, VADODARA, 391168</t>
  </si>
  <si>
    <t>VE1239</t>
  </si>
  <si>
    <t>ZALA HIRALAKUVARBA DINESHSINH</t>
  </si>
  <si>
    <t>ZALA HIRALAKUVARBA</t>
  </si>
  <si>
    <t>ZALA</t>
  </si>
  <si>
    <t>HIRALAKUVARBA</t>
  </si>
  <si>
    <t>DINESHSINH</t>
  </si>
  <si>
    <t>02/04/2001</t>
  </si>
  <si>
    <t>9016302804,
8758629187</t>
  </si>
  <si>
    <t>3714445469</t>
  </si>
  <si>
    <t>682588845063</t>
  </si>
  <si>
    <t>443202010005216</t>
  </si>
  <si>
    <t>UBIN0544329</t>
  </si>
  <si>
    <t>217 RABARI VAS, MUNPUR, KADOLI, SABARKANTHA, 383220</t>
  </si>
  <si>
    <t>VE1182</t>
  </si>
  <si>
    <t>MACHHAR VANDNABEN SABUBHAI</t>
  </si>
  <si>
    <t>MACHHAR</t>
  </si>
  <si>
    <t>VANDNABEN</t>
  </si>
  <si>
    <t>SABUBHAI</t>
  </si>
  <si>
    <t>08/06/2001</t>
  </si>
  <si>
    <t>6353289774,
9909075392</t>
  </si>
  <si>
    <t>3714445480</t>
  </si>
  <si>
    <t>FBDPM4767H</t>
  </si>
  <si>
    <t>383625001307</t>
  </si>
  <si>
    <t>38117887227</t>
  </si>
  <si>
    <t>TALUKA. FATEPURA, VADVAS, DAHOD. 389172</t>
  </si>
  <si>
    <t>VE1018</t>
  </si>
  <si>
    <t>AMALIYAR NIRALIBEN RAJESHBHAI</t>
  </si>
  <si>
    <t>AMALIYAR</t>
  </si>
  <si>
    <t>15/03/2000</t>
  </si>
  <si>
    <t>6352007621,
9998083159</t>
  </si>
  <si>
    <t>3714445554</t>
  </si>
  <si>
    <t>DNDPA2822P</t>
  </si>
  <si>
    <t>661859814944</t>
  </si>
  <si>
    <t>206110110003865</t>
  </si>
  <si>
    <t>BKID0002061</t>
  </si>
  <si>
    <t>D/5, MARUTI TENAMENT, DAKOR ROAD, KAPADVANJ, KHEDA, 387620</t>
  </si>
  <si>
    <t>VE1162</t>
  </si>
  <si>
    <t>PRIYADARSHI PRIYA SHAILESHBHAI</t>
  </si>
  <si>
    <t>PRIYADARSHI PRIYA</t>
  </si>
  <si>
    <t>PRIYADARSHI</t>
  </si>
  <si>
    <t>PRIYA</t>
  </si>
  <si>
    <t>01/09/2000</t>
  </si>
  <si>
    <t>9662818791,
7990153060</t>
  </si>
  <si>
    <t>3714489059</t>
  </si>
  <si>
    <t>GEVPP8372D</t>
  </si>
  <si>
    <t>655449656047</t>
  </si>
  <si>
    <t>32238558923</t>
  </si>
  <si>
    <t>153/1208, G.H. BOARD, KALAPINAGAR, AHMEDABAD380016</t>
  </si>
  <si>
    <t>VE1132</t>
  </si>
  <si>
    <t>BHEDA SWATIBEN BHUPATBHAI</t>
  </si>
  <si>
    <t>BHEDA</t>
  </si>
  <si>
    <t>BHUPATBHAI</t>
  </si>
  <si>
    <t>28/08/2000</t>
  </si>
  <si>
    <t>3714489070</t>
  </si>
  <si>
    <t>EDDPB5457A</t>
  </si>
  <si>
    <t>854426563170</t>
  </si>
  <si>
    <t>78004923323</t>
  </si>
  <si>
    <t>VE1212</t>
  </si>
  <si>
    <t>VINUBEN DHARMARAJBHAI PRAJAPATI</t>
  </si>
  <si>
    <t>VINUBEN</t>
  </si>
  <si>
    <t>DHARMARAJBHAI</t>
  </si>
  <si>
    <t>01/12/1999</t>
  </si>
  <si>
    <t>7226040830,
9714231030</t>
  </si>
  <si>
    <t>3714491225</t>
  </si>
  <si>
    <t>FPVPP0800L</t>
  </si>
  <si>
    <t>409401121723</t>
  </si>
  <si>
    <t>02400100023000</t>
  </si>
  <si>
    <t>BARB0AMALSA</t>
  </si>
  <si>
    <t>AT, BARODVAS, DHAMDACHHA ROAD, NEAR SAI KUTIR BUNGLOWS, TA. GANDEVI, NAVSARI</t>
  </si>
  <si>
    <t>VE1143</t>
  </si>
  <si>
    <t>GOHIL PARITABEN DINESHBHAI</t>
  </si>
  <si>
    <t>PARITABEN</t>
  </si>
  <si>
    <t>06/11/2000</t>
  </si>
  <si>
    <t>3714491226</t>
  </si>
  <si>
    <t>857054194963</t>
  </si>
  <si>
    <t>12170100015212</t>
  </si>
  <si>
    <t>BARB0DEVLIX</t>
  </si>
  <si>
    <t>PATEL SHERI, GOHIL NI KHAN, JUNAGADH, 362725</t>
  </si>
  <si>
    <t>VE1259</t>
  </si>
  <si>
    <t>LALKIYA ARATI RAVAJIBHAI</t>
  </si>
  <si>
    <t>LALKIYA</t>
  </si>
  <si>
    <t>ARATI</t>
  </si>
  <si>
    <t>RAVAJIBHAI</t>
  </si>
  <si>
    <t>8320075550,
6355177943</t>
  </si>
  <si>
    <t>3714494267</t>
  </si>
  <si>
    <t>330229446867</t>
  </si>
  <si>
    <t>03300100035361</t>
  </si>
  <si>
    <t>15 KHODIYAR NAGAR, B/H MASJID, GONDAL ROAD, RAJKOT 360004</t>
  </si>
  <si>
    <t>VE1189</t>
  </si>
  <si>
    <t>PATEL DHARINI ATULBHAI</t>
  </si>
  <si>
    <t>PATEL DHARINI</t>
  </si>
  <si>
    <t>DHARINI</t>
  </si>
  <si>
    <t>ATULBHAI</t>
  </si>
  <si>
    <t>19/12/1998</t>
  </si>
  <si>
    <t>3714494282</t>
  </si>
  <si>
    <t>296641986154</t>
  </si>
  <si>
    <t>01748100005743</t>
  </si>
  <si>
    <t>BLOCK NO. 91/2161, GUJ HO BOARD, MEGHANINAGAR, AHMEDABAD 380016</t>
  </si>
  <si>
    <t>VE1110</t>
  </si>
  <si>
    <t>RUPARELIYA NIRJUBEN RAJESHBHAI</t>
  </si>
  <si>
    <t>RUPARELIYA</t>
  </si>
  <si>
    <t>NIRJUBEN</t>
  </si>
  <si>
    <t>16/03/2001</t>
  </si>
  <si>
    <t>6353772714,
8140138548</t>
  </si>
  <si>
    <t>3714494295</t>
  </si>
  <si>
    <t>506191737766</t>
  </si>
  <si>
    <t>38210078932</t>
  </si>
  <si>
    <t>SBIN0000553</t>
  </si>
  <si>
    <t>SHERI NO. 1, AT. BORVAV, TALALA, GIR SOMNATH 362150</t>
  </si>
  <si>
    <t>VE1111</t>
  </si>
  <si>
    <t>VANKAR NAGINKUMAR HAMIRBHAI</t>
  </si>
  <si>
    <t>VANKAR</t>
  </si>
  <si>
    <t>NAGINKUMAR</t>
  </si>
  <si>
    <t>HAMIRBHAI</t>
  </si>
  <si>
    <t>21/08/1999</t>
  </si>
  <si>
    <t>8758575987,
9714764578</t>
  </si>
  <si>
    <t>3714494306</t>
  </si>
  <si>
    <t>BRSPV3493G</t>
  </si>
  <si>
    <t>346375211718</t>
  </si>
  <si>
    <t>20442912754</t>
  </si>
  <si>
    <t>SBIN0018833</t>
  </si>
  <si>
    <t>VANKAR WAS, AT. BILIYA, PATAN 384240</t>
  </si>
  <si>
    <t>VE1112</t>
  </si>
  <si>
    <t>KIRANKUMAR KALUBHAI JOSHI</t>
  </si>
  <si>
    <t>KIRANKUMAR</t>
  </si>
  <si>
    <t>KALUBHAI</t>
  </si>
  <si>
    <t>7874559421,
7698070947</t>
  </si>
  <si>
    <t>3714491228</t>
  </si>
  <si>
    <t>714320132579</t>
  </si>
  <si>
    <t>43880100042314</t>
  </si>
  <si>
    <t>BARB0DEODAR</t>
  </si>
  <si>
    <t>DENA BANK</t>
  </si>
  <si>
    <t>AT. DELAVADA, BANASKANTHA 385330</t>
  </si>
  <si>
    <t>VE1231</t>
  </si>
  <si>
    <t>MALIVAD MITALBEN PRATAPBHAI</t>
  </si>
  <si>
    <t>MALIVAD</t>
  </si>
  <si>
    <t>MITALBEN</t>
  </si>
  <si>
    <t>PRATAPBHAI</t>
  </si>
  <si>
    <t>30/03/2000</t>
  </si>
  <si>
    <t>3714493133</t>
  </si>
  <si>
    <t>FYIPM9720G</t>
  </si>
  <si>
    <t>963197767214</t>
  </si>
  <si>
    <t>01748100018458</t>
  </si>
  <si>
    <t>AT. MENDARDA, JUNAGADH</t>
  </si>
  <si>
    <t>VE1014</t>
  </si>
  <si>
    <t>DABHI LANKABEN SAVAJIBHAI</t>
  </si>
  <si>
    <t>LANKABEN</t>
  </si>
  <si>
    <t>SAVAJIBHAI</t>
  </si>
  <si>
    <t>13/04/2000</t>
  </si>
  <si>
    <t>7990903207,
9638290726</t>
  </si>
  <si>
    <t>3714493145</t>
  </si>
  <si>
    <t>GAEPD2882M</t>
  </si>
  <si>
    <t>289078339431</t>
  </si>
  <si>
    <t>14650100008168</t>
  </si>
  <si>
    <t>BARB0AMBBAN</t>
  </si>
  <si>
    <t>AT. BARVAS, TA. DANTA, JAMRU, BANASKANTHA 385110</t>
  </si>
  <si>
    <t>VE1350</t>
  </si>
  <si>
    <t>CHUDASAMA ASMITABEN VALLBHBHAI</t>
  </si>
  <si>
    <t>CHUDASAMA</t>
  </si>
  <si>
    <t>ASMITABEN</t>
  </si>
  <si>
    <t>VALLBHBHAI</t>
  </si>
  <si>
    <t>18/03/2001</t>
  </si>
  <si>
    <t>3714491682</t>
  </si>
  <si>
    <t>518760560260</t>
  </si>
  <si>
    <t>33129258452</t>
  </si>
  <si>
    <t>SBIN0060061</t>
  </si>
  <si>
    <t>NEAR SAGAR SAMAJ, BESIDE THE BUS STAND, AMBALA, JUNAGADH. 362260</t>
  </si>
  <si>
    <t>VE1124</t>
  </si>
  <si>
    <t>CHAVDA RAJDIP JAYESHBHAI</t>
  </si>
  <si>
    <t>RAJDIP</t>
  </si>
  <si>
    <t>01/10/2000</t>
  </si>
  <si>
    <t>3714491740</t>
  </si>
  <si>
    <t>BYGPC7506N</t>
  </si>
  <si>
    <t>859379728499</t>
  </si>
  <si>
    <t>6846873075</t>
  </si>
  <si>
    <t>KKBK0000834</t>
  </si>
  <si>
    <t>VE1057</t>
  </si>
  <si>
    <t>KATIRA TEJALBEN RAMSINGBHAI</t>
  </si>
  <si>
    <t>KATIRA</t>
  </si>
  <si>
    <t>TEJALBEN</t>
  </si>
  <si>
    <t>RAMSINGBHAI</t>
  </si>
  <si>
    <t>30/09/2000</t>
  </si>
  <si>
    <t>7623828273,
9714002536</t>
  </si>
  <si>
    <t>3714491760</t>
  </si>
  <si>
    <t>LTDPK0620H</t>
  </si>
  <si>
    <t>712082649925</t>
  </si>
  <si>
    <t>32316493081</t>
  </si>
  <si>
    <t>SBIN0060285</t>
  </si>
  <si>
    <t>AT. ADARSH SOCIETY, RAMESHWAR, MEGHANINAGAR, AHMEDABAD</t>
  </si>
  <si>
    <t>VE1208</t>
  </si>
  <si>
    <t>PATANI SEEMA LAXMANBHAI</t>
  </si>
  <si>
    <t>PATNI SEEMABEN</t>
  </si>
  <si>
    <t>SEEMA</t>
  </si>
  <si>
    <t>8487967173</t>
  </si>
  <si>
    <t>3713236793</t>
  </si>
  <si>
    <t>976041981587</t>
  </si>
  <si>
    <t>03210100019069</t>
  </si>
  <si>
    <t>202/9, PATRAVALI CHALI, CHAMANPURA, AHMEDABAD, 380016</t>
  </si>
  <si>
    <t>VE1063</t>
  </si>
  <si>
    <t>KRUNALKUMAR DHIRAJBHAI PARMAR</t>
  </si>
  <si>
    <t>KRUNALKUMAR</t>
  </si>
  <si>
    <t>DHIRAJBHAI</t>
  </si>
  <si>
    <t>8160071823
8469638963</t>
  </si>
  <si>
    <t>3714248269</t>
  </si>
  <si>
    <t>EPQPP6404C</t>
  </si>
  <si>
    <t>593893859508</t>
  </si>
  <si>
    <t>918010015483266</t>
  </si>
  <si>
    <t>UTIB0002474</t>
  </si>
  <si>
    <t>DR. BR AMBEDKAR SOC. NR.BUS STAND KANODAR BANASKANTHA385520</t>
  </si>
  <si>
    <t>AGRESHWAR TOWER, OPP. BJ MEDI COLLEGE GATE AHMEDABAD-380016</t>
  </si>
  <si>
    <t>VE1175</t>
  </si>
  <si>
    <t>PANDYA NIDHI MUKESHBHAI</t>
  </si>
  <si>
    <t>MUKESHKUMAR</t>
  </si>
  <si>
    <t>B.SC., PGDMLT</t>
  </si>
  <si>
    <t>LABORATORY TECHNICIAN</t>
  </si>
  <si>
    <t>8160509743
9726386185</t>
  </si>
  <si>
    <t>GGOPM4120H</t>
  </si>
  <si>
    <t>744559316983</t>
  </si>
  <si>
    <t>K-2 SHANTINATH APARTMENT OPP VEJALPUR BUS STAND VEJALPUR AHMEDABAD-380051</t>
  </si>
  <si>
    <t>VE1028</t>
  </si>
  <si>
    <t>ANSARI SHERYAR</t>
  </si>
  <si>
    <t>ANSARI</t>
  </si>
  <si>
    <t>SHERYAR</t>
  </si>
  <si>
    <t>MANJURALAM</t>
  </si>
  <si>
    <t>DATA ENTRY OPERATOR</t>
  </si>
  <si>
    <t>545828828840</t>
  </si>
  <si>
    <t>03360100018667</t>
  </si>
  <si>
    <t>BARB0INDRAK</t>
  </si>
  <si>
    <t>A/28 RAMZAN PARK-2 NR. SHAMA SCHOOL, SARKHEJ, AHMEDABAD</t>
  </si>
  <si>
    <t>VE1245</t>
  </si>
  <si>
    <t>MAKWANA JINAL</t>
  </si>
  <si>
    <t>ASHWINBHAI</t>
  </si>
  <si>
    <t>CFZPJ0156A</t>
  </si>
  <si>
    <t>556179381641</t>
  </si>
  <si>
    <t>03210100021330</t>
  </si>
  <si>
    <t>538, SARKARI CHORANI SAME ASARWA AHMEDABAD-380016</t>
  </si>
  <si>
    <t>VE1379</t>
  </si>
  <si>
    <t>RASHMIKA KIRANSINH PARMAR</t>
  </si>
  <si>
    <t>RASHMIKA PARMAR</t>
  </si>
  <si>
    <t>RASHMIKA</t>
  </si>
  <si>
    <t>KIRANSINH</t>
  </si>
  <si>
    <t>9106239114
9106519368</t>
  </si>
  <si>
    <t>3714608800</t>
  </si>
  <si>
    <t>FSDPP4385M</t>
  </si>
  <si>
    <t>502733190245</t>
  </si>
  <si>
    <t>03210100044849</t>
  </si>
  <si>
    <t>BHOGILAL NI CHALI, CIVIL HOSPITAL, ASARWA, AHMEDABAD</t>
  </si>
  <si>
    <t>VE1202</t>
  </si>
  <si>
    <t>CHAVADA VISHVAJITSINH BHUPENDRASINH</t>
  </si>
  <si>
    <t>CHAVADA VISHVJITSINH BHUPENDRASINH</t>
  </si>
  <si>
    <t>CHADAVA</t>
  </si>
  <si>
    <t>VISHVJITSINH</t>
  </si>
  <si>
    <t>BHUPENDRASINH</t>
  </si>
  <si>
    <t>3714392892</t>
  </si>
  <si>
    <t>567334036685</t>
  </si>
  <si>
    <t>353502010513613</t>
  </si>
  <si>
    <t>VE1211</t>
  </si>
  <si>
    <t>CHAVDA JIGNESHSINH RAJENDRASINH</t>
  </si>
  <si>
    <t xml:space="preserve">CHAVDA JIGNESHSINH </t>
  </si>
  <si>
    <t>JIGNESHSINH</t>
  </si>
  <si>
    <t>RAJENDRASINH</t>
  </si>
  <si>
    <t>COM. ENG</t>
  </si>
  <si>
    <t>9510612095
7778961993</t>
  </si>
  <si>
    <t>BKKPC9116L</t>
  </si>
  <si>
    <t>522577300797</t>
  </si>
  <si>
    <t>206210110014620</t>
  </si>
  <si>
    <t>BKID0002062</t>
  </si>
  <si>
    <t>26/30 DURGESH SOCITY OPP M.L.A QYT ASARVA AHMEDABAD 380016</t>
  </si>
  <si>
    <t>VE1152</t>
  </si>
  <si>
    <t>PARMAR VANITA JITENDRABHAI</t>
  </si>
  <si>
    <t>ECG TECHNICIAN</t>
  </si>
  <si>
    <t>7048116256
9726466278</t>
  </si>
  <si>
    <t>GGGPP7297L</t>
  </si>
  <si>
    <t>492578757176</t>
  </si>
  <si>
    <t>0321010005298</t>
  </si>
  <si>
    <t>211/52, PARSINI CHALI, GIRDHARNAGAR, AHMEDABAD 380004</t>
  </si>
  <si>
    <t>VE1258</t>
  </si>
  <si>
    <t>NEESHA MAHAVEERBHAI CHAUHAN</t>
  </si>
  <si>
    <t>NEESHA</t>
  </si>
  <si>
    <t>MAHAVEERBHAI</t>
  </si>
  <si>
    <t>ELE. ENG</t>
  </si>
  <si>
    <t>SEMI SKILLED</t>
  </si>
  <si>
    <t>737240435765</t>
  </si>
  <si>
    <t>84050100016819</t>
  </si>
  <si>
    <t>BARB0DKUBE</t>
  </si>
  <si>
    <t>65, HARJIVAN DAS NI CHAWL OPP BUNGLOW AREA BUS STAND KUBERNAGAR  AHMEDABAD  382340</t>
  </si>
  <si>
    <t>VE1164</t>
  </si>
  <si>
    <t>PARMAR PRIYANKA SOMABHAI</t>
  </si>
  <si>
    <t xml:space="preserve">PRIYANKA </t>
  </si>
  <si>
    <t>SOMABHAI</t>
  </si>
  <si>
    <t>CYTPP5022Q</t>
  </si>
  <si>
    <t>548450517195</t>
  </si>
  <si>
    <t>75840100031305</t>
  </si>
  <si>
    <t xml:space="preserve">C/23 ASODIYA SOCIETY LIMBADA BUS STOP BHARGAV ROAD MEGHANINAGAR AHMEDABAD 380016 </t>
  </si>
  <si>
    <t>VE1078</t>
  </si>
  <si>
    <t>DARJI PRIMABEN DHARMIKKUMAR</t>
  </si>
  <si>
    <t xml:space="preserve">DARJI </t>
  </si>
  <si>
    <t>PRIMABEN</t>
  </si>
  <si>
    <t>DHARMIKKUMAR</t>
  </si>
  <si>
    <t>M.SC</t>
  </si>
  <si>
    <t>9023659794
8401006335</t>
  </si>
  <si>
    <t>3714607818</t>
  </si>
  <si>
    <t>GOWPD7913D</t>
  </si>
  <si>
    <t>781674019865</t>
  </si>
  <si>
    <t>240210110009449</t>
  </si>
  <si>
    <t>BKID0002402</t>
  </si>
  <si>
    <t>D/103 PRATISHTHA HILL, OPP SHYAMKUTIR 56 NARODA DEHGAM ROAD HANSPURA AHMEDABAD 382330</t>
  </si>
  <si>
    <t>VE1361</t>
  </si>
  <si>
    <t>BHALU PAYAL ARVINDBHAI</t>
  </si>
  <si>
    <t>BHALU</t>
  </si>
  <si>
    <t>PAYAL</t>
  </si>
  <si>
    <t>PGDMLT</t>
  </si>
  <si>
    <t>6355676660
9925867883</t>
  </si>
  <si>
    <t>3714607819</t>
  </si>
  <si>
    <t>EUPPA7083G</t>
  </si>
  <si>
    <t>931341742880</t>
  </si>
  <si>
    <t>040001000012008</t>
  </si>
  <si>
    <t>IOBA0000400</t>
  </si>
  <si>
    <t>BAPUNAGAR AHMEDAABAD</t>
  </si>
  <si>
    <t>RESHAMDI GALOL JETPUR RAJKOT 360370</t>
  </si>
  <si>
    <t>VE1049</t>
  </si>
  <si>
    <t>PATEL ARTIKKUMAR VINODBHAI</t>
  </si>
  <si>
    <t xml:space="preserve">PATEL ARTIKKUMAR </t>
  </si>
  <si>
    <t xml:space="preserve">ARTIKKUMAR </t>
  </si>
  <si>
    <t>B.C.A</t>
  </si>
  <si>
    <t>7265804369
9998450679</t>
  </si>
  <si>
    <t>FHBPP2456L</t>
  </si>
  <si>
    <t>400909349634</t>
  </si>
  <si>
    <t>9145693313</t>
  </si>
  <si>
    <t>KKBK0002590</t>
  </si>
  <si>
    <t>E-7 PARNAKUNJ SOCIETY PART-2 MEGHANINAGAR AHMEDABAD 380016</t>
  </si>
  <si>
    <t>VE1358</t>
  </si>
  <si>
    <t>KHER ANUPABEN MANASINHBHAI</t>
  </si>
  <si>
    <t>KHER</t>
  </si>
  <si>
    <t>ANUPABEN</t>
  </si>
  <si>
    <t>MANASINHBHAI</t>
  </si>
  <si>
    <t>B.SC</t>
  </si>
  <si>
    <t>X-RAY TEC</t>
  </si>
  <si>
    <t>9510263433
9327132572</t>
  </si>
  <si>
    <t>3714607853</t>
  </si>
  <si>
    <t>970205767778</t>
  </si>
  <si>
    <t>33200664506</t>
  </si>
  <si>
    <t>SBIN0060232</t>
  </si>
  <si>
    <t>GANPAT SOCIETY OPPOSITE U.N MAHETA HOSPITAL AHMEDABAAD</t>
  </si>
  <si>
    <t>SIMAR GIR SOMNATH SIMAR GUJARAT 362255</t>
  </si>
  <si>
    <t>VE1368</t>
  </si>
  <si>
    <t>RATHOD ALLAP KISHORSINH</t>
  </si>
  <si>
    <t>ALLAP</t>
  </si>
  <si>
    <t>KISHORSINH</t>
  </si>
  <si>
    <t>BXRPR6824G</t>
  </si>
  <si>
    <t>918010011000151</t>
  </si>
  <si>
    <t>UTIB0002998</t>
  </si>
  <si>
    <t>1207/B/60 JAYHIND SOCIETY NR MOHAN CINEMA JAHANGIRPURA ASARWA AHMEDABAD 380016</t>
  </si>
  <si>
    <t>VE1165</t>
  </si>
  <si>
    <t xml:space="preserve">MITUL VIKRAMBHAI PATEL </t>
  </si>
  <si>
    <t>MITUL</t>
  </si>
  <si>
    <t>VIKRAMBHAI</t>
  </si>
  <si>
    <t>MASTER OF PHARMACY</t>
  </si>
  <si>
    <t>3714607839</t>
  </si>
  <si>
    <t>DXPPP2291R</t>
  </si>
  <si>
    <t>477182906748</t>
  </si>
  <si>
    <t>201610110013409</t>
  </si>
  <si>
    <t>BKID0002016</t>
  </si>
  <si>
    <t>20, WONDER  POINT NR, ANANDDHAM SOCIETY AMRAIVADI AHMEDABAD 380026</t>
  </si>
  <si>
    <t>VE1166</t>
  </si>
  <si>
    <t xml:space="preserve">PARWANI DHRUV KUMARBHAI </t>
  </si>
  <si>
    <t>PARWANI</t>
  </si>
  <si>
    <t>DHRUV</t>
  </si>
  <si>
    <t>KUMARBHAI</t>
  </si>
  <si>
    <t>BACHELOR OF PHARMACY</t>
  </si>
  <si>
    <t>7433898378
9328642232</t>
  </si>
  <si>
    <t>3714607846</t>
  </si>
  <si>
    <t>GEFPP7120P</t>
  </si>
  <si>
    <t>482806905041</t>
  </si>
  <si>
    <t>89970100000168</t>
  </si>
  <si>
    <t>BARB0DBBHAT</t>
  </si>
  <si>
    <t>91, NEELKANTH RESIDENCY-2 OPP MOTHER DAIRY NEAR INDIRA BRIDGE BHAT 382428</t>
  </si>
  <si>
    <t>VE1296</t>
  </si>
  <si>
    <t>MANSURI AFRINBEN FAKIRMAHMAD</t>
  </si>
  <si>
    <t>MANSURI AFRINFAKIRMAHMAD</t>
  </si>
  <si>
    <t>AFRINBEN</t>
  </si>
  <si>
    <t>FAKORMAHMAD</t>
  </si>
  <si>
    <t>8511851122
8200304174</t>
  </si>
  <si>
    <t>HOWPM1442B</t>
  </si>
  <si>
    <t>714715773052</t>
  </si>
  <si>
    <t>33230318765</t>
  </si>
  <si>
    <t>SBIN0000496</t>
  </si>
  <si>
    <t>GARIBNAVAZ SOCIETY VIJAPUR VIJAPUR MAHESANA 382870</t>
  </si>
  <si>
    <t>VE1173</t>
  </si>
  <si>
    <t>MODI MEGHANA NITINBHAI</t>
  </si>
  <si>
    <t>MODI</t>
  </si>
  <si>
    <t>NITINBHAI</t>
  </si>
  <si>
    <t>7984401790
9427070201</t>
  </si>
  <si>
    <t>HMEPM3870D</t>
  </si>
  <si>
    <t>293742560070</t>
  </si>
  <si>
    <t>240810510003634</t>
  </si>
  <si>
    <t>BF 2 BHAGYODYA SOCIETY BETHAK NARODA AHMEDABAD,</t>
  </si>
  <si>
    <t>JAIN DERASAR PASE LALDARWAJA ROAD PRANTIJ SABARKANTHA GUJRAT 383205</t>
  </si>
  <si>
    <t>VE1378</t>
  </si>
  <si>
    <t>RATHOD AAKASHSINH NATVARSINH</t>
  </si>
  <si>
    <t xml:space="preserve">RATHOD AAKASHSINH </t>
  </si>
  <si>
    <t>AAKASHSINH</t>
  </si>
  <si>
    <t>NATVARSINH</t>
  </si>
  <si>
    <t>8511531772
8460961124</t>
  </si>
  <si>
    <t>3714608770</t>
  </si>
  <si>
    <t>BSBPR1310Q</t>
  </si>
  <si>
    <t>842129024326</t>
  </si>
  <si>
    <t>24640100020197</t>
  </si>
  <si>
    <t>BARB0VIDHAN</t>
  </si>
  <si>
    <t>B-5-59 CENTRAL JAIL QUATERRS OPP POLICE LINE RANIP AHMEDABAD  382480</t>
  </si>
  <si>
    <t>VE1066</t>
  </si>
  <si>
    <t xml:space="preserve">GEVRIYA INKALBEN KISHORBHAI </t>
  </si>
  <si>
    <t>GEVRIYA</t>
  </si>
  <si>
    <t>INKALBEN</t>
  </si>
  <si>
    <t>921089417961</t>
  </si>
  <si>
    <t>32975816738</t>
  </si>
  <si>
    <t>SBIN0060420</t>
  </si>
  <si>
    <t>NIKOL AHMEDABAD</t>
  </si>
  <si>
    <t>VAGHANIYA JUNA AMRELI, VAGHANIYA GUJARAT 365456</t>
  </si>
  <si>
    <t>VE1360</t>
  </si>
  <si>
    <t>JADAV MAHENDRAKUMAR SHANTILAL</t>
  </si>
  <si>
    <t>JADAV MAHENDRAKUMAR</t>
  </si>
  <si>
    <t xml:space="preserve">MAHENDRAKUMAR </t>
  </si>
  <si>
    <t>SHANTILAL</t>
  </si>
  <si>
    <t>M.PHIL</t>
  </si>
  <si>
    <t>3714607833</t>
  </si>
  <si>
    <t>AMLPJ4179L</t>
  </si>
  <si>
    <t>842945474579</t>
  </si>
  <si>
    <t>66018052427</t>
  </si>
  <si>
    <t>SBIN0000497</t>
  </si>
  <si>
    <t>104 LALA UKA NI CHALI VIRAMGAM AHMEDABAD 382150</t>
  </si>
  <si>
    <t>VE1269</t>
  </si>
  <si>
    <t>PATEL UMESHKUMAR VISHABHAI</t>
  </si>
  <si>
    <t xml:space="preserve">PATEL UMESHKUMAR </t>
  </si>
  <si>
    <t xml:space="preserve">UMESHKUMAR </t>
  </si>
  <si>
    <t>VISHABHAI</t>
  </si>
  <si>
    <t>7016833279
7016833279</t>
  </si>
  <si>
    <t>3714608439</t>
  </si>
  <si>
    <t>ENCPP6561A</t>
  </si>
  <si>
    <t>414898643938</t>
  </si>
  <si>
    <t>50100291775418</t>
  </si>
  <si>
    <t>HDIC0001700</t>
  </si>
  <si>
    <t>HOUSE NUMBAR 30, VARTHU GUJARAT 383317</t>
  </si>
  <si>
    <t>VE1351</t>
  </si>
  <si>
    <t>MEKVAN ANANDKUMAR SURESHBHAI</t>
  </si>
  <si>
    <t>ANANDKUMAR</t>
  </si>
  <si>
    <t>3713776024</t>
  </si>
  <si>
    <t>200625249110</t>
  </si>
  <si>
    <t>204710110010034</t>
  </si>
  <si>
    <t>BKID0002047</t>
  </si>
  <si>
    <t xml:space="preserve">58/6 ANAND FLATS OPP MANGALAM FLATS B/H L.B.S STADIUM BAPUNAGAR AHMEDABAD </t>
  </si>
  <si>
    <t>VE1370</t>
  </si>
  <si>
    <t>MAKVANA MADHAV RAMESHBHAI</t>
  </si>
  <si>
    <t>MAKVANA MADHAV</t>
  </si>
  <si>
    <t>MAKVANA</t>
  </si>
  <si>
    <t>MADHAV</t>
  </si>
  <si>
    <t>3714608677</t>
  </si>
  <si>
    <t>979723059850</t>
  </si>
  <si>
    <t>34790100003084</t>
  </si>
  <si>
    <t>BARB0ALIYAB</t>
  </si>
  <si>
    <t xml:space="preserve">RAMRIRTH SOCIETY AHMEDABAD  JIVRAJ PARK </t>
  </si>
  <si>
    <t>AABALIVARUFARI ALIYABADA JAMNAGAR ALIA JAMNAGAR GUJARAT 361110</t>
  </si>
  <si>
    <t>VE1371</t>
  </si>
  <si>
    <t>RAVALIYA KOMAL</t>
  </si>
  <si>
    <t>RAVALIYA</t>
  </si>
  <si>
    <t>KOMAL</t>
  </si>
  <si>
    <t>3713788068</t>
  </si>
  <si>
    <t>DAQPR6239R</t>
  </si>
  <si>
    <t>443555806892</t>
  </si>
  <si>
    <t>39158505797</t>
  </si>
  <si>
    <t>SBIN0060089</t>
  </si>
  <si>
    <t>Prabhunagar Society, Asarwa, Ahmedabad</t>
  </si>
  <si>
    <t>To Shiva Tal. Bhanvad Dist. Devbhumi Dwarka</t>
  </si>
  <si>
    <t>VE1373</t>
  </si>
  <si>
    <t>VASAVA TEJALBEN ANILBHAI</t>
  </si>
  <si>
    <t>VASAVA</t>
  </si>
  <si>
    <t>9510434965
9726325196</t>
  </si>
  <si>
    <t>3714608880</t>
  </si>
  <si>
    <t>BNRPV3128H</t>
  </si>
  <si>
    <t>798104564168</t>
  </si>
  <si>
    <t>37795967897</t>
  </si>
  <si>
    <t>SBIN0011024</t>
  </si>
  <si>
    <t>114, SAHIBAUG CO. SOCIETY, NEAR ASARVA, AHMEDABAD</t>
  </si>
  <si>
    <t>AT. POST. ROZDEV TAL. SAGBARA DIST. NARMADA-393050</t>
  </si>
  <si>
    <t>VE1098</t>
  </si>
  <si>
    <t>BARAIYA SHARDABEN NAGJIBHAI</t>
  </si>
  <si>
    <t>SHARDABEN</t>
  </si>
  <si>
    <t>NAGJIBHAI</t>
  </si>
  <si>
    <t>3714520886</t>
  </si>
  <si>
    <t>GJVPB0793M</t>
  </si>
  <si>
    <t>880672903681</t>
  </si>
  <si>
    <t>38271426142</t>
  </si>
  <si>
    <t>JAHANGIRPURA GAM, AHMEDABAD</t>
  </si>
  <si>
    <t>54, TAD VADI, KALSAR, BHAVNAGAR</t>
  </si>
  <si>
    <t>VE1226</t>
  </si>
  <si>
    <t>DAMOR MANISHABEN</t>
  </si>
  <si>
    <t>MANISHABEN</t>
  </si>
  <si>
    <t>6359314276
8758143882</t>
  </si>
  <si>
    <t>3714307207</t>
  </si>
  <si>
    <t>262114524934</t>
  </si>
  <si>
    <t>16570100017316</t>
  </si>
  <si>
    <t>BARB0MUNPUR</t>
  </si>
  <si>
    <t xml:space="preserve">12-A NARAYAN COMPLEX EYE HOSPITAL GANPAT COLONY ASARWA AHMEDABAD </t>
  </si>
  <si>
    <t>VE1146</t>
  </si>
  <si>
    <t>GAMIT RINABEN SHANKARBHAI</t>
  </si>
  <si>
    <t>RINABEN</t>
  </si>
  <si>
    <t>SHANKARBHAI</t>
  </si>
  <si>
    <t>3714520898</t>
  </si>
  <si>
    <t>PODPS4441R</t>
  </si>
  <si>
    <t>722341617912</t>
  </si>
  <si>
    <t>33995610282</t>
  </si>
  <si>
    <t>SBIN0003893</t>
  </si>
  <si>
    <t>JAHANGIRPURA GAM, SUTHAR VAS, NEAR CIVIL HOSPITAL, ASARWA, AHMEDABAD</t>
  </si>
  <si>
    <t>VADDA PRO BHENSROT TAL SONGADH DIST. TAPI</t>
  </si>
  <si>
    <t>VE1154</t>
  </si>
  <si>
    <t>PATEL NITINKUMAR RAJENDRABHAI</t>
  </si>
  <si>
    <t>NITINKUMAR</t>
  </si>
  <si>
    <t>3714585578</t>
  </si>
  <si>
    <t>FEXPP7084H</t>
  </si>
  <si>
    <t>861569940444</t>
  </si>
  <si>
    <t>37548035856</t>
  </si>
  <si>
    <t>BADIYA LIMDI, ASARWA, AHMEDABAD</t>
  </si>
  <si>
    <t>AT. PARABIYA TAL. BALASINOR DIST. MAHISAGAR</t>
  </si>
  <si>
    <t>VE1362</t>
  </si>
  <si>
    <t>MALI VAISHALI</t>
  </si>
  <si>
    <t>MALI</t>
  </si>
  <si>
    <t>RAMDAS</t>
  </si>
  <si>
    <t>3714589075</t>
  </si>
  <si>
    <t>EXVPM3584F</t>
  </si>
  <si>
    <t>296702534468</t>
  </si>
  <si>
    <t>33984195675</t>
  </si>
  <si>
    <t>SBIN0001370</t>
  </si>
  <si>
    <t>14/250 NAVA TRAN MALIA POLICE HEAD QUARTERS SHAHIBAUG AHMEDABAD-380004</t>
  </si>
  <si>
    <t>VE1040</t>
  </si>
  <si>
    <t>UPADHYAY MIRAL HARSHVADAN</t>
  </si>
  <si>
    <t>UPADHYAY</t>
  </si>
  <si>
    <t>MIRAL</t>
  </si>
  <si>
    <t>HARSHVADAN</t>
  </si>
  <si>
    <t>8153882352
9016127979</t>
  </si>
  <si>
    <t>3714585541</t>
  </si>
  <si>
    <t>AJKPU7295C</t>
  </si>
  <si>
    <t>498070138209</t>
  </si>
  <si>
    <t>03300100036255</t>
  </si>
  <si>
    <t>TAGOR-2 DABHOR ROAD VERAVAL DIST GIRSOMNATH</t>
  </si>
  <si>
    <t>VE1041</t>
  </si>
  <si>
    <t>URVASHI ARATSINH BARIA</t>
  </si>
  <si>
    <t>BARIA</t>
  </si>
  <si>
    <t>URVASHI</t>
  </si>
  <si>
    <t>ARATSINH</t>
  </si>
  <si>
    <t>9313771396
8200252549</t>
  </si>
  <si>
    <t>3714586459</t>
  </si>
  <si>
    <t>EEJPB5451P</t>
  </si>
  <si>
    <t>531633800117</t>
  </si>
  <si>
    <t>200810110012131</t>
  </si>
  <si>
    <t>BKID0002008</t>
  </si>
  <si>
    <t>B-103 SAUJANY TENAMENT BEHIND NAMRATA TENAMENT VATVA AHMEDABAD</t>
  </si>
  <si>
    <t>VE1244</t>
  </si>
  <si>
    <t>KATARA AAKASH CHANDUBHAI</t>
  </si>
  <si>
    <t>KATARA</t>
  </si>
  <si>
    <t>AAKASH</t>
  </si>
  <si>
    <t>CHANDUBHAI</t>
  </si>
  <si>
    <t>7874090778
7874317515</t>
  </si>
  <si>
    <t>3714307242</t>
  </si>
  <si>
    <t>LKEPK8605C</t>
  </si>
  <si>
    <t>852748473711</t>
  </si>
  <si>
    <t>06960110032305</t>
  </si>
  <si>
    <t>204/AASHRAYM-1 CIVIL STAFF NURSES QUARTERS TATA NAGAR MEGHANINAGAR AHMEDABAD-380016</t>
  </si>
  <si>
    <t>VE1054</t>
  </si>
  <si>
    <t>ASARI PAYAL</t>
  </si>
  <si>
    <t>ASARI</t>
  </si>
  <si>
    <t>9773446966
9879845970</t>
  </si>
  <si>
    <t>3713380195</t>
  </si>
  <si>
    <t>485176912258</t>
  </si>
  <si>
    <t>205810510000984</t>
  </si>
  <si>
    <t>BKID0002058</t>
  </si>
  <si>
    <t>498/3159 GURUKRUPANAGAR G.H.B. CHANDKHEDA AHMEDABAD</t>
  </si>
  <si>
    <t>VE1056</t>
  </si>
  <si>
    <t>HARSHKUMAR SATISHBHAI PRAJAPATI</t>
  </si>
  <si>
    <t>SATISHBHAI</t>
  </si>
  <si>
    <t>9687463219
9265242225</t>
  </si>
  <si>
    <t>3714583531</t>
  </si>
  <si>
    <t>FNMPP3048D</t>
  </si>
  <si>
    <t>924060547997</t>
  </si>
  <si>
    <t>50100446883722</t>
  </si>
  <si>
    <t>HDFC0003000</t>
  </si>
  <si>
    <t>AT PO PADARDI TAL KHEDBRAHMA DIST SABARKANTHA-383255</t>
  </si>
  <si>
    <t>VE1130</t>
  </si>
  <si>
    <t>BHUMIKABEN TARUNBHAI MAKWANA</t>
  </si>
  <si>
    <t>BHUMIKABEN</t>
  </si>
  <si>
    <t>TARUNBHAI</t>
  </si>
  <si>
    <t>3714520922</t>
  </si>
  <si>
    <t>881327901442</t>
  </si>
  <si>
    <t>39410100007309</t>
  </si>
  <si>
    <t>BARB0DHANDH</t>
  </si>
  <si>
    <t>61 RAMKRUPANAGAR AHMEDABAD</t>
  </si>
  <si>
    <t>MIRAVADI DHANDHUKA AHMEDABAD-382460</t>
  </si>
  <si>
    <t>VE1369</t>
  </si>
  <si>
    <t>BABARIYA ARATI</t>
  </si>
  <si>
    <t>BABARIYA</t>
  </si>
  <si>
    <t>PALABHAI</t>
  </si>
  <si>
    <t>7874435416
6355787882</t>
  </si>
  <si>
    <t>3714586464</t>
  </si>
  <si>
    <t>FRBPB4858J</t>
  </si>
  <si>
    <t>492574137926</t>
  </si>
  <si>
    <t>08660100041349</t>
  </si>
  <si>
    <t>BARB0GANPOR</t>
  </si>
  <si>
    <t>VE1058</t>
  </si>
  <si>
    <t>FALGUNI MENA</t>
  </si>
  <si>
    <t>MENA</t>
  </si>
  <si>
    <t>FALGUNI</t>
  </si>
  <si>
    <t>SUDHIRBHAI</t>
  </si>
  <si>
    <t>9173228480
8488011847</t>
  </si>
  <si>
    <t>3713380544</t>
  </si>
  <si>
    <t>DCAPM8945K</t>
  </si>
  <si>
    <t>612986034626</t>
  </si>
  <si>
    <t>201710510001647</t>
  </si>
  <si>
    <t>BKID0002017</t>
  </si>
  <si>
    <t>2622/1 DARIYAPUR TOWER MENWAD AHMEDABAD-380001</t>
  </si>
  <si>
    <t>VE1149</t>
  </si>
  <si>
    <t>JETHVA KAJALBEN CHAKURBHAI</t>
  </si>
  <si>
    <t>JETHVA</t>
  </si>
  <si>
    <t>CHAKURBHAI</t>
  </si>
  <si>
    <t>3714248263</t>
  </si>
  <si>
    <t>BUYPJ1731J</t>
  </si>
  <si>
    <t>220958570530</t>
  </si>
  <si>
    <t>5304238058</t>
  </si>
  <si>
    <t>KUMBHARIYA TAL RAJULA DIST AMRELI</t>
  </si>
  <si>
    <t>VE1210</t>
  </si>
  <si>
    <t>KANZARIYA JAYPALBHAI THAKARSHIBHAI</t>
  </si>
  <si>
    <t>JAYPALBHAI</t>
  </si>
  <si>
    <t>THAKARSHIBHAI</t>
  </si>
  <si>
    <t>3714248318</t>
  </si>
  <si>
    <t>CILPT8014N</t>
  </si>
  <si>
    <t>982921748443</t>
  </si>
  <si>
    <t>06960110032541</t>
  </si>
  <si>
    <t>TO GOKHARWALA TAL CHUDA DIST SURENDRANAGAR</t>
  </si>
  <si>
    <t>VE1232</t>
  </si>
  <si>
    <t>PATEL PRATIKKUMAR ASHOKKUMAR</t>
  </si>
  <si>
    <t>PRATIKKUMAR</t>
  </si>
  <si>
    <t>ASHOKKUMAR</t>
  </si>
  <si>
    <t>9904164909
9974035233</t>
  </si>
  <si>
    <t>3714307216</t>
  </si>
  <si>
    <t>DSKPA6531B</t>
  </si>
  <si>
    <t>331274341015</t>
  </si>
  <si>
    <t>58170100000872</t>
  </si>
  <si>
    <t>BARB0RANSIP</t>
  </si>
  <si>
    <t>24, MOHANPARK SOCIETY, OPP UN MEHTA HOSP. AHMEDABAD</t>
  </si>
  <si>
    <t>PATEL VAS, NAVA RANSIPUR, TAL VIJAPUR, DIST. MEHSANA</t>
  </si>
  <si>
    <t>VE1357</t>
  </si>
  <si>
    <t>RATHVA</t>
  </si>
  <si>
    <t>HARIBHAI</t>
  </si>
  <si>
    <t>9106204551
8469829653</t>
  </si>
  <si>
    <t>3714586328</t>
  </si>
  <si>
    <t>DXJPR0800J</t>
  </si>
  <si>
    <t>657047420627</t>
  </si>
  <si>
    <t>33145078445</t>
  </si>
  <si>
    <t>AT PO MALAJA TAL DIST CHHOTAUDEPUR</t>
  </si>
  <si>
    <t>VE1271</t>
  </si>
  <si>
    <t>DODIYA KESHUBHAI PRATAPBHAI</t>
  </si>
  <si>
    <t>DODIYA</t>
  </si>
  <si>
    <t>KESHUBHAI</t>
  </si>
  <si>
    <t>7069598398
9274400076</t>
  </si>
  <si>
    <t>3714248313</t>
  </si>
  <si>
    <t>EVDPD4011E</t>
  </si>
  <si>
    <t>295909989229</t>
  </si>
  <si>
    <t>06960110032794</t>
  </si>
  <si>
    <t>SURATKHAN VADI, KODINAR, DIST. JUNAGADH-362720</t>
  </si>
  <si>
    <t>VE1366</t>
  </si>
  <si>
    <t>ROSHANI MAHESHBHAI PANCHAL</t>
  </si>
  <si>
    <t>ROSHANI</t>
  </si>
  <si>
    <t>7433904073
9723939947</t>
  </si>
  <si>
    <t>3714585503</t>
  </si>
  <si>
    <t>FHLPP3495M</t>
  </si>
  <si>
    <t>290974529278</t>
  </si>
  <si>
    <t>595502010006643</t>
  </si>
  <si>
    <t>UBIN0559555</t>
  </si>
  <si>
    <t>C-8 HARSIDDH PARK SOCIETY NEAR PURBHI PARK VASTRAL ROAD VASTRAL AHMEDABAD-382418</t>
  </si>
  <si>
    <t>VE1071</t>
  </si>
  <si>
    <t>CHRISTIAN QUENCY BRESVEL</t>
  </si>
  <si>
    <t>QUENCY</t>
  </si>
  <si>
    <t>BRESVEL</t>
  </si>
  <si>
    <t>9687423255
7016230845</t>
  </si>
  <si>
    <t>3713699806</t>
  </si>
  <si>
    <t>CSIPC3677H</t>
  </si>
  <si>
    <t>993520909073</t>
  </si>
  <si>
    <t>38695810648</t>
  </si>
  <si>
    <t>SBIN0018829</t>
  </si>
  <si>
    <t>209-28 ROHITDAS SOCIETY JETALPUR SHANTIPUR AHMEDABAD</t>
  </si>
  <si>
    <t>VE1233</t>
  </si>
  <si>
    <t>DORILA JITUBHAI AMARUBHAI</t>
  </si>
  <si>
    <t>DORILA</t>
  </si>
  <si>
    <t>JITUBHAI</t>
  </si>
  <si>
    <t>AMARUBHAI</t>
  </si>
  <si>
    <t>9913916170
9510839510</t>
  </si>
  <si>
    <t>3714586070</t>
  </si>
  <si>
    <t>ERVPD6766G</t>
  </si>
  <si>
    <t>566963223781</t>
  </si>
  <si>
    <t>06960110032756</t>
  </si>
  <si>
    <t>SANJANASAR PALITANA BHAVNAGAR</t>
  </si>
  <si>
    <t>VE1069</t>
  </si>
  <si>
    <t>DABHI DIPAL</t>
  </si>
  <si>
    <t>DIPAL</t>
  </si>
  <si>
    <t>3714585591</t>
  </si>
  <si>
    <t>GMDPD0839M</t>
  </si>
  <si>
    <t>848166575221</t>
  </si>
  <si>
    <t>10098964025</t>
  </si>
  <si>
    <t>IDFB0040301</t>
  </si>
  <si>
    <t>B-39 PADMASHALI SOC VIRATNAGAR ODHAV AHMEDABAD-382415</t>
  </si>
  <si>
    <t>VE1257</t>
  </si>
  <si>
    <t>GOHIL ABHISHEK RAMESHBHAI</t>
  </si>
  <si>
    <t>ABHISHEK</t>
  </si>
  <si>
    <t>3714349846</t>
  </si>
  <si>
    <t>DASPG1597M</t>
  </si>
  <si>
    <t>998955063504</t>
  </si>
  <si>
    <t>33120382613</t>
  </si>
  <si>
    <t>SBIN0060216</t>
  </si>
  <si>
    <t>SUTHARVAS AHMEDABAD</t>
  </si>
  <si>
    <t>MOCHI SHERI GORKHI ROAD TALAJA BHAVNAGAR-364140</t>
  </si>
  <si>
    <t>VE1060</t>
  </si>
  <si>
    <t>ASARI KINJALBEN</t>
  </si>
  <si>
    <t>KINJALBEN</t>
  </si>
  <si>
    <t>6359966121
9879845970</t>
  </si>
  <si>
    <t>3714264369</t>
  </si>
  <si>
    <t>DQJPA6682N</t>
  </si>
  <si>
    <t>495088631714</t>
  </si>
  <si>
    <t>559702010004693</t>
  </si>
  <si>
    <t>UBIN0555975</t>
  </si>
  <si>
    <t>VE1139</t>
  </si>
  <si>
    <t>SOLANKI VAIBHAVIBEN BALKRUSHNA</t>
  </si>
  <si>
    <t>VAIBHAVIBEN</t>
  </si>
  <si>
    <t>BALKRUSHNA</t>
  </si>
  <si>
    <t>7041763787
9904836833</t>
  </si>
  <si>
    <t>3714264490</t>
  </si>
  <si>
    <t>OFBPS5617R</t>
  </si>
  <si>
    <t>457641097529</t>
  </si>
  <si>
    <t>03300100034807</t>
  </si>
  <si>
    <t>44 ASHOKMILL NI JUNI CHALI OPP ANIL STARCH AHMEDABAD</t>
  </si>
  <si>
    <t>VE1099</t>
  </si>
  <si>
    <t>RAVAL POOJA</t>
  </si>
  <si>
    <t>THAVRABHAI</t>
  </si>
  <si>
    <t>3714307518</t>
  </si>
  <si>
    <t>CGGPR9708A</t>
  </si>
  <si>
    <t>915825806933</t>
  </si>
  <si>
    <t>20192855377</t>
  </si>
  <si>
    <t>40/1 JASWANT COLONY, NEAR KHODIYAR TEMPLE, NARODA, AHMEDABAD-382330</t>
  </si>
  <si>
    <t>VE1064</t>
  </si>
  <si>
    <t>KHOKHARIYA KIRANKUMAR BHURABHAI</t>
  </si>
  <si>
    <t>KHOKHARIYA</t>
  </si>
  <si>
    <t>BHURABHAI</t>
  </si>
  <si>
    <t>9727269497
7203813620</t>
  </si>
  <si>
    <t>3714520873</t>
  </si>
  <si>
    <t>GATPB0049B</t>
  </si>
  <si>
    <t>788038631290</t>
  </si>
  <si>
    <t>50100482103984</t>
  </si>
  <si>
    <t>NEAR GEB, MOTA CHILODA, GANDHINAGAR</t>
  </si>
  <si>
    <t>AT. RAYNIYA, PO BAMNOJ, TAL DANTA, DIST BANASKANTHA</t>
  </si>
  <si>
    <t>VE1017</t>
  </si>
  <si>
    <t>SUMESRA ARTIBEN JASVANTBHAI</t>
  </si>
  <si>
    <t>SUMESRA</t>
  </si>
  <si>
    <t>ARTIBEN</t>
  </si>
  <si>
    <t>3714248238</t>
  </si>
  <si>
    <t>MGDPS3494P</t>
  </si>
  <si>
    <t>785834360508</t>
  </si>
  <si>
    <t>01212171006708</t>
  </si>
  <si>
    <t>PUNB0012110</t>
  </si>
  <si>
    <t>PANJAB NATIONAL BANK</t>
  </si>
  <si>
    <t>4/10 SHASTRINAGAR, NEAR LAL BAHADUR SHASTRI STADIUM, UMANG FLAT, BAPUNAGAR, AHMEDABAD</t>
  </si>
  <si>
    <t>VE1103</t>
  </si>
  <si>
    <t>SAIYAD NAAZAKHATAR MUNAVARALI</t>
  </si>
  <si>
    <t>NAAZAKHATAR</t>
  </si>
  <si>
    <t>MUNAVARALI</t>
  </si>
  <si>
    <t>7383140588
8238159414</t>
  </si>
  <si>
    <t>3714520842</t>
  </si>
  <si>
    <t>MXMPS9403E</t>
  </si>
  <si>
    <t>394931545220</t>
  </si>
  <si>
    <t>06960110032732</t>
  </si>
  <si>
    <t>MOTI BHAGOL NEAR NAGINA MASJID MATAR DIST. KHEDA</t>
  </si>
  <si>
    <t>VE1374</t>
  </si>
  <si>
    <t>BARIA RAJESHBHAI MOTIBHAI</t>
  </si>
  <si>
    <t>3714608881</t>
  </si>
  <si>
    <t>FSUPB0880E</t>
  </si>
  <si>
    <t>891620853629</t>
  </si>
  <si>
    <t>56590100043340</t>
  </si>
  <si>
    <t>BARB0CHAKRO</t>
  </si>
  <si>
    <t>AT. UMARIYA TAL DHANPUR DIST DAHOD</t>
  </si>
  <si>
    <t>VE1353</t>
  </si>
  <si>
    <t>CHAVADA SHITALBEN JAGABHAI</t>
  </si>
  <si>
    <t>CHAVADA</t>
  </si>
  <si>
    <t>JAGABHAI</t>
  </si>
  <si>
    <t>6358380064
8320075550</t>
  </si>
  <si>
    <t>3714520859</t>
  </si>
  <si>
    <t>CQPPC1946J</t>
  </si>
  <si>
    <t>810078973911</t>
  </si>
  <si>
    <t>06960110032435</t>
  </si>
  <si>
    <t>TO NAVANIYA TAL LALPUR DIST JAMNAGAR</t>
  </si>
  <si>
    <t>VE1261</t>
  </si>
  <si>
    <t>NINAMA JAGRUTIBEN SARDARBHAI</t>
  </si>
  <si>
    <t>JAGRUTIBEN</t>
  </si>
  <si>
    <t>SARDARBHAI</t>
  </si>
  <si>
    <t>9586519974
9727890974</t>
  </si>
  <si>
    <t>3714248286</t>
  </si>
  <si>
    <t>CRBPN2311P</t>
  </si>
  <si>
    <t>994902391388</t>
  </si>
  <si>
    <t>50100480056625</t>
  </si>
  <si>
    <t>HDFC000306</t>
  </si>
  <si>
    <t>TALAV FALIYA THALA (LIMDI) JHALOD DIST DAHOD-389180</t>
  </si>
  <si>
    <t>VE1376</t>
  </si>
  <si>
    <t>BHARATIBEN KAMJIBHAI GAMETI</t>
  </si>
  <si>
    <t>GAMETI</t>
  </si>
  <si>
    <t>BHARATIBEN</t>
  </si>
  <si>
    <t>KAMJIBHAI</t>
  </si>
  <si>
    <t>7990205794
9687323303</t>
  </si>
  <si>
    <t>3714608875</t>
  </si>
  <si>
    <t>DYFPG6792F</t>
  </si>
  <si>
    <t>589066055765</t>
  </si>
  <si>
    <t>202010110027341</t>
  </si>
  <si>
    <t>BKID0002020</t>
  </si>
  <si>
    <t>GAMETI FALI, TORDA, SAYDI, TORDA (JETPUR), SABARKANTHA-383246</t>
  </si>
  <si>
    <t>VE1372</t>
  </si>
  <si>
    <t>SISOTIYA REKHABEN</t>
  </si>
  <si>
    <t>SISOTIYA</t>
  </si>
  <si>
    <t>REKHABEN</t>
  </si>
  <si>
    <t>UKABHAI</t>
  </si>
  <si>
    <t>9106957632
9601673377</t>
  </si>
  <si>
    <t>3713785172</t>
  </si>
  <si>
    <t>FZHPR8570P</t>
  </si>
  <si>
    <t>208160459699</t>
  </si>
  <si>
    <t>37255012376</t>
  </si>
  <si>
    <t>VE1375</t>
  </si>
  <si>
    <t>RATHOD HARDIK KUMAR</t>
  </si>
  <si>
    <t>HARDIK KUMAR</t>
  </si>
  <si>
    <t>AMRUTBHAI</t>
  </si>
  <si>
    <t>9662459027
9512404771</t>
  </si>
  <si>
    <t>3714608876</t>
  </si>
  <si>
    <t>JZLPK2540C</t>
  </si>
  <si>
    <t>490554855226</t>
  </si>
  <si>
    <t>39724093155</t>
  </si>
  <si>
    <t>VANSLI, SABARKANTHA-383245</t>
  </si>
  <si>
    <t>VE1158</t>
  </si>
  <si>
    <t>JYOTIKABEN BHAGORA</t>
  </si>
  <si>
    <t>BHAGORA</t>
  </si>
  <si>
    <t>JYOTIKABEN</t>
  </si>
  <si>
    <t>7874874992
8980485021</t>
  </si>
  <si>
    <t>3714307501</t>
  </si>
  <si>
    <t>EJDPB2289A</t>
  </si>
  <si>
    <t>358264114856</t>
  </si>
  <si>
    <t>557902010012144</t>
  </si>
  <si>
    <t>UBIN0555797</t>
  </si>
  <si>
    <t>RAJGOL KUNOL MEGHRAJ SABARKANTHA-383350</t>
  </si>
  <si>
    <t>VE1263</t>
  </si>
  <si>
    <t>BHOI ASHISHBHAI KALABHAI</t>
  </si>
  <si>
    <t>BHOI</t>
  </si>
  <si>
    <t>ASHISHBHAI</t>
  </si>
  <si>
    <t>KALABHAI</t>
  </si>
  <si>
    <t>8780903927
7862821714</t>
  </si>
  <si>
    <t>3714586469</t>
  </si>
  <si>
    <t>DCTPB8692B</t>
  </si>
  <si>
    <t>803988552724</t>
  </si>
  <si>
    <t>240210510003198</t>
  </si>
  <si>
    <t>PAHADIYA, CHITARIYA, SABARKANTHA-383355</t>
  </si>
  <si>
    <t>VE1072</t>
  </si>
  <si>
    <t>PATNI KAJAL JAYANTIBHAI</t>
  </si>
  <si>
    <t>3714586479</t>
  </si>
  <si>
    <t>EUBPP7198M</t>
  </si>
  <si>
    <t>744856484049</t>
  </si>
  <si>
    <t>03218100004127</t>
  </si>
  <si>
    <t>1209, KADIYA CHALI, NEAR SANTOSHI MATA MANDIR, ASARWA, AHMEDABAD-380016</t>
  </si>
  <si>
    <t>VE1155</t>
  </si>
  <si>
    <t>PARGHI PRAVINBHAI MANABHAI</t>
  </si>
  <si>
    <t>PARGHI</t>
  </si>
  <si>
    <t>MANABHAI</t>
  </si>
  <si>
    <t>3714586096</t>
  </si>
  <si>
    <t>ETDPP5237C</t>
  </si>
  <si>
    <t>839772242517</t>
  </si>
  <si>
    <t>37535464701</t>
  </si>
  <si>
    <t>AT CHADA POST GUNDEL TAL KHADBHRAMA DIST SABARKANTHA-383255</t>
  </si>
  <si>
    <t>VE1053</t>
  </si>
  <si>
    <t>MORI TWINKELBEN BALUBHAI</t>
  </si>
  <si>
    <t>MORI</t>
  </si>
  <si>
    <t>BALUBHAI</t>
  </si>
  <si>
    <t>3714586489</t>
  </si>
  <si>
    <t>FKGPB7565A</t>
  </si>
  <si>
    <t>677592147034</t>
  </si>
  <si>
    <t>32414163979</t>
  </si>
  <si>
    <t>SBIN0060008</t>
  </si>
  <si>
    <t>DOLASA TAL KODINAR DIST GIRSOMNATH</t>
  </si>
  <si>
    <t>VE1169</t>
  </si>
  <si>
    <t>CHRISTIAN RECHAL RASIKBHAI</t>
  </si>
  <si>
    <t>RECHAL</t>
  </si>
  <si>
    <t>RASIKBHAI</t>
  </si>
  <si>
    <t>3714520822</t>
  </si>
  <si>
    <t>BTUPC5529E</t>
  </si>
  <si>
    <t>920062082403</t>
  </si>
  <si>
    <t>5171340423</t>
  </si>
  <si>
    <t>371 ASHAPUR BAKROL SARKHEJ AHMEDABAD</t>
  </si>
  <si>
    <t>VE1070</t>
  </si>
  <si>
    <t>PATEL NIJALKUMAR ARVINDBHAI</t>
  </si>
  <si>
    <t>NIJALKUMAR</t>
  </si>
  <si>
    <t>3714586344</t>
  </si>
  <si>
    <t>710032860649</t>
  </si>
  <si>
    <t>364001006143</t>
  </si>
  <si>
    <t>ICIC0003640</t>
  </si>
  <si>
    <t>AT PANAPUR PO BADODARA TAL TALOD DIST SABARKANTHA</t>
  </si>
  <si>
    <t>D425 PRANAV APARTMENT GHATLODIYA AHMEDABAD</t>
  </si>
  <si>
    <t>ANKITA</t>
  </si>
  <si>
    <t>Employee code</t>
  </si>
  <si>
    <t xml:space="preserve"> F</t>
  </si>
  <si>
    <t>FATHER / SPOUUSE NAME</t>
  </si>
  <si>
    <t>HIGH SKILLED</t>
  </si>
  <si>
    <t>CONTRACTUAL</t>
  </si>
  <si>
    <t>BARB0DBJGDH</t>
  </si>
  <si>
    <t>3705864630</t>
  </si>
  <si>
    <t>BANK</t>
  </si>
  <si>
    <t>BRANCH (IFSC)</t>
  </si>
  <si>
    <t>BODAT FALIYU,MALASA,BHILODA,Dist:Sabarkantha,Gujarat,383450</t>
  </si>
  <si>
    <t>RAM KUTIR, NEAR HARIDARSHAN CROSS ROAD, NEW NARODA, AHMEDABAD</t>
  </si>
  <si>
    <t>B.COM., MASTER IN HOSP. MGT.</t>
  </si>
  <si>
    <t>B.PHARM</t>
  </si>
  <si>
    <t>MSW</t>
  </si>
  <si>
    <t>VE1272</t>
  </si>
  <si>
    <t>JASMINA</t>
  </si>
  <si>
    <t>NEETA</t>
  </si>
  <si>
    <t>MANISHA</t>
  </si>
  <si>
    <t>NEHA HIRALAL AYKANGOR</t>
  </si>
  <si>
    <t>PARMAR MANISHA JAYANTIBHAI</t>
  </si>
  <si>
    <t>DAMOR DAXA MANSINGBHAI</t>
  </si>
  <si>
    <t>DAMOR DAXA</t>
  </si>
  <si>
    <t>DAXA</t>
  </si>
  <si>
    <t>SOLANKI NEHA NARSINHBHAI</t>
  </si>
  <si>
    <t>PATEL SHRADDHA HARSHKUMAR</t>
  </si>
  <si>
    <t>SHRDDHA</t>
  </si>
  <si>
    <t>VALAND KRISHNA ASHVINKUMAR</t>
  </si>
  <si>
    <t>KRISHNA</t>
  </si>
  <si>
    <t>CHAUDHARI KRIMA BALVANTBHAI</t>
  </si>
  <si>
    <t>KRIMA</t>
  </si>
  <si>
    <t>SOMALAVALA DAXA</t>
  </si>
  <si>
    <t>RAJPAL BHUMIKA VINAYAKBHAI</t>
  </si>
  <si>
    <t>BHUMIKA</t>
  </si>
  <si>
    <t>PRAJAPATI POOJA RAMANIKBHAI</t>
  </si>
  <si>
    <t>PRAJAPATI POOJA</t>
  </si>
  <si>
    <t>GAMIT ASHIYA RUVAJIBHAI</t>
  </si>
  <si>
    <t>ASHIYA</t>
  </si>
  <si>
    <t>DAMOR DIVYA JAGDISHBHAI</t>
  </si>
  <si>
    <t>CHAVDA DIVYA MULJIBHAI</t>
  </si>
  <si>
    <t>CHAVDA DIVYA</t>
  </si>
  <si>
    <t>3713073319</t>
  </si>
  <si>
    <t>3714194793</t>
  </si>
  <si>
    <t>3714194838</t>
  </si>
  <si>
    <t>3714194849</t>
  </si>
  <si>
    <t>3714194858</t>
  </si>
  <si>
    <t>3714194877</t>
  </si>
  <si>
    <t>3714194883</t>
  </si>
  <si>
    <t>3714194975</t>
  </si>
  <si>
    <t>3714195020</t>
  </si>
  <si>
    <t>3714195039</t>
  </si>
  <si>
    <t>3713635179</t>
  </si>
  <si>
    <t>3713665258</t>
  </si>
  <si>
    <t>3714264320</t>
  </si>
  <si>
    <t>3712893486</t>
  </si>
  <si>
    <t>3714264214</t>
  </si>
  <si>
    <t>-</t>
  </si>
  <si>
    <t>PALLVITA</t>
  </si>
  <si>
    <t xml:space="preserve">CHAUDHARI MENKA RAMJIBHAI </t>
  </si>
  <si>
    <t>MENKA RAMJIBHAI CHAUDHARI</t>
  </si>
  <si>
    <t xml:space="preserve">MENKA </t>
  </si>
  <si>
    <t>PATEL DIVYA KETANKUMAR</t>
  </si>
  <si>
    <t>PATEL DIVYA</t>
  </si>
  <si>
    <t>KOTAK MAHENDRA BANK</t>
  </si>
  <si>
    <t>RAHESHIYA URMILA DINESHBHAI</t>
  </si>
  <si>
    <t>RAHESHIYA URMILA</t>
  </si>
  <si>
    <t>URMILA</t>
  </si>
  <si>
    <t>MEHTA NEHA KAUSHIKKUMAR</t>
  </si>
  <si>
    <t>KALASVA MANISHA KANTILAL</t>
  </si>
  <si>
    <t>BHATI ANKITA BALVANTBHAI</t>
  </si>
  <si>
    <t>BHATI ANKITA</t>
  </si>
  <si>
    <t>PARMAR HINA VIKRAMSINH</t>
  </si>
  <si>
    <t>HINA</t>
  </si>
  <si>
    <t>PANCHAL USHA MAHESHBHAI</t>
  </si>
  <si>
    <t>PANCHAL USHA</t>
  </si>
  <si>
    <t>PATEL RASHMIKA AMRUTLAL</t>
  </si>
  <si>
    <t>SANGITA LAXMANBHAI RATHOD</t>
  </si>
  <si>
    <t>SOLANKI URMILA NATVARBHAI</t>
  </si>
  <si>
    <t>URMILA NATVARBHAI SOLANKI</t>
  </si>
  <si>
    <t>BAMBHANIYA NISHA BANUBHAI</t>
  </si>
  <si>
    <t>BAMBHANIYA NISHA</t>
  </si>
  <si>
    <t>NISHA</t>
  </si>
  <si>
    <t>PARMAR NEHA DHAVALBHAI</t>
  </si>
  <si>
    <t>RATHOD USHA</t>
  </si>
  <si>
    <t>Employee Master Data - STAFF NURSE, CLINICAL, NONCLNICIAL STAFF, GCRI, AHMEDABAD</t>
  </si>
  <si>
    <t>RATHVA SONABEN</t>
  </si>
  <si>
    <t>SONABEN</t>
  </si>
  <si>
    <t>SR. NO</t>
  </si>
  <si>
    <t>ID NO.</t>
  </si>
  <si>
    <t>MIDDLE NAME</t>
  </si>
  <si>
    <t>GENDER M/F</t>
  </si>
  <si>
    <t>MARRIED/UMARRIED</t>
  </si>
  <si>
    <t xml:space="preserve">MOBILE </t>
  </si>
  <si>
    <t>PF NO</t>
  </si>
  <si>
    <t>IFSC CODE</t>
  </si>
  <si>
    <t>NAME OF BANK</t>
  </si>
  <si>
    <t>VE3003</t>
  </si>
  <si>
    <t>PRATAPBHAI JIVABHAI BARAIYA</t>
  </si>
  <si>
    <t>JIVABHAI</t>
  </si>
  <si>
    <t>03/03/1984</t>
  </si>
  <si>
    <t>B.COM, ITI</t>
  </si>
  <si>
    <t>DATA ENTRY OPERATOR (MULTI TASK)</t>
  </si>
  <si>
    <t>3712541931</t>
  </si>
  <si>
    <t>BAFPB4575Q</t>
  </si>
  <si>
    <t>807023700650</t>
  </si>
  <si>
    <t>3494295067</t>
  </si>
  <si>
    <t>67 MAYANI VISTAR, KHEDA, RAJULA, AMRELI 365550</t>
  </si>
  <si>
    <t>VE3005</t>
  </si>
  <si>
    <t>PANKAJ SINGH MAHENDRA SINGH</t>
  </si>
  <si>
    <t>PANKAJ SINGH</t>
  </si>
  <si>
    <t>SINGH</t>
  </si>
  <si>
    <t xml:space="preserve">PANKAJ </t>
  </si>
  <si>
    <t xml:space="preserve">MAHENDRA </t>
  </si>
  <si>
    <t>11/08/2000</t>
  </si>
  <si>
    <t>U</t>
  </si>
  <si>
    <t>MEDICAL REDIOTHERAPY TECHNOLOGY</t>
  </si>
  <si>
    <t>RADIOTHERAPY TECHNICIAN</t>
  </si>
  <si>
    <t>3714050853</t>
  </si>
  <si>
    <t>OJXPS7517C</t>
  </si>
  <si>
    <t>366596791058</t>
  </si>
  <si>
    <t>57340100011570</t>
  </si>
  <si>
    <t>BARB0BUPGBX</t>
  </si>
  <si>
    <t>CHIRARI, BARI URF SARI AKIL KAUSHAMBI, UTTARPRADESH 212216</t>
  </si>
  <si>
    <t>VE3006</t>
  </si>
  <si>
    <t>PRAGATI RADHESHYAM SINGH</t>
  </si>
  <si>
    <t>PRAGATI</t>
  </si>
  <si>
    <t>RADHESHYAM</t>
  </si>
  <si>
    <t>10/04/1998</t>
  </si>
  <si>
    <t>3714177626</t>
  </si>
  <si>
    <t>GHAPP8986F</t>
  </si>
  <si>
    <t>469880102048</t>
  </si>
  <si>
    <t>40264146010</t>
  </si>
  <si>
    <t>SBIN0012468</t>
  </si>
  <si>
    <t>GADSANI AGRA GARSANI, UTTARPRADESH 283102</t>
  </si>
  <si>
    <t>VE3008</t>
  </si>
  <si>
    <t>NURANI HEENAFATEMA MINAZALI</t>
  </si>
  <si>
    <t>NURANI</t>
  </si>
  <si>
    <t>HEENAFATEMA</t>
  </si>
  <si>
    <t>MINAZALI</t>
  </si>
  <si>
    <t>24/09/2001</t>
  </si>
  <si>
    <t>12TH</t>
  </si>
  <si>
    <t>3713981472</t>
  </si>
  <si>
    <t>BOCPN9376M</t>
  </si>
  <si>
    <t>648603598674</t>
  </si>
  <si>
    <t>918010011361485</t>
  </si>
  <si>
    <t>UTIB0001419</t>
  </si>
  <si>
    <t>HANUMAN DAIRY, SIDDIVADVA BHAVNAGAR 364001</t>
  </si>
  <si>
    <t>VE3010</t>
  </si>
  <si>
    <t>JADAV BHAVIKABEN BATUKBHAI</t>
  </si>
  <si>
    <t>BHAVIKABEN</t>
  </si>
  <si>
    <t>BATUKBHAI</t>
  </si>
  <si>
    <t>12/09/1997</t>
  </si>
  <si>
    <t>DIPLOMA IN GENRAL NURSING &amp; MIDWIFERY</t>
  </si>
  <si>
    <t>3713870771</t>
  </si>
  <si>
    <t>BVWPJ2877A</t>
  </si>
  <si>
    <t>871570301660</t>
  </si>
  <si>
    <t>20332184491</t>
  </si>
  <si>
    <t>ASHRAM ROAD SIMAR, JUNAGADH 332550</t>
  </si>
  <si>
    <t>VE3011</t>
  </si>
  <si>
    <t>KAMEJALIYA HETALBEN BHARATBHAI</t>
  </si>
  <si>
    <t>KAMEJALIYA</t>
  </si>
  <si>
    <t>KETALBEN</t>
  </si>
  <si>
    <t>03/03/1997</t>
  </si>
  <si>
    <t>BSC NURSING</t>
  </si>
  <si>
    <t>3713870819</t>
  </si>
  <si>
    <t>ITZPK9925C</t>
  </si>
  <si>
    <t>205777835529</t>
  </si>
  <si>
    <t>34561393023</t>
  </si>
  <si>
    <t>BALA, SURENDRANAGAR 363030</t>
  </si>
  <si>
    <t>VE3012</t>
  </si>
  <si>
    <t>MAKWANA RIYABEN VIRAJBHAI</t>
  </si>
  <si>
    <t>RIYABEN</t>
  </si>
  <si>
    <t>VIRAJBHAI</t>
  </si>
  <si>
    <t>17/05/2000</t>
  </si>
  <si>
    <t>3713963019</t>
  </si>
  <si>
    <t>GKOPM6984F</t>
  </si>
  <si>
    <t>315182342738</t>
  </si>
  <si>
    <t>20168370302</t>
  </si>
  <si>
    <t>34 GAURISHANKAR SOC. BORATALAV, BHAVNAGAR 364003</t>
  </si>
  <si>
    <t>VE3013</t>
  </si>
  <si>
    <t>JANI NEHALBEN MAYURBHAI</t>
  </si>
  <si>
    <t>JANI</t>
  </si>
  <si>
    <t>MAYURBHAI</t>
  </si>
  <si>
    <t>13/07/2000</t>
  </si>
  <si>
    <t>3713928797</t>
  </si>
  <si>
    <t>BOXPJ9474F</t>
  </si>
  <si>
    <t>231644104213</t>
  </si>
  <si>
    <t>33084548455</t>
  </si>
  <si>
    <t>18 RAMPARA ROAD, TALEJA, DATRAD NI VADI, BHAVNAGAR 364140</t>
  </si>
  <si>
    <t>VE3004</t>
  </si>
  <si>
    <t>REVAR KIRITBHAI BIJALBHAI</t>
  </si>
  <si>
    <t>REVAR</t>
  </si>
  <si>
    <t>KIRITBHAI</t>
  </si>
  <si>
    <t>BIJALBHAI</t>
  </si>
  <si>
    <t>11/05/1986</t>
  </si>
  <si>
    <t>CCC COUSE</t>
  </si>
  <si>
    <t>3713867411</t>
  </si>
  <si>
    <t>AOWPR3555H</t>
  </si>
  <si>
    <t>494116500301</t>
  </si>
  <si>
    <t>40071478930</t>
  </si>
  <si>
    <t>SBIN0016049</t>
  </si>
  <si>
    <t>104 LIG/2 TAKTESHWAR RESIDENCY, NEAR GMDC COLONY BHAVNAGAR 364003</t>
  </si>
  <si>
    <t>VE3002</t>
  </si>
  <si>
    <t>SARDHARA JAYENDRABHAI DHIRUBHAI</t>
  </si>
  <si>
    <t>SARDHARA JAYENDRA</t>
  </si>
  <si>
    <t>SARDHARA</t>
  </si>
  <si>
    <t>JAYENDRABHAI</t>
  </si>
  <si>
    <t>17/01/1999</t>
  </si>
  <si>
    <t>BSE, DHM</t>
  </si>
  <si>
    <t>AHA</t>
  </si>
  <si>
    <t>9574221132,
7984412532</t>
  </si>
  <si>
    <t>101816422664</t>
  </si>
  <si>
    <t>3714266811</t>
  </si>
  <si>
    <t>IFIPS8569R</t>
  </si>
  <si>
    <t>563799125362</t>
  </si>
  <si>
    <t>320610110005674</t>
  </si>
  <si>
    <t>BKID0003206</t>
  </si>
  <si>
    <t>BHANGIVAS, VALMIKI VAS, VALKETGET, BHAVNAGAR. 364001</t>
  </si>
  <si>
    <t>VE3007</t>
  </si>
  <si>
    <t xml:space="preserve">TARDE SHUBHAM SOMNATH </t>
  </si>
  <si>
    <t>SHUBHAM SOMNATH TARDE</t>
  </si>
  <si>
    <t>TARDE</t>
  </si>
  <si>
    <t xml:space="preserve">SHUBHAM </t>
  </si>
  <si>
    <t xml:space="preserve">SOMNATH </t>
  </si>
  <si>
    <t>10/11/2002</t>
  </si>
  <si>
    <t>CMRT</t>
  </si>
  <si>
    <t>101831955944</t>
  </si>
  <si>
    <t>3714339611</t>
  </si>
  <si>
    <t>CBEPT2711G</t>
  </si>
  <si>
    <t>635282446411</t>
  </si>
  <si>
    <t>3946418441</t>
  </si>
  <si>
    <t>KKBK0000891</t>
  </si>
  <si>
    <t>GAVTHAN MU PO VIRGAON ,AKOLE , AHMADNAGAR, MAHARASTRA, 422605</t>
  </si>
  <si>
    <t>VE3009</t>
  </si>
  <si>
    <t>SOSA KIRANBEN MANUBHAI</t>
  </si>
  <si>
    <t>SOSA</t>
  </si>
  <si>
    <t>MANUBHAI</t>
  </si>
  <si>
    <t>02/10/1999</t>
  </si>
  <si>
    <t>UM</t>
  </si>
  <si>
    <t>9265390404</t>
  </si>
  <si>
    <t>3714432450</t>
  </si>
  <si>
    <t>OICPS0307G</t>
  </si>
  <si>
    <t>759225740370</t>
  </si>
  <si>
    <t>33023374602</t>
  </si>
  <si>
    <t>SBIN0060257</t>
  </si>
  <si>
    <t>VANKAR VAS, NEAR RAMAPIR TEMPLE, AT. KAJ, TA. KODINAR. DIST. GIR SOMNATH, 362720</t>
  </si>
  <si>
    <t>Employee Master Data - GCRI, BHAVNAGAR</t>
  </si>
  <si>
    <t>VE2013</t>
  </si>
  <si>
    <t>SOLANKI RAVIRAJ GOVINDJI</t>
  </si>
  <si>
    <t>RAVIRAJ GOVINDJI SOLANKI</t>
  </si>
  <si>
    <t>RAVIRAJ</t>
  </si>
  <si>
    <t>GOVINDJI</t>
  </si>
  <si>
    <t>08/03/1987</t>
  </si>
  <si>
    <t>GGHPS7821E</t>
  </si>
  <si>
    <t>691519982009</t>
  </si>
  <si>
    <t>20299565357</t>
  </si>
  <si>
    <t>SBIN0015056</t>
  </si>
  <si>
    <t>16 STREET NO-6 , SADHUVANI ROAD, VISHWAKARMA SOCIETY,RAJKOT 360005</t>
  </si>
  <si>
    <t>VE2004</t>
  </si>
  <si>
    <t>RATHOD RAHUL BHIKHUBHAI</t>
  </si>
  <si>
    <t>BHIKHUBHAI</t>
  </si>
  <si>
    <t>12/03/1992</t>
  </si>
  <si>
    <t>DIPLOMA IN GENERAL NURSING &amp; MIDWIFERY</t>
  </si>
  <si>
    <t>CYLPR0352M</t>
  </si>
  <si>
    <t>200070285922</t>
  </si>
  <si>
    <t>BKID0003100</t>
  </si>
  <si>
    <t>MAFATIYU RAILWAY FATAK PASE, BHOMESHWAR TEMPLE, AIRPORT ROAD, RAJKOT, 360007</t>
  </si>
  <si>
    <t>VE2006</t>
  </si>
  <si>
    <t>BABARIYA DENISHABEN PARBATBHAI</t>
  </si>
  <si>
    <t>DENISHABEN</t>
  </si>
  <si>
    <t>PARBATBHAI</t>
  </si>
  <si>
    <t>20/8/1996</t>
  </si>
  <si>
    <t>481468624548</t>
  </si>
  <si>
    <t>KKBK0002797</t>
  </si>
  <si>
    <t>VE2003</t>
  </si>
  <si>
    <t>BUTANI JINALBEN JAYNTIBHAI</t>
  </si>
  <si>
    <t xml:space="preserve">BUTANI JINALBEN </t>
  </si>
  <si>
    <t>BUTANI</t>
  </si>
  <si>
    <t>JINALBEN</t>
  </si>
  <si>
    <t>JAYNTILAL</t>
  </si>
  <si>
    <t>25/11/1998</t>
  </si>
  <si>
    <t>DIPLOMA BIOMEDICAL ENGINEERING</t>
  </si>
  <si>
    <t>BIO MEDICAL ENGINEER</t>
  </si>
  <si>
    <t>FABPB2425N</t>
  </si>
  <si>
    <t>591114373834</t>
  </si>
  <si>
    <t>SBIN0060125</t>
  </si>
  <si>
    <t>BUTANI SHERI, KHIRASARA,PORBANDAR 360570</t>
  </si>
  <si>
    <t>VE2016</t>
  </si>
  <si>
    <t>VAJA MILAN SANJAYBHAI</t>
  </si>
  <si>
    <t>VAJA</t>
  </si>
  <si>
    <t>MILAN</t>
  </si>
  <si>
    <t>15/07/2002</t>
  </si>
  <si>
    <t>101653003755</t>
  </si>
  <si>
    <t>3714344994</t>
  </si>
  <si>
    <t>BYYPV2897P</t>
  </si>
  <si>
    <t>734442905716</t>
  </si>
  <si>
    <t>32930911768</t>
  </si>
  <si>
    <t>SBIN0014988</t>
  </si>
  <si>
    <t>AT. NAGALPUR, JUNAGADH. 362263</t>
  </si>
  <si>
    <t>VE2014</t>
  </si>
  <si>
    <t>DABHI ANKIT KIRANBHAI</t>
  </si>
  <si>
    <t>ANKIT KIRANBHAI DABHI</t>
  </si>
  <si>
    <t>ANKIT</t>
  </si>
  <si>
    <t>KIRAN BHAI</t>
  </si>
  <si>
    <t>11.06.1999</t>
  </si>
  <si>
    <t>DQOPD0233H</t>
  </si>
  <si>
    <t>565104329724</t>
  </si>
  <si>
    <t>50100223130783</t>
  </si>
  <si>
    <t>HDFC0000379</t>
  </si>
  <si>
    <t>37 RADHE KRISHNA SOCIETY, OPP KIDNEY HOSPITAL , UNIVERSITY ROAD, RAJKOT 360005</t>
  </si>
  <si>
    <t>VE2015</t>
  </si>
  <si>
    <t>CHAVDA BHAVNA KANTIBHAI</t>
  </si>
  <si>
    <t>BHAVNA</t>
  </si>
  <si>
    <t>27/08/1993</t>
  </si>
  <si>
    <t>394319623235</t>
  </si>
  <si>
    <t>BKID0003103</t>
  </si>
  <si>
    <t>VE2005</t>
  </si>
  <si>
    <t>MARU VISHALKUMAR BHAGVANJIBHAI</t>
  </si>
  <si>
    <t>MARU</t>
  </si>
  <si>
    <t>VISHALKUMAR</t>
  </si>
  <si>
    <t>BHAGVANJIBHAI</t>
  </si>
  <si>
    <t>12/05/1995</t>
  </si>
  <si>
    <t>CZHPM8909C</t>
  </si>
  <si>
    <t>719869375304</t>
  </si>
  <si>
    <t>SBIN0060062</t>
  </si>
  <si>
    <t>DR. AMBEDKARNAGAR, DARBAR GADH, RANAVAV, PORBADAR 360550</t>
  </si>
  <si>
    <t>VE2002</t>
  </si>
  <si>
    <t>MAKWANA HITESHKUMAR RAVJIBHAI</t>
  </si>
  <si>
    <t>HITESHKUMAR</t>
  </si>
  <si>
    <t>11/06/1986</t>
  </si>
  <si>
    <t>Bsc DHM</t>
  </si>
  <si>
    <t>9998733686</t>
  </si>
  <si>
    <t>101811775593</t>
  </si>
  <si>
    <t>25742</t>
  </si>
  <si>
    <t>3714254867</t>
  </si>
  <si>
    <t>AWUPM4779N</t>
  </si>
  <si>
    <t>766466977557</t>
  </si>
  <si>
    <t>03680100008162</t>
  </si>
  <si>
    <t>BARB0DIGVIJ</t>
  </si>
  <si>
    <t>KRISHNA PARK SOC., OPP. GHANCHI KABRASTHAN, KABIR ASHRAM ROAD, DIGVIJAY PLOT, JAMNAGAR 361005</t>
  </si>
  <si>
    <t>VE2007</t>
  </si>
  <si>
    <t>KATBAMNA KINJAL ASHWINBHAI</t>
  </si>
  <si>
    <t>KATABAMNA</t>
  </si>
  <si>
    <t xml:space="preserve">ASHVINBHAI </t>
  </si>
  <si>
    <t>15/07/1996</t>
  </si>
  <si>
    <t>GNM</t>
  </si>
  <si>
    <t>101255082225</t>
  </si>
  <si>
    <t>3714434851</t>
  </si>
  <si>
    <t>HIFPK4633D</t>
  </si>
  <si>
    <t>SBIN0000463</t>
  </si>
  <si>
    <t>2 SATYANARAYN NAGAR GANDHIGRAM RAJKOT 360007</t>
  </si>
  <si>
    <t>VE2008</t>
  </si>
  <si>
    <t>SOSA PRATIXA LALITBHAI</t>
  </si>
  <si>
    <t xml:space="preserve">LALITBHAI </t>
  </si>
  <si>
    <t>101670298401</t>
  </si>
  <si>
    <t>3714490119</t>
  </si>
  <si>
    <t>MLGPS0922L</t>
  </si>
  <si>
    <t>974474183388</t>
  </si>
  <si>
    <t>330475553164</t>
  </si>
  <si>
    <t>NAVAPRA NEAR RAMAPIR TEMPLE KAJ JUNAGDH</t>
  </si>
  <si>
    <t>VE2009</t>
  </si>
  <si>
    <t xml:space="preserve">PARGHI MANISHA GUNVANTBHAI </t>
  </si>
  <si>
    <t xml:space="preserve">GUNVANTBHAI </t>
  </si>
  <si>
    <t>101506420865</t>
  </si>
  <si>
    <t>3714490139</t>
  </si>
  <si>
    <t>EWHPP4660L</t>
  </si>
  <si>
    <t>424273297597</t>
  </si>
  <si>
    <t>919010065651199</t>
  </si>
  <si>
    <t>UTIB0000087</t>
  </si>
  <si>
    <t xml:space="preserve">AXIS BANK </t>
  </si>
  <si>
    <t>POLISH QUARTER CHANPAR URENDRA NAGAR 363020</t>
  </si>
  <si>
    <t>VE2010</t>
  </si>
  <si>
    <t>THAKAR RUTVIK PRAVINCHANDRA</t>
  </si>
  <si>
    <t xml:space="preserve">THAKAR </t>
  </si>
  <si>
    <t>RUTVIK</t>
  </si>
  <si>
    <t>PRAVINCHANDRA</t>
  </si>
  <si>
    <t>08/11/1999</t>
  </si>
  <si>
    <t>101713621970</t>
  </si>
  <si>
    <t>3714490152</t>
  </si>
  <si>
    <t>CHDPT7969P</t>
  </si>
  <si>
    <t>591304417953</t>
  </si>
  <si>
    <t>41254677136</t>
  </si>
  <si>
    <t>SBIN0060031</t>
  </si>
  <si>
    <t>SANTINIKETAN SOCIETY, BAGASRA, AMRELI 365440</t>
  </si>
  <si>
    <t>VE2012</t>
  </si>
  <si>
    <t xml:space="preserve">HETAL JENTILAL KARGATHIYA </t>
  </si>
  <si>
    <t xml:space="preserve">KARAGTHIYA </t>
  </si>
  <si>
    <t xml:space="preserve">HETAL </t>
  </si>
  <si>
    <t>JENTIBHAI</t>
  </si>
  <si>
    <t>101547524193</t>
  </si>
  <si>
    <t>3714521798</t>
  </si>
  <si>
    <t>JEDPK8176P</t>
  </si>
  <si>
    <t>464739864189</t>
  </si>
  <si>
    <t>SBIN0060183</t>
  </si>
  <si>
    <t>BHUTNATH ROAD KHORASA GIR 362255</t>
  </si>
  <si>
    <t>VE2011</t>
  </si>
  <si>
    <t>KOMAL HARIBHAI SAVALIYA</t>
  </si>
  <si>
    <t xml:space="preserve">SAVALIYA </t>
  </si>
  <si>
    <t>101270238342</t>
  </si>
  <si>
    <t>3714521804</t>
  </si>
  <si>
    <t>ICTPS5941B</t>
  </si>
  <si>
    <t>216916626524</t>
  </si>
  <si>
    <t>SBIN0060070</t>
  </si>
  <si>
    <t>SONDRDA JUNAGDH 362227</t>
  </si>
  <si>
    <t>VE2017</t>
  </si>
  <si>
    <t>CHAVDA RAJENDRA SHAMJIBHAI</t>
  </si>
  <si>
    <t>RAJENDRA</t>
  </si>
  <si>
    <t>SHAMJIBHAI</t>
  </si>
  <si>
    <t>B.COM.</t>
  </si>
  <si>
    <t>326335157882</t>
  </si>
  <si>
    <t>15010100014091</t>
  </si>
  <si>
    <t>BARB0KALAWA</t>
  </si>
  <si>
    <t>PLOT NO. 47, RAIYA DHAR SLAM QUARTER, NEAR RAIYA DHAR WATER FILTER PLANT, 150 FT. RING ROAD, RAJKOT-360005</t>
  </si>
  <si>
    <t>Employee Master Data - GCRI, RAJKOT</t>
  </si>
  <si>
    <t xml:space="preserve">DATA ENTRY OPERATOR </t>
  </si>
  <si>
    <t>101017224965</t>
  </si>
  <si>
    <t>ESICIP</t>
  </si>
  <si>
    <t>MANSURI SANIYA FARUKBHAI</t>
  </si>
  <si>
    <t>SANYA</t>
  </si>
  <si>
    <t>FARUKBHAI</t>
  </si>
  <si>
    <t>DIPLOMA IN GENERAL NURSING AND MIDWIFERY</t>
  </si>
  <si>
    <t>GFOPM2230B</t>
  </si>
  <si>
    <t>963809595998</t>
  </si>
  <si>
    <t>220210110021594</t>
  </si>
  <si>
    <t>BKID0002202</t>
  </si>
  <si>
    <t>IQBAL ROAD, PATAN 384265</t>
  </si>
  <si>
    <t>BAROT BEENABEN MAHENDRAKUMAR</t>
  </si>
  <si>
    <t>BEENABEN MAHENDRAKUMAR BAROT</t>
  </si>
  <si>
    <t>BEENABEN</t>
  </si>
  <si>
    <t>MAHENDRAKUMAR</t>
  </si>
  <si>
    <t>DKFPB7713B</t>
  </si>
  <si>
    <t>938832171661</t>
  </si>
  <si>
    <t>78000100010062</t>
  </si>
  <si>
    <t>BARB0DBKAKO</t>
  </si>
  <si>
    <t>VANKARVAS. KAKOSHI, PATAN 384290</t>
  </si>
  <si>
    <t>KAMLESHKUMAR</t>
  </si>
  <si>
    <t>DARJI SHIVANI NATVARLAL</t>
  </si>
  <si>
    <t>SHIVANI</t>
  </si>
  <si>
    <t>NATVARLAL</t>
  </si>
  <si>
    <t>GXAPD0784B</t>
  </si>
  <si>
    <t>576891125666</t>
  </si>
  <si>
    <t>20406007586</t>
  </si>
  <si>
    <t>SBIN0000494</t>
  </si>
  <si>
    <t>B/103, PANCHSHIL SOC, DEEPGANGA ROAD, UNJHA, 384170</t>
  </si>
  <si>
    <t>GOSWAMI SHILPABEN DIPAKGIRI</t>
  </si>
  <si>
    <t>GOSWAMI</t>
  </si>
  <si>
    <t>SHILPABEN</t>
  </si>
  <si>
    <t>DIPAKGIRI</t>
  </si>
  <si>
    <t>B.A, M.A, CFN</t>
  </si>
  <si>
    <t>DLTPG3483C</t>
  </si>
  <si>
    <t>220324191065</t>
  </si>
  <si>
    <t>3611074988</t>
  </si>
  <si>
    <t>CBIN0280473</t>
  </si>
  <si>
    <t>GOSVAMI VAS, MAHERWADA, KAHODA, MEHSANA 384130</t>
  </si>
  <si>
    <t>SHEKH IRSHADHUSEN GULAMHUSEN</t>
  </si>
  <si>
    <t>SHEKH</t>
  </si>
  <si>
    <t>IRSHADHUSEN</t>
  </si>
  <si>
    <t>GULAMHUSEN</t>
  </si>
  <si>
    <t>DABPS5639K</t>
  </si>
  <si>
    <t>801967532013</t>
  </si>
  <si>
    <t>1605104000026691</t>
  </si>
  <si>
    <t>IBKL0001605</t>
  </si>
  <si>
    <t>IDBI BANK</t>
  </si>
  <si>
    <t>GHASIAS VAS, LUNVA, KAHODA, MEHSANA 384130</t>
  </si>
  <si>
    <t>CHAUHAN KRUNALKUMAR MUKESHKUMAR</t>
  </si>
  <si>
    <t>BCA, MCA</t>
  </si>
  <si>
    <t>BYDPC9970P</t>
  </si>
  <si>
    <t>395890128170</t>
  </si>
  <si>
    <t>20375761662</t>
  </si>
  <si>
    <t>SBIN0000486</t>
  </si>
  <si>
    <t>VANKARVA, SEDRENA, PATAN 384151</t>
  </si>
  <si>
    <t>BARB0SIDHPU</t>
  </si>
  <si>
    <t>JOSHI RAJANKUMAR DASHARATHBHAI</t>
  </si>
  <si>
    <t>RAJANKUMAR DASHARATHBHAI JOSHI</t>
  </si>
  <si>
    <t>RAJANKUMAR</t>
  </si>
  <si>
    <t>DASHARATHBHAI</t>
  </si>
  <si>
    <t>B.COM, S.I</t>
  </si>
  <si>
    <t>BXDPJ3348D</t>
  </si>
  <si>
    <t>894386538190</t>
  </si>
  <si>
    <t>34088900122</t>
  </si>
  <si>
    <t>SBIN0011044</t>
  </si>
  <si>
    <t>JOSHIVAS, NANDOTRA, BANASKANTHA, 385421</t>
  </si>
  <si>
    <t>BAROT ABHISHEK KAMLESHKUMAR</t>
  </si>
  <si>
    <t>DATA ENTRY OPERATOR (MULTI TASK) (RELIVER)</t>
  </si>
  <si>
    <t>DPVPA1976D</t>
  </si>
  <si>
    <t>949890957346</t>
  </si>
  <si>
    <t>36998364240</t>
  </si>
  <si>
    <t>NAVA VAS, TURIVAS, SIDDHAPUR, PATAN 384151</t>
  </si>
  <si>
    <t>PARMAR KAJALBEN MAHESHBHAI</t>
  </si>
  <si>
    <t>BSC MLT</t>
  </si>
  <si>
    <t>LAB TECHNICIAN</t>
  </si>
  <si>
    <t>GDYPP3064A</t>
  </si>
  <si>
    <t>957986078414</t>
  </si>
  <si>
    <t>35257698615</t>
  </si>
  <si>
    <t>SBIN0060394</t>
  </si>
  <si>
    <t>ROHITVAS, UMRU, PATAN 384151</t>
  </si>
  <si>
    <t>PATNI SHILPABEN RAMESHBHAI</t>
  </si>
  <si>
    <t xml:space="preserve">PATNI SHILPABEN </t>
  </si>
  <si>
    <t>01/06/1997</t>
  </si>
  <si>
    <t>3713274113</t>
  </si>
  <si>
    <t>FNEPP0862H</t>
  </si>
  <si>
    <t>262028013564</t>
  </si>
  <si>
    <t>40915110869</t>
  </si>
  <si>
    <t>PATNI VAS, SIDDHAPUR, PATAN</t>
  </si>
  <si>
    <t>RAVAL VASHISHTH NAVINCHANDRA</t>
  </si>
  <si>
    <t>VASHISHTH NAVINCHANDRA RAVAL</t>
  </si>
  <si>
    <t>VASHISHTH</t>
  </si>
  <si>
    <t>NAVINCHANDRA</t>
  </si>
  <si>
    <t>09/05/1997</t>
  </si>
  <si>
    <t>MASTER IN HOSPITAL MANAGEMENT</t>
  </si>
  <si>
    <t>3714249533</t>
  </si>
  <si>
    <t>429564121719</t>
  </si>
  <si>
    <t>38323809140</t>
  </si>
  <si>
    <t>SBIN0003141</t>
  </si>
  <si>
    <t>AT. AASARIYANA, PATDI, DIST. SURENDRANAGAR, PIN. 382765</t>
  </si>
  <si>
    <t>PATEL NIDHIBEN JITENDRAKUMAR</t>
  </si>
  <si>
    <t>NIDHIBEN</t>
  </si>
  <si>
    <t>JITENDRAKUMAR</t>
  </si>
  <si>
    <t>09/08/2000</t>
  </si>
  <si>
    <t>DGNM</t>
  </si>
  <si>
    <t>3714338182</t>
  </si>
  <si>
    <t>FIKPP4215F</t>
  </si>
  <si>
    <t>462099806924</t>
  </si>
  <si>
    <t>01748100019015</t>
  </si>
  <si>
    <t>BARB0DBBHUN</t>
  </si>
  <si>
    <t>SARVODAY PARU, AT. KAHODA, TA DIST. MEHSANA, 384130</t>
  </si>
  <si>
    <t>RAVIKUMAR ASHOKKUMAR RANA</t>
  </si>
  <si>
    <t>RANA</t>
  </si>
  <si>
    <t>RAVIKUMAR</t>
  </si>
  <si>
    <t>27/05/1991</t>
  </si>
  <si>
    <t>CCC</t>
  </si>
  <si>
    <t>3714349777</t>
  </si>
  <si>
    <t>AUBPR0940H</t>
  </si>
  <si>
    <t>682030407330</t>
  </si>
  <si>
    <t>01530100022807</t>
  </si>
  <si>
    <t>36, ADARSHNAGAR SOCIETY, BINDU SAROVAR ROAD, SIDHPUR, 384051</t>
  </si>
  <si>
    <t>JOSHI CHIRAGKUMAR DHIRAJKUMAR</t>
  </si>
  <si>
    <t>CHIRAGKUMAR</t>
  </si>
  <si>
    <t>DHIRAJKUMAR</t>
  </si>
  <si>
    <t>02/11/1998</t>
  </si>
  <si>
    <t>3714344424</t>
  </si>
  <si>
    <t>CLQPJ6268P</t>
  </si>
  <si>
    <t>951389753868</t>
  </si>
  <si>
    <t>01530100019734</t>
  </si>
  <si>
    <t>NAVA VAS, BAROT VAS, SIDDHPUR, PATAN. 384151</t>
  </si>
  <si>
    <t>MALHOTRA PINKALKUMARI PRAHELADBHAI</t>
  </si>
  <si>
    <t>MALHOTRA PINKALKUMARI</t>
  </si>
  <si>
    <t>MALHOTRA</t>
  </si>
  <si>
    <t>PINKALKUMARI</t>
  </si>
  <si>
    <t>PRAHELADBHAI</t>
  </si>
  <si>
    <t>18/01/1999</t>
  </si>
  <si>
    <t>B.SC, MLT</t>
  </si>
  <si>
    <t>3714393210</t>
  </si>
  <si>
    <t>FJQPM5275M</t>
  </si>
  <si>
    <t>364575902180</t>
  </si>
  <si>
    <t>44918100001016</t>
  </si>
  <si>
    <t>BARB0KHAPAT</t>
  </si>
  <si>
    <t>AT. DETHALI, TA. SIDHHPUR, DIST. PATAN. 384151</t>
  </si>
  <si>
    <t>PINTU SINGH</t>
  </si>
  <si>
    <t>VE4009</t>
  </si>
  <si>
    <t>VE4002</t>
  </si>
  <si>
    <t>VE4010</t>
  </si>
  <si>
    <t>VE4003</t>
  </si>
  <si>
    <t>VE4004</t>
  </si>
  <si>
    <t>VE4008</t>
  </si>
  <si>
    <t>VE4014</t>
  </si>
  <si>
    <t>VE4001</t>
  </si>
  <si>
    <t>VE4007</t>
  </si>
  <si>
    <t>VE4005</t>
  </si>
  <si>
    <t>VE4011</t>
  </si>
  <si>
    <t>VE4015</t>
  </si>
  <si>
    <t>VE4012</t>
  </si>
  <si>
    <t>VE4013</t>
  </si>
  <si>
    <t>VE4006</t>
  </si>
  <si>
    <t>VE4017</t>
  </si>
  <si>
    <t>PINTU</t>
  </si>
  <si>
    <t>GYAN SINGH</t>
  </si>
  <si>
    <t>COURSE IN MEDI. RADIO THERAPY TECHNOLOGY</t>
  </si>
  <si>
    <t>01/11/2022</t>
  </si>
  <si>
    <t>RADIO THERAPY TECHNICIAN</t>
  </si>
  <si>
    <t>9509799877
9012316631</t>
  </si>
  <si>
    <t>3714608501</t>
  </si>
  <si>
    <t>OCEPS5949J</t>
  </si>
  <si>
    <t>268470715528</t>
  </si>
  <si>
    <t>33934802283</t>
  </si>
  <si>
    <t>SBIN0002426</t>
  </si>
  <si>
    <t>VILL. NAGALA ANI POST BARDWARI THANA MURSAN BARDWARI HATHRAS UTTAR PRADESH 204213</t>
  </si>
  <si>
    <t>Employee Master Data - GCRI, SIDDHPUR</t>
  </si>
  <si>
    <t>DIXIT SWETA VINODBHAI</t>
  </si>
  <si>
    <t>DAXABEN RAJESHBHAI</t>
  </si>
  <si>
    <t>RATHOD VISHAKHA ASHOKKUMAR</t>
  </si>
  <si>
    <t>RATHOD VISHAKHA</t>
  </si>
  <si>
    <t>VISHAKHA</t>
  </si>
  <si>
    <t>8401857713 9099386509</t>
  </si>
  <si>
    <t>DEWPR2863R</t>
  </si>
  <si>
    <t>3713525283</t>
  </si>
  <si>
    <t>433643829708</t>
  </si>
  <si>
    <t>454802010583952</t>
  </si>
  <si>
    <t>UBIN0545481</t>
  </si>
  <si>
    <t>517/3149 GUJARAT HOUSING BOARD, NEW BAPUNAGAR, AHMEDABAD,380024</t>
  </si>
  <si>
    <t>VE1386</t>
  </si>
  <si>
    <t>PATEL MANOJKUMAR RAJUBHAI</t>
  </si>
  <si>
    <t>RAJUBHAI</t>
  </si>
  <si>
    <t>8160482113 9726948841</t>
  </si>
  <si>
    <t>EVZPR5842H</t>
  </si>
  <si>
    <t>3714392570</t>
  </si>
  <si>
    <t>434846239852</t>
  </si>
  <si>
    <t>50730100001836</t>
  </si>
  <si>
    <t>BARBOGUNDAH</t>
  </si>
  <si>
    <t>FALIYU, NEAR PIPLOD, TOYANI, POST- TOYANI, DAHOD, GUJARAT-389130</t>
  </si>
  <si>
    <t>PATEL GOPI SURESHCHANDRA</t>
  </si>
  <si>
    <t>GOPI</t>
  </si>
  <si>
    <t>871445967576</t>
  </si>
  <si>
    <t>03300100034437</t>
  </si>
  <si>
    <t>E/402 YOGESHWAR RESIDENCY,KRISHNANAGAR, A'BAD-382350</t>
  </si>
  <si>
    <t>VE1383</t>
  </si>
  <si>
    <t>SADHU POONAM KRUSHNRAM</t>
  </si>
  <si>
    <t>SADHU</t>
  </si>
  <si>
    <t>POONAM</t>
  </si>
  <si>
    <t>KRUSHNRAM</t>
  </si>
  <si>
    <t>8866147798 9426374669</t>
  </si>
  <si>
    <t>NSNPS5683H</t>
  </si>
  <si>
    <t>685673469643</t>
  </si>
  <si>
    <t>31698123461</t>
  </si>
  <si>
    <t>SBIN0003829</t>
  </si>
  <si>
    <t>BLOCK 2/24, JAIL STAFF QUARTER, JUNAGADH-362001</t>
  </si>
  <si>
    <t>VE1400</t>
  </si>
  <si>
    <t>MACWAN ALEX ANILBHAI</t>
  </si>
  <si>
    <t>MACWAN ALEX</t>
  </si>
  <si>
    <t>MACWAN</t>
  </si>
  <si>
    <t>ALEX</t>
  </si>
  <si>
    <t>GRAPHIC ARTIST</t>
  </si>
  <si>
    <t>7405956583 7990065698</t>
  </si>
  <si>
    <t>FRDPM6873G</t>
  </si>
  <si>
    <t>3594122317</t>
  </si>
  <si>
    <t>CBIN0280549</t>
  </si>
  <si>
    <t>5-11, MARUTI NANDAN APARTMENT, NR. PHYSICAL GROUND,KHOKHARA, A'BAD-380008</t>
  </si>
  <si>
    <t>VE1377</t>
  </si>
  <si>
    <t>PANCHAL ZALAK LALITBHAI</t>
  </si>
  <si>
    <t>PANCHAL ZALAK</t>
  </si>
  <si>
    <t>LALITBHAI</t>
  </si>
  <si>
    <t>BSC</t>
  </si>
  <si>
    <t>EVDPP1892K</t>
  </si>
  <si>
    <t>993663404144</t>
  </si>
  <si>
    <t>31940100006101</t>
  </si>
  <si>
    <t>BARB0BAPUNA</t>
  </si>
  <si>
    <t>61,TIRTHBHUMI SOCIETY,OPP. KARNAVATI SOCIETY, NIKOL,A'BAD-382415</t>
  </si>
  <si>
    <t>VE1398</t>
  </si>
  <si>
    <t>ASODARIYA PRIYANKA ATULBHAI</t>
  </si>
  <si>
    <t>ASODARIYA</t>
  </si>
  <si>
    <t>DYQPA3584J</t>
  </si>
  <si>
    <t>280221492242</t>
  </si>
  <si>
    <t>36948100005666</t>
  </si>
  <si>
    <t>BARB0VISAVA</t>
  </si>
  <si>
    <t>TO-AMBALA, TA-VISAVADAR,DIS-JUNAGADH</t>
  </si>
  <si>
    <t>A-5, TULSHIKUNJ GOPINATH SOCIETY,INDIA COLONY, BAPUNAGAR,A'BAD.</t>
  </si>
  <si>
    <t>VE1409</t>
  </si>
  <si>
    <t>JOGANI DIXEETA BHAGVANBHAI</t>
  </si>
  <si>
    <t>JOGANI</t>
  </si>
  <si>
    <t>DIXEETA</t>
  </si>
  <si>
    <t>409077056527</t>
  </si>
  <si>
    <t>33490100007242</t>
  </si>
  <si>
    <t>BARB0JASDAN</t>
  </si>
  <si>
    <t>GANGABHUVAN, JASDAN, RAJKOT, GUJARAT-360050</t>
  </si>
  <si>
    <t>VE1412</t>
  </si>
  <si>
    <t>LATA</t>
  </si>
  <si>
    <t>MONIKABEN</t>
  </si>
  <si>
    <t>9016917120 8758661296</t>
  </si>
  <si>
    <t>BGDPL4618R</t>
  </si>
  <si>
    <t>507635628856</t>
  </si>
  <si>
    <t>1045175920</t>
  </si>
  <si>
    <t>KKBK0002602</t>
  </si>
  <si>
    <t>JASVANTPURA, MEHRU, ARVALLI, GUJARAT.</t>
  </si>
  <si>
    <t>290, SHIVPARK SOCIETY, GOTA, A'BAD</t>
  </si>
  <si>
    <t>SOLANKI KARISHNA DAYABHAI</t>
  </si>
  <si>
    <t>DAYABHAI</t>
  </si>
  <si>
    <t>IZXPS4623E</t>
  </si>
  <si>
    <t>7881 2120 2185</t>
  </si>
  <si>
    <t>SBIN0016480</t>
  </si>
  <si>
    <t>KHARAK BORDING JANTA PLOT, OPP. INDIRA VASANT, MAHUVA, BHAVNAGAR</t>
  </si>
  <si>
    <t>VE1394</t>
  </si>
  <si>
    <t>CHAVDA MANISHA RAJUBHAI</t>
  </si>
  <si>
    <t>CHAVDA MANISHA</t>
  </si>
  <si>
    <t>CEFR</t>
  </si>
  <si>
    <t>6353499566 7878202279</t>
  </si>
  <si>
    <t>572266285857</t>
  </si>
  <si>
    <t>454802010587248</t>
  </si>
  <si>
    <t>731/4857, GUJARAT HOUSING BOARD, NR. SHRIJI VIDHYALAY, BAPUNAGAR, A'BAD-380024</t>
  </si>
  <si>
    <t>PARMAR SONIYA BIPINBHAI</t>
  </si>
  <si>
    <t>PARMAR SONIYA</t>
  </si>
  <si>
    <t>SONIYA</t>
  </si>
  <si>
    <t>BIPINBHAI</t>
  </si>
  <si>
    <t>FOBPP1437J</t>
  </si>
  <si>
    <t>639298497404</t>
  </si>
  <si>
    <t>921010011193430</t>
  </si>
  <si>
    <t>UTIB0000298</t>
  </si>
  <si>
    <t>16, BHIMRAVNAGAR SOCIETY, NR. SHARDA SCHOOL, KALAPINGAR, A'BAD-380016</t>
  </si>
  <si>
    <t>VE1414</t>
  </si>
  <si>
    <t>SHIROYA ARTI VIPULBHAI</t>
  </si>
  <si>
    <t>ARTI</t>
  </si>
  <si>
    <t>VIPULBHAI</t>
  </si>
  <si>
    <t>8780068226 7359497301</t>
  </si>
  <si>
    <t>446655898466</t>
  </si>
  <si>
    <t>40796465257</t>
  </si>
  <si>
    <t>MUNDIYA RAVANI, VISAVADAR, JUNAGADH, GUJARAT-362130</t>
  </si>
  <si>
    <t>VE1367</t>
  </si>
  <si>
    <t>CHAVDA PAYAL SANJAYKUMAR</t>
  </si>
  <si>
    <t>8733911822 9327091510</t>
  </si>
  <si>
    <t>CERPC7231N</t>
  </si>
  <si>
    <t>938720637099</t>
  </si>
  <si>
    <t>4049273767</t>
  </si>
  <si>
    <t>12-198, PEAKERS NI CHALI, NR. POLICE LINE, SARASPUR, A'BAD-380018</t>
  </si>
  <si>
    <t>VE1410</t>
  </si>
  <si>
    <t>MANISH KANTILAL GAMIT</t>
  </si>
  <si>
    <t>GAMIT MANISH KANTILAL</t>
  </si>
  <si>
    <t>CJTPG6201M</t>
  </si>
  <si>
    <t>3713055953</t>
  </si>
  <si>
    <t>577396222356</t>
  </si>
  <si>
    <t>114099500001257</t>
  </si>
  <si>
    <t>YES BANK</t>
  </si>
  <si>
    <t>YESB0001140</t>
  </si>
  <si>
    <t>523/1, CITY MILL NI CHALI, OPP. DIWAN BALLUBHAI SCHOOL, KANKARIA, A'BAD-380022</t>
  </si>
  <si>
    <t>VE1391</t>
  </si>
  <si>
    <t>PATEL JAHANVI GIRISHBHAI</t>
  </si>
  <si>
    <t>PATEL JAHANVIBEN</t>
  </si>
  <si>
    <t>GIRISHBHAI</t>
  </si>
  <si>
    <t>NAAC</t>
  </si>
  <si>
    <t>DGCPP7858A</t>
  </si>
  <si>
    <t>217430047588</t>
  </si>
  <si>
    <t>032699500000761</t>
  </si>
  <si>
    <t>YESB0000326</t>
  </si>
  <si>
    <t>134, TIRUPATI TOWNSHIP, NH. GARDEN HOTEL, CHANASMA HIGHWAY, PATAN-384265</t>
  </si>
  <si>
    <t>VE1390</t>
  </si>
  <si>
    <t>SHAIKH SABIHA</t>
  </si>
  <si>
    <t>SHAIKH SABIHAKHATUN MOHAMMADSHOAEB</t>
  </si>
  <si>
    <t>SHAIKH</t>
  </si>
  <si>
    <t>SABIHA</t>
  </si>
  <si>
    <t>MOHAMMADSHOAEB</t>
  </si>
  <si>
    <t>832210705460</t>
  </si>
  <si>
    <t>03360100023759</t>
  </si>
  <si>
    <t>254/B/44/FF, BHIKHBHAI HARIBHAINI CHALI, B/H MONOGRAM MILL, RAKHIYAL, A'BAD-380023</t>
  </si>
  <si>
    <t>VE1401</t>
  </si>
  <si>
    <t>PARMAR KOMAL DINESHKUMAR</t>
  </si>
  <si>
    <t>PARMAR KOMAL</t>
  </si>
  <si>
    <t>DINESHKUMAR</t>
  </si>
  <si>
    <t>CSSD</t>
  </si>
  <si>
    <t>CSSD TECHNICIAN</t>
  </si>
  <si>
    <t>GHIPP8665R</t>
  </si>
  <si>
    <t>523725858123</t>
  </si>
  <si>
    <t>03300100033847</t>
  </si>
  <si>
    <t>10-498, VIKAS NAGAR, A E C JANTA NAGAR, AMRAIWADI, A'BAD-380026</t>
  </si>
  <si>
    <t>VE1405</t>
  </si>
  <si>
    <t>VASAVA PARVATIBEN RAMABHAI</t>
  </si>
  <si>
    <t>PARVATIBEN</t>
  </si>
  <si>
    <t>8238182747 9016927710</t>
  </si>
  <si>
    <t>BTHPV4204L</t>
  </si>
  <si>
    <t>276701606959</t>
  </si>
  <si>
    <t>BARB0NANPUR</t>
  </si>
  <si>
    <t>TEKRA FALIYU, ANDU, PATVALI, NARMADA, GUJARAT-393040</t>
  </si>
  <si>
    <t>VE1407</t>
  </si>
  <si>
    <t>SNEHABAHEN GOVINDLAL LIMBAT</t>
  </si>
  <si>
    <t>LIMBAT</t>
  </si>
  <si>
    <t>SNEHABEN</t>
  </si>
  <si>
    <t>GOVINDLAL</t>
  </si>
  <si>
    <t>9662291928 6356683153</t>
  </si>
  <si>
    <t>AQDPL8915G</t>
  </si>
  <si>
    <t>249044429480</t>
  </si>
  <si>
    <t>37557509362</t>
  </si>
  <si>
    <t>54, UTTAR GUJARAT PATEL NAGAR SOCIETY, BALIYA LIMDI, A'BAD-380016</t>
  </si>
  <si>
    <t>7, HIRA BANGLOWS, SADATPURA, SABARKANTHA</t>
  </si>
  <si>
    <t>VE1404</t>
  </si>
  <si>
    <t>SOYA ASHUTOSH CHANDRAKANTBHAI</t>
  </si>
  <si>
    <t>SOYA</t>
  </si>
  <si>
    <t>ASHUTOSH</t>
  </si>
  <si>
    <t>CHANDRAKANTBHAI</t>
  </si>
  <si>
    <t>421542294162</t>
  </si>
  <si>
    <t>36613183083</t>
  </si>
  <si>
    <t>SBIN0016063</t>
  </si>
  <si>
    <t>G-604, SANIDHYA FLORA, NR.KHODIYAR MANDIR, NEW RANIP, A'BAD</t>
  </si>
  <si>
    <t>VE1403</t>
  </si>
  <si>
    <t>VARIA NIRLAYKUMAR SHASHIKANT</t>
  </si>
  <si>
    <t>VARIA NIRLAYKUMAR</t>
  </si>
  <si>
    <t>VARIA</t>
  </si>
  <si>
    <t>NIRLAYKUMAR</t>
  </si>
  <si>
    <t>SHAHSHIKANT</t>
  </si>
  <si>
    <t>BYGPV8333J</t>
  </si>
  <si>
    <t>462131827894</t>
  </si>
  <si>
    <t>325110110016484</t>
  </si>
  <si>
    <t>BKID0003251</t>
  </si>
  <si>
    <t>SHREEJI SOCIETY, KACHHIYANI VADI, KALOL, PANCHMAHALS-389330</t>
  </si>
  <si>
    <t>VE1392</t>
  </si>
  <si>
    <t>SUMESARA SEJALBEN RATILAL</t>
  </si>
  <si>
    <t>SEJAL RATILAL SUMESARA</t>
  </si>
  <si>
    <t>SUMESARA</t>
  </si>
  <si>
    <t>SEJAL</t>
  </si>
  <si>
    <t>789946360487</t>
  </si>
  <si>
    <t>30380100019270</t>
  </si>
  <si>
    <t>96/5 ANAND FLET BAPUNAGAR, A'BAD-380024</t>
  </si>
  <si>
    <t>VIMALKUMAR NARENDRAKUMAR CHAUHAN</t>
  </si>
  <si>
    <t>VIMALKUMAR</t>
  </si>
  <si>
    <t>COMPUTER SCIENCE</t>
  </si>
  <si>
    <t>ATGPC8137K</t>
  </si>
  <si>
    <t>507836469897</t>
  </si>
  <si>
    <t>20028364912</t>
  </si>
  <si>
    <t>SBIN0004866</t>
  </si>
  <si>
    <t>381, SAMRATHNAGAR, OPP. MADHUSUDAN DHYAN YOG KENDRA, HANSOL, A'BAD-382479</t>
  </si>
  <si>
    <t>DHAMDI, SABARKANTHA</t>
  </si>
  <si>
    <t>VE1393</t>
  </si>
  <si>
    <t>PAREKH JAYKUMAR SURESHBHAI</t>
  </si>
  <si>
    <t>PAREKH JAYKUMAR</t>
  </si>
  <si>
    <t>PAREKH</t>
  </si>
  <si>
    <t>JAYKUMAR</t>
  </si>
  <si>
    <t>EUBPP6179L</t>
  </si>
  <si>
    <t>575748974597</t>
  </si>
  <si>
    <t>33241612164</t>
  </si>
  <si>
    <t>C-56, INDARVIHAR SOCIETY, THAKKARBAPANAGAR, A'BAD-382350</t>
  </si>
  <si>
    <t>VE1359</t>
  </si>
  <si>
    <t xml:space="preserve">PANCHOLI DEVIYANI PRADUMANBHAI </t>
  </si>
  <si>
    <t>PANCHOLI DEVIYANI</t>
  </si>
  <si>
    <t>PANCHOLI</t>
  </si>
  <si>
    <t>DEVIYANI</t>
  </si>
  <si>
    <t>PRADUMANBHAI</t>
  </si>
  <si>
    <t>FAWPP8847M</t>
  </si>
  <si>
    <t>601493234633</t>
  </si>
  <si>
    <t>203710510000692</t>
  </si>
  <si>
    <t>BKID0002049</t>
  </si>
  <si>
    <t>MUKHYA MANTRI GRUH YOJNA, NR. BALOLNAGAR CIRCLE, VADAJ, A'BAD</t>
  </si>
  <si>
    <t>VE1300</t>
  </si>
  <si>
    <t>MANDAKA PRANALI JATINKUMAR</t>
  </si>
  <si>
    <t>PRANALI JATINKUMAR MANDAKA</t>
  </si>
  <si>
    <t>MANDAKA</t>
  </si>
  <si>
    <t>PRANALI</t>
  </si>
  <si>
    <t>HVHPK4542Q</t>
  </si>
  <si>
    <t>893532801578</t>
  </si>
  <si>
    <t>40900521761</t>
  </si>
  <si>
    <t>505, VAIBHAV RESIDENCY, VIRATNAGAR RING ROAD, NIKOL, A'BAD-382350</t>
  </si>
  <si>
    <t>VE1389</t>
  </si>
  <si>
    <t>PARMAR ISHVARKUMAR LALABHAI</t>
  </si>
  <si>
    <t>PARMAR ISHVARKUMAR</t>
  </si>
  <si>
    <t>ISHVARKUMAR</t>
  </si>
  <si>
    <t>LALABHAI</t>
  </si>
  <si>
    <t>EZFPP9239E</t>
  </si>
  <si>
    <t>456457882434</t>
  </si>
  <si>
    <t>38386643429</t>
  </si>
  <si>
    <t>SBIN0018082</t>
  </si>
  <si>
    <t>VADAJAPA,VADAZAMPAA, MALVAN, PANCHMAHALS, KADANA, GUJARAT-389265</t>
  </si>
  <si>
    <t>VE1385</t>
  </si>
  <si>
    <t>RIDDHI KANUBHAI PATEL</t>
  </si>
  <si>
    <t>PATEL RIDDHI KANUBHAI</t>
  </si>
  <si>
    <t>RIDDHI</t>
  </si>
  <si>
    <t>DLGPP7277A</t>
  </si>
  <si>
    <t>531113244944</t>
  </si>
  <si>
    <t>066003001022920</t>
  </si>
  <si>
    <t>AMCO BANK</t>
  </si>
  <si>
    <t>AMCB0660003</t>
  </si>
  <si>
    <t>D/2 VIJAY TOWER, KANKARIYA, A'BAD</t>
  </si>
  <si>
    <t>VE1380</t>
  </si>
  <si>
    <t>SAIYAD KANIJFATIMA JAKIRHUSEN</t>
  </si>
  <si>
    <t>KANJIFATIMA</t>
  </si>
  <si>
    <t>JAKIRHUSEN</t>
  </si>
  <si>
    <t>270396647685</t>
  </si>
  <si>
    <t>41307553475</t>
  </si>
  <si>
    <t>MUBARAKKHAN MASJID, PRANTIJ, SABARKANTHA</t>
  </si>
  <si>
    <t>VE1381</t>
  </si>
  <si>
    <t>YADAV YAMINI NARSINHBHAI</t>
  </si>
  <si>
    <t>YADAV YAMINIBEN NARSINHBHAI</t>
  </si>
  <si>
    <t>YAMINIBEN</t>
  </si>
  <si>
    <t>38366148021</t>
  </si>
  <si>
    <t>MOTA KOTDA, SABARKANTHA, GUJARAT-383421</t>
  </si>
  <si>
    <t>VE1382</t>
  </si>
  <si>
    <t>MACHHAR SITABEN SABURBHAI</t>
  </si>
  <si>
    <t>SITABEN</t>
  </si>
  <si>
    <t>SABURBHAI</t>
  </si>
  <si>
    <t>FWPPM7459M</t>
  </si>
  <si>
    <t>527443215389</t>
  </si>
  <si>
    <t>20373043019</t>
  </si>
  <si>
    <t>SBIN0013451</t>
  </si>
  <si>
    <t>TALUKA-FATEPURA, VADVAS, DAHOD, GUJARAT-389172</t>
  </si>
  <si>
    <t>VE1387</t>
  </si>
  <si>
    <t>HAJARIYA RANJITKUMAR GEMABHAI</t>
  </si>
  <si>
    <t>HAJARIYA</t>
  </si>
  <si>
    <t>RANJITKUMAR</t>
  </si>
  <si>
    <t>GEMABHAI</t>
  </si>
  <si>
    <t>DXVPG6172E</t>
  </si>
  <si>
    <t>309403343208</t>
  </si>
  <si>
    <t>35987935227</t>
  </si>
  <si>
    <t>SBIN0010959</t>
  </si>
  <si>
    <t>303,B, AGRESSAN TOWER, NR. CIVIL, A'BAD.</t>
  </si>
  <si>
    <t>JARI FALIYU, TALUKA-DHANPUR, PIPODARA ROAD, GUJARAT-389140</t>
  </si>
  <si>
    <t>VE1388</t>
  </si>
  <si>
    <t>KOSHTI GANESH RAJUBHAI</t>
  </si>
  <si>
    <t>KOSHTI GANESH</t>
  </si>
  <si>
    <t>KOSHTI</t>
  </si>
  <si>
    <t>GANESH</t>
  </si>
  <si>
    <t>9924710146 7359263466</t>
  </si>
  <si>
    <t>JALPK6131A</t>
  </si>
  <si>
    <t>342158786626</t>
  </si>
  <si>
    <t>38899269149</t>
  </si>
  <si>
    <t>B/22, ANANDNAGAR, NR. ASHWANJAY SCHOOL, HATKESHWAR, AMRAIWADI, A'BAD</t>
  </si>
  <si>
    <t>VE1384</t>
  </si>
  <si>
    <t>RATHVA SONALBEN JAMBUBHAI</t>
  </si>
  <si>
    <t>JAMBUBHAI</t>
  </si>
  <si>
    <t>CFVPJ1794L</t>
  </si>
  <si>
    <t>489175727849</t>
  </si>
  <si>
    <t>37332343006</t>
  </si>
  <si>
    <t>35-UMIYANAGAR SOCIETY, A'BAD</t>
  </si>
  <si>
    <t>B-13, SAI SIDHI ROW HOUSE, AJANTA NAGAR, SACHIN, SURAT-384230</t>
  </si>
  <si>
    <t>VE1395</t>
  </si>
  <si>
    <t>VE1325</t>
  </si>
  <si>
    <t>BHARADA KAJALBEN PUNABHAI</t>
  </si>
  <si>
    <t xml:space="preserve">KAJALBEN PUNABHAI BHARADA </t>
  </si>
  <si>
    <t>BHARADA</t>
  </si>
  <si>
    <t>PUNABHAI</t>
  </si>
  <si>
    <t>9726737926 7990671697</t>
  </si>
  <si>
    <t>DRNPB0083H</t>
  </si>
  <si>
    <t>204515169764</t>
  </si>
  <si>
    <t>38080427651</t>
  </si>
  <si>
    <t>SBIN0010952</t>
  </si>
  <si>
    <t>INDRAPURA, BHARADA FALIYU, VAGHESHVARI, SABARKANTHA, GUJARAT-383450</t>
  </si>
  <si>
    <t>VE1397</t>
  </si>
  <si>
    <t>PARMAR YOGINIBEN HITENDRABHAI</t>
  </si>
  <si>
    <t>YOGINIBEN</t>
  </si>
  <si>
    <t>HITENDRABHAI</t>
  </si>
  <si>
    <t>7096598798 6354637596</t>
  </si>
  <si>
    <t>619806135717</t>
  </si>
  <si>
    <t>01500100029393</t>
  </si>
  <si>
    <t>BARB0KALOLX</t>
  </si>
  <si>
    <t>98/6, ANAND FLAT, BAPUNAGAR, A'BAD</t>
  </si>
  <si>
    <t>532, PARMAR VAS, VEDA, GANDHINAGAR, GUJARAT-382735</t>
  </si>
  <si>
    <t>VE1396</t>
  </si>
  <si>
    <t>SOLANKI VIDHYANG SURESHBHAI</t>
  </si>
  <si>
    <t>VIDHYANG</t>
  </si>
  <si>
    <t>BA, ITI</t>
  </si>
  <si>
    <t>LMYPS4108N</t>
  </si>
  <si>
    <t>747124430708</t>
  </si>
  <si>
    <t>10, CHAUNVALNAGAR V-2, BHARGAV ROAD, MEGHANINAGAR, A'BAD-380016</t>
  </si>
  <si>
    <t>VE1408</t>
  </si>
  <si>
    <t>TAVIYAD KRUNALKUMAR GORDHANBHAI</t>
  </si>
  <si>
    <t>TAVIYAD</t>
  </si>
  <si>
    <t>GORDHANBHAI</t>
  </si>
  <si>
    <t>9265512333 9712894108</t>
  </si>
  <si>
    <t>DIBPG4996K</t>
  </si>
  <si>
    <t>608859272649</t>
  </si>
  <si>
    <t>38025650799</t>
  </si>
  <si>
    <t>MATA FALIYU,LAKHANPUR, FATEPURA, DAHOD, GUJARAT-389190</t>
  </si>
  <si>
    <t>VE1415</t>
  </si>
  <si>
    <t>KHUSHBHUBEN</t>
  </si>
  <si>
    <t>861204806002</t>
  </si>
  <si>
    <t>20470033495</t>
  </si>
  <si>
    <t>MOHAN CINEMA, ASARWA, A'BAD</t>
  </si>
  <si>
    <t>VANKARVAS, NAVISANA, BANASKANTHA, GUJARAT-385421</t>
  </si>
  <si>
    <t>VE1417</t>
  </si>
  <si>
    <t>DABHI AARTI MAHESHBHAI</t>
  </si>
  <si>
    <t>AARTI</t>
  </si>
  <si>
    <t>490475611127</t>
  </si>
  <si>
    <t>1748100005563</t>
  </si>
  <si>
    <t>C/405, SHANTIVILLA FLATS, DEHGAM ROAD, NARODA, A'BAD</t>
  </si>
  <si>
    <t>VE1418</t>
  </si>
  <si>
    <t>SINGH LAXMINAKUMARI SHIVMUNI</t>
  </si>
  <si>
    <t>LAXMINAKUMARI</t>
  </si>
  <si>
    <t>SHIVMUNI</t>
  </si>
  <si>
    <t>301393784837</t>
  </si>
  <si>
    <t>20480210545</t>
  </si>
  <si>
    <t>SBIN0000549</t>
  </si>
  <si>
    <t xml:space="preserve">3A/6, SAMRUDHHI RESIDENCY, THOL ROAD, KADI </t>
  </si>
  <si>
    <t>VE1419</t>
  </si>
  <si>
    <t>RATHOD ASHWINI NAGINBHAI</t>
  </si>
  <si>
    <t>RATHOD ASHVINI</t>
  </si>
  <si>
    <t>ASHVINI</t>
  </si>
  <si>
    <t>BA, MA</t>
  </si>
  <si>
    <t>EBFPR7477L</t>
  </si>
  <si>
    <t>335365251432</t>
  </si>
  <si>
    <t>03260100022193</t>
  </si>
  <si>
    <t>BARB0ELLISB</t>
  </si>
  <si>
    <t>146-1140, KALAPINAGAR, ASARWA, A'BAD-380016</t>
  </si>
  <si>
    <t>VE1406</t>
  </si>
  <si>
    <t>ZALA NEHA NATWARLAL</t>
  </si>
  <si>
    <t>ZALA NEHA N</t>
  </si>
  <si>
    <t>NATWARLAL</t>
  </si>
  <si>
    <t>904917720 9104917720</t>
  </si>
  <si>
    <t>222094170311</t>
  </si>
  <si>
    <t>25140100018062</t>
  </si>
  <si>
    <t>541, UTTAR GUJARAT PATEL NAGAR SOCIETY, BALIYA LIMDI, A'BAD</t>
  </si>
  <si>
    <t>19 AMAR SOCIETY, NR. SHAKTI SOCIETY DALMIL ROAD, SURENDRANAGAR, GUJARAT</t>
  </si>
  <si>
    <t>VE1416</t>
  </si>
  <si>
    <t>PARIHAR KAJAL RAKESHSINGH</t>
  </si>
  <si>
    <t>PARIHAR KAJAL</t>
  </si>
  <si>
    <t>PARIHAR</t>
  </si>
  <si>
    <t>RAKESHSINGH</t>
  </si>
  <si>
    <t>8511915053 8595000593</t>
  </si>
  <si>
    <t>480693356248</t>
  </si>
  <si>
    <t>03218100009025</t>
  </si>
  <si>
    <t>GOKULCHANDRA KASTURCHANDRA NI CHALI, CHAMANPURA, A'BAD</t>
  </si>
  <si>
    <t>VE1420</t>
  </si>
  <si>
    <t>AMISHA ASHWINKUMAR HIRPARA</t>
  </si>
  <si>
    <t>HIRPARA</t>
  </si>
  <si>
    <t>AMISHA</t>
  </si>
  <si>
    <t>AHWINKUMAR</t>
  </si>
  <si>
    <t>BCJPH5510E</t>
  </si>
  <si>
    <t>954046972709</t>
  </si>
  <si>
    <t>38796587352</t>
  </si>
  <si>
    <t>SBIN0011789</t>
  </si>
  <si>
    <t>B-41/3, VANDNA PARK, HIRAWADI, A'BAD-382345</t>
  </si>
  <si>
    <t>VE1421</t>
  </si>
  <si>
    <t>PATEL CHIRAGKUMAR VINUBHAI</t>
  </si>
  <si>
    <t>PATEL CHIRAGKUMAR</t>
  </si>
  <si>
    <t>FEYPP0347N</t>
  </si>
  <si>
    <t>35134876736</t>
  </si>
  <si>
    <t>578285850853</t>
  </si>
  <si>
    <t>SBIN0060465</t>
  </si>
  <si>
    <t>PATEL FALIYU, LIMB, SABARKANTHA, GUJARAT-383325</t>
  </si>
  <si>
    <t>VE1422</t>
  </si>
  <si>
    <t>PATANI ROHITKUMAR RAJESHBHAI</t>
  </si>
  <si>
    <t>ROHITKUMAR</t>
  </si>
  <si>
    <t>EZJPP1844P</t>
  </si>
  <si>
    <t>240262670505</t>
  </si>
  <si>
    <t>364200100000303</t>
  </si>
  <si>
    <t>SARASWAT BANK</t>
  </si>
  <si>
    <t>SRCB0000364</t>
  </si>
  <si>
    <t>203753865964</t>
  </si>
  <si>
    <t>DABHI KHUSHBUBEN AMRUTLAL</t>
  </si>
  <si>
    <t>VE1424</t>
  </si>
  <si>
    <t>BALAT MAULIKKUMAR</t>
  </si>
  <si>
    <t>BALAT</t>
  </si>
  <si>
    <t>MAULIKKUMAR</t>
  </si>
  <si>
    <t>6355955994
7069551723</t>
  </si>
  <si>
    <t>261259954460</t>
  </si>
  <si>
    <t>10011001034494</t>
  </si>
  <si>
    <t>THE BANASKANTHA MERCANTILE COOP BANK LTD.</t>
  </si>
  <si>
    <t>HDFC0CTBMCB</t>
  </si>
  <si>
    <t>BILADIYA, SABARKANTHA-383462</t>
  </si>
  <si>
    <t>3911284037</t>
  </si>
  <si>
    <t>3911284038</t>
  </si>
  <si>
    <t>3911284040</t>
  </si>
  <si>
    <t>3911284041</t>
  </si>
  <si>
    <t>3911284042</t>
  </si>
  <si>
    <t>VE1402</t>
  </si>
  <si>
    <t>RAKESHKUMAR KANTILAL PATEL</t>
  </si>
  <si>
    <t>RAKESHKUMAR</t>
  </si>
  <si>
    <t>CSSD TECH COURSE</t>
  </si>
  <si>
    <t>CNEPP7175C</t>
  </si>
  <si>
    <t>225778767186</t>
  </si>
  <si>
    <t>03300100029026</t>
  </si>
  <si>
    <t>B/7, NEAR MALI NO KUVO, SHAILI APPT., NEW CIVIL HOSPITAL ROAD, ASARWA, AHMEDABAD-380016</t>
  </si>
  <si>
    <t>3911284045</t>
  </si>
  <si>
    <t>3911284047</t>
  </si>
  <si>
    <t>3911284049</t>
  </si>
  <si>
    <t>3911284050</t>
  </si>
  <si>
    <t>3911284051</t>
  </si>
  <si>
    <t>3911284053</t>
  </si>
  <si>
    <t>VE1411</t>
  </si>
  <si>
    <t>DIWAKAR SURAJ PURANSINGH</t>
  </si>
  <si>
    <t>DIWAKAR</t>
  </si>
  <si>
    <t>PURANSINGH</t>
  </si>
  <si>
    <t>ITI</t>
  </si>
  <si>
    <t>GNEPD3564B</t>
  </si>
  <si>
    <t>208413459874</t>
  </si>
  <si>
    <t>34449195713</t>
  </si>
  <si>
    <t>GURUKRUPA NAGAR BHARGAV ROAD KUBERNAGAR, CHUNILAL KI CHALI, AHMEDABAD382340</t>
  </si>
  <si>
    <t>101605226043</t>
  </si>
  <si>
    <t>3911284060</t>
  </si>
  <si>
    <t>3911284062</t>
  </si>
  <si>
    <t>MONIKABEN SURESHBHAI LATA</t>
  </si>
  <si>
    <t>3911284063</t>
  </si>
  <si>
    <t>3911284064</t>
  </si>
  <si>
    <t>3911284066</t>
  </si>
  <si>
    <t>3911284067</t>
  </si>
  <si>
    <t>3911284273</t>
  </si>
  <si>
    <t>3911284278</t>
  </si>
  <si>
    <t>3911284288</t>
  </si>
  <si>
    <t>3911284291</t>
  </si>
  <si>
    <t>3911284297</t>
  </si>
  <si>
    <t>3911284301</t>
  </si>
  <si>
    <t>PATANI ROHIT KUMAR RAJESHBHAI</t>
  </si>
  <si>
    <t>21850100046322</t>
  </si>
  <si>
    <t>LIMBAT SNEHABAHEN GOVINDLAL</t>
  </si>
  <si>
    <t>VE1429</t>
  </si>
  <si>
    <t>VIJAY JAVANJI LAKHAVARA</t>
  </si>
  <si>
    <t>LAKHAVARA VIJAYKUMAR JAVANJI</t>
  </si>
  <si>
    <t>LAKHAVARA</t>
  </si>
  <si>
    <t>JAVANJI</t>
  </si>
  <si>
    <t>707558616979</t>
  </si>
  <si>
    <t>312802010048000</t>
  </si>
  <si>
    <t>UBIN0531286</t>
  </si>
  <si>
    <t>KADIA NI CHALI, SANTOSHI MATA MANDIR ASARWA, AHMEDABAD-380016</t>
  </si>
  <si>
    <t>VE1428</t>
  </si>
  <si>
    <t>PARMAR BHAGVATI MAHENDRABHAI</t>
  </si>
  <si>
    <t>PARMAR BHAGVATI</t>
  </si>
  <si>
    <t>BHAGVATI</t>
  </si>
  <si>
    <t>B.A, M.A</t>
  </si>
  <si>
    <t>EOMPP2930E</t>
  </si>
  <si>
    <t>3911287154</t>
  </si>
  <si>
    <t>417998242111</t>
  </si>
  <si>
    <t>353502010507824</t>
  </si>
  <si>
    <t>7, HASHMUKHNAGAR SOCIETY, MEGHANINAGAR, KALAPINAGAR, A'BAD-380016</t>
  </si>
  <si>
    <t>VE1427</t>
  </si>
  <si>
    <t>SONDARVA JYOTI HAMIRBHAI</t>
  </si>
  <si>
    <t>SONDARVA</t>
  </si>
  <si>
    <t>JYOTI</t>
  </si>
  <si>
    <t>B.SC.</t>
  </si>
  <si>
    <t>6353038861 7567524794</t>
  </si>
  <si>
    <t>3911287159</t>
  </si>
  <si>
    <t>730997176202</t>
  </si>
  <si>
    <t>ONLPS9112K</t>
  </si>
  <si>
    <t>183501001948</t>
  </si>
  <si>
    <t>ICIC0001835</t>
  </si>
  <si>
    <t>VE1426</t>
  </si>
  <si>
    <t>PRAJAPATI  PRITI  RASIKBHAI</t>
  </si>
  <si>
    <t>PRITIBEN RASIKBHAI PRAJAPATI</t>
  </si>
  <si>
    <t>PRITIBEN</t>
  </si>
  <si>
    <t>7069163127 9913308176</t>
  </si>
  <si>
    <t>3911287160</t>
  </si>
  <si>
    <t>766008233061</t>
  </si>
  <si>
    <t>34393588240</t>
  </si>
  <si>
    <t>30, KEDAR APPARTMENT, THAKKARBAPANAGAR, T B NAGAR, A'BAD-382350</t>
  </si>
  <si>
    <t>VE1425</t>
  </si>
  <si>
    <t>KARDANI SRUSHTI  DHAVAL</t>
  </si>
  <si>
    <t>KARDANI</t>
  </si>
  <si>
    <t>SRUSHTI</t>
  </si>
  <si>
    <t>DHAVAL</t>
  </si>
  <si>
    <t>CMLT</t>
  </si>
  <si>
    <t>GRTPD6897N</t>
  </si>
  <si>
    <t>3911287162</t>
  </si>
  <si>
    <t>322635455275</t>
  </si>
  <si>
    <t>50100587257459</t>
  </si>
  <si>
    <t>HDFC0005921</t>
  </si>
  <si>
    <t>27, CHITRAKUT SOCIETY, NR. NOBAL SCHOOL, BEHIND BUS STOP, JUNAGADH, GUJARAT-382001</t>
  </si>
  <si>
    <t>VE1423</t>
  </si>
  <si>
    <t>PATEL KAJALBEN MAHENDRABHAI</t>
  </si>
  <si>
    <t xml:space="preserve">PATEL KAJALBEN </t>
  </si>
  <si>
    <t>M.L.T</t>
  </si>
  <si>
    <t>FIHPP5778N</t>
  </si>
  <si>
    <t>3713120058</t>
  </si>
  <si>
    <t>710888968657</t>
  </si>
  <si>
    <t>00041001017160</t>
  </si>
  <si>
    <t>MSNU0000004</t>
  </si>
  <si>
    <t>LAVAR SHERI, JETALVASANA, MAHESANA, BHANDU, GUJARAT-384120</t>
  </si>
  <si>
    <t>THE MAHESANA  URBAN CO-OP. BANK LTD.</t>
  </si>
  <si>
    <t>VE1364</t>
  </si>
  <si>
    <t>VE1042</t>
  </si>
  <si>
    <t>VE1329</t>
  </si>
  <si>
    <t>LEFT</t>
  </si>
  <si>
    <t>KANZARIYA GAYATRIBEN   MOTIBHAI</t>
  </si>
  <si>
    <t>VE1256</t>
  </si>
  <si>
    <t>SAUMIL ROBINBHAI CHRISTIAN</t>
  </si>
  <si>
    <t>CHRISTIAN  SAUMIL</t>
  </si>
  <si>
    <t>SAUMIL</t>
  </si>
  <si>
    <t>ROBINBHAI</t>
  </si>
  <si>
    <t>9998186247 9662764825</t>
  </si>
  <si>
    <t>CACPC8382D</t>
  </si>
  <si>
    <t>856558564773</t>
  </si>
  <si>
    <t>50100278116425</t>
  </si>
  <si>
    <t>HDFC0000890</t>
  </si>
  <si>
    <t>36, ANUPAM SOCIETY, GURUKRUPA SCHOOL,  AMERAIWADI, A'BAD-380026</t>
  </si>
  <si>
    <t>VE1436</t>
  </si>
  <si>
    <t>KAPADIYA MASUMKUMAR BHARATBHAI</t>
  </si>
  <si>
    <t>MASUMKUMAR KAPADIYA</t>
  </si>
  <si>
    <t>MASUMKUMAR</t>
  </si>
  <si>
    <t>8238662362 9909119556</t>
  </si>
  <si>
    <t>MLEPK4272M</t>
  </si>
  <si>
    <t>322370931778</t>
  </si>
  <si>
    <t>55340100032767</t>
  </si>
  <si>
    <t>BARB0NANIKA</t>
  </si>
  <si>
    <t>NEAR RAMDEV PIR MANDIR, ADUDRA, KADI, MAHESANA-382715</t>
  </si>
  <si>
    <t>VE1313</t>
  </si>
  <si>
    <t>PRAJAPATI MAMTA CHANDRESHBHAI</t>
  </si>
  <si>
    <t>7046268513 9512844822</t>
  </si>
  <si>
    <t>FMUPP8303Q</t>
  </si>
  <si>
    <t>926853067178</t>
  </si>
  <si>
    <t>0033001500030746</t>
  </si>
  <si>
    <t>PUNJAB BANK</t>
  </si>
  <si>
    <t>PUNB0003300</t>
  </si>
  <si>
    <t>1508, BARDOLPURA CHOWK, DILHI DARVAJA BAHAR, SAHIBAG, A'BAD-380004</t>
  </si>
  <si>
    <t>VE1430</t>
  </si>
  <si>
    <t>MALAVIYA STEPHY VIMALPRAKASH</t>
  </si>
  <si>
    <t>STEPHYKUMARI VIMALPRAKASH MALAVIYA</t>
  </si>
  <si>
    <t>MALAVIYA</t>
  </si>
  <si>
    <t>STEPHYKUMARI</t>
  </si>
  <si>
    <t>VIMALPRAKASH</t>
  </si>
  <si>
    <t>6359121173 9484442050</t>
  </si>
  <si>
    <t>EOMPM6952K</t>
  </si>
  <si>
    <t>3712403028</t>
  </si>
  <si>
    <t>765679081879</t>
  </si>
  <si>
    <t>33725925893</t>
  </si>
  <si>
    <t>5, SATYAM SOCIETY, BHOLESWER, NR.SABAR STADIUM, HIMMATNAGAR.</t>
  </si>
  <si>
    <t>VE1432</t>
  </si>
  <si>
    <t>KHUSHABU DARJI</t>
  </si>
  <si>
    <t>DARJI KHUSHABU MANOJKUMAR</t>
  </si>
  <si>
    <t>KHUSHABU</t>
  </si>
  <si>
    <t>FVXPD3059K</t>
  </si>
  <si>
    <t>827954460848</t>
  </si>
  <si>
    <t>31020100017493</t>
  </si>
  <si>
    <t>BARB0CHHUDA</t>
  </si>
  <si>
    <t>24, VISWAS SOCIETY, RANIP, A'BAD.</t>
  </si>
  <si>
    <t>DARJI VAS, SAMETRA, MAHESANA, GUJARAT-384001</t>
  </si>
  <si>
    <t>VE1431</t>
  </si>
  <si>
    <t>SOLANKI VISHALKUMAR JAYANTILAL</t>
  </si>
  <si>
    <t>SOLANKI VISHALKUMAR</t>
  </si>
  <si>
    <t>JAYANTILAL</t>
  </si>
  <si>
    <t>9033280781 9428047909</t>
  </si>
  <si>
    <t>DWXPS4704P</t>
  </si>
  <si>
    <t>555680477018</t>
  </si>
  <si>
    <t>31911867582</t>
  </si>
  <si>
    <t>A-1436-7, LALLUBHAGVAN CHAWL, NEAR FIRE STATION, NARODA ROAD, A'BAD-382330</t>
  </si>
  <si>
    <t>VE1438</t>
  </si>
  <si>
    <t>FORAM SURESHBHAI SAKHRELIYA</t>
  </si>
  <si>
    <t>SAKHARELIYA FORAMBEN SURESHBHAI</t>
  </si>
  <si>
    <t>SAKHARELIYA</t>
  </si>
  <si>
    <t>FORAMBEN</t>
  </si>
  <si>
    <t>M.L.T., B.SC.</t>
  </si>
  <si>
    <t>901612292122</t>
  </si>
  <si>
    <t>33916313556</t>
  </si>
  <si>
    <t>SBIN0060271</t>
  </si>
  <si>
    <t>GOPAL CHOWK, NEW NARODA, A'BAD.</t>
  </si>
  <si>
    <t>GALATH, JUNAGADH, GUJARAT-382020</t>
  </si>
  <si>
    <t>VE1435</t>
  </si>
  <si>
    <t>DAMOR SHIVAMKUMAR  SURESHBHAI</t>
  </si>
  <si>
    <t>SHIVAMKUMAR</t>
  </si>
  <si>
    <t>EZKPD1569J</t>
  </si>
  <si>
    <t>919782355739</t>
  </si>
  <si>
    <t>38114796921</t>
  </si>
  <si>
    <t>SAHIBAG SOCIETY, ASARWA, A;BAD.</t>
  </si>
  <si>
    <t>SUVIDHA PARK SOCIETY, DAHOD ROAD, GODHARA, PANCHMAHAL.</t>
  </si>
  <si>
    <t>VE1434</t>
  </si>
  <si>
    <t>DAMOR SATISHKUMAR  ARVINDBHAI</t>
  </si>
  <si>
    <t>SATISHKUMAR ARVINDBHAI DAMOR</t>
  </si>
  <si>
    <t>9601167747 7046727460</t>
  </si>
  <si>
    <t>305135657660</t>
  </si>
  <si>
    <t>01748100018457</t>
  </si>
  <si>
    <t>NEAR THE CIVIL HOSPITAL, A'BAD.</t>
  </si>
  <si>
    <t>344, SOCIETY FALIYU, BHILODA, RAYASINGPUR, SABARKANTHA.</t>
  </si>
  <si>
    <t>VE1433</t>
  </si>
  <si>
    <t>KATARA PRANAVKUMAR CHANDUBHAI</t>
  </si>
  <si>
    <t>KATARA PRANAVKUMAR</t>
  </si>
  <si>
    <t>PRANAVKUMAR</t>
  </si>
  <si>
    <t>9909230050 9104716859</t>
  </si>
  <si>
    <t>429913852346</t>
  </si>
  <si>
    <t>35884300112</t>
  </si>
  <si>
    <t>SBIN0000375</t>
  </si>
  <si>
    <t>SAHIBAG SOCIETY, ASARWA, A'BAD.</t>
  </si>
  <si>
    <t>SUVIDHANAGAR-2, DAHOD ROAD, GODHRA, PANCHMAHAL.</t>
  </si>
  <si>
    <t>VE1437</t>
  </si>
  <si>
    <t>PARADIYA URMILA JAYANTIBHAI</t>
  </si>
  <si>
    <t>PARADIYA URMILA</t>
  </si>
  <si>
    <t>PARADIYA</t>
  </si>
  <si>
    <t>8347367810 8238801096</t>
  </si>
  <si>
    <t>GXSPP5764F</t>
  </si>
  <si>
    <t>258866167729</t>
  </si>
  <si>
    <t>06960110032862</t>
  </si>
  <si>
    <t>DR. AMBEDAKAR NI CHALI, RAMAPIR NO TEKRO, JUNA VADAJ, A'BAD-380013</t>
  </si>
  <si>
    <t>5, NANA MAVA, KALAWAD ROAD, RAJKOT, GUJARAT-360005</t>
  </si>
  <si>
    <t>VE1441</t>
  </si>
  <si>
    <t>MANDANI DHARTI DHARMENDRABHAI</t>
  </si>
  <si>
    <t>MANDANI DHARTIBEN DHARMENDRABHAI</t>
  </si>
  <si>
    <t>MANDANI</t>
  </si>
  <si>
    <t>DHARTIBEN</t>
  </si>
  <si>
    <t>DHARMENDRABHAI</t>
  </si>
  <si>
    <t>674820709007</t>
  </si>
  <si>
    <t>921010011199721</t>
  </si>
  <si>
    <t>UTIB0003592</t>
  </si>
  <si>
    <t>NEAR WATER TANKA, SARA, SURENDRA NAGAR, GUJARAT-363310</t>
  </si>
  <si>
    <t>VE1440</t>
  </si>
  <si>
    <t>KATHIYAVADI SONALBEN ASHOKBHAI</t>
  </si>
  <si>
    <t>KATHIYAVADI SONALBEN</t>
  </si>
  <si>
    <t>KATHIYAVADI</t>
  </si>
  <si>
    <t>7046729749 9824739200</t>
  </si>
  <si>
    <t>FLXPM6233C</t>
  </si>
  <si>
    <t>JXRPK0448D</t>
  </si>
  <si>
    <t>289647926564</t>
  </si>
  <si>
    <t>38112319112</t>
  </si>
  <si>
    <t>A-36, ANSUYA PARK SOCIETY, NARAYANNAGAR, KHODIYARNAGAR, AHMEDABAD-382350</t>
  </si>
  <si>
    <t>VE1439</t>
  </si>
  <si>
    <t>PATEL APEKSHA DIPAKBHAI</t>
  </si>
  <si>
    <t>APEKSHA DIPAKBHAI PATEL</t>
  </si>
  <si>
    <t>APEKSHA</t>
  </si>
  <si>
    <t>DIPAKBHAI</t>
  </si>
  <si>
    <t>B.SC., G.N.M</t>
  </si>
  <si>
    <t>7405146587 9712951893</t>
  </si>
  <si>
    <t>GFWPP4560R</t>
  </si>
  <si>
    <t>444305383252</t>
  </si>
  <si>
    <t>50100411975226</t>
  </si>
  <si>
    <t>HDFC BANK LTD</t>
  </si>
  <si>
    <t>HDFC0000461</t>
  </si>
  <si>
    <t>6, DIVYAPRABHA SOCIETY, PART-1, GANDHI PARK SOC., VIRATNAGAR ROAD, ODHAV, A'BAD-382415</t>
  </si>
  <si>
    <t>VE1442</t>
  </si>
  <si>
    <t>LADOLA BHUMI DAMJIBHAI</t>
  </si>
  <si>
    <t>LADOLA</t>
  </si>
  <si>
    <t>BHUMI</t>
  </si>
  <si>
    <t>DAMJIBHAI</t>
  </si>
  <si>
    <t>B.SC., M.L.T</t>
  </si>
  <si>
    <t>9327356577 9426831262</t>
  </si>
  <si>
    <t>BOHPL6171H</t>
  </si>
  <si>
    <t>699643344663</t>
  </si>
  <si>
    <t>40546592145</t>
  </si>
  <si>
    <t>SUKAN RESIDENCY, VANDEMATARAM, GOTA, AHMEDABAD</t>
  </si>
  <si>
    <t>LATHI, AMRELI, GUJARAT</t>
  </si>
  <si>
    <t>VE1444</t>
  </si>
  <si>
    <t>DHRUVABEN MUKESHBHAI PRAJAPATI</t>
  </si>
  <si>
    <t>DHRUVABEN</t>
  </si>
  <si>
    <t>FSPPP1787P</t>
  </si>
  <si>
    <t>303273436287</t>
  </si>
  <si>
    <t>37735995305</t>
  </si>
  <si>
    <t>SBIN0014986</t>
  </si>
  <si>
    <t>BAPUNAGAR, AHMEDABAD</t>
  </si>
  <si>
    <t>ADESH NAGAR SOCIETY, THARAD, BANASKANTHA, GUJARAT-385565</t>
  </si>
  <si>
    <t>PATEL CHANDRIKA NANJIBHAI</t>
  </si>
  <si>
    <t>PATEL CHANDRIKABEN NANJIBHAI</t>
  </si>
  <si>
    <t>NANJIBHAI</t>
  </si>
  <si>
    <t>B.A, B.ED, P.G.D.C.A</t>
  </si>
  <si>
    <t>7984129115 8469320620</t>
  </si>
  <si>
    <t>GEDPP2938P</t>
  </si>
  <si>
    <t>3713812336</t>
  </si>
  <si>
    <t>228696841933</t>
  </si>
  <si>
    <t>03300100030681</t>
  </si>
  <si>
    <t>29 TATANAGAR SOCIETY, OPP. NEW METAL WATERTANK, MEGHANINAGAR, AHMEDABAD-380016</t>
  </si>
  <si>
    <t>VE1445</t>
  </si>
  <si>
    <t>RATHOD MADHUBEN BHAVANSINH</t>
  </si>
  <si>
    <t>3890781338</t>
  </si>
  <si>
    <t>RATHOD MADHUBEN</t>
  </si>
  <si>
    <t>MADHUBEN</t>
  </si>
  <si>
    <t>BHAVANSINH</t>
  </si>
  <si>
    <t>8320687132 9265066488</t>
  </si>
  <si>
    <t>700297831605</t>
  </si>
  <si>
    <t>38127815170</t>
  </si>
  <si>
    <t>SBIN0011031</t>
  </si>
  <si>
    <t>AKEDIA, SHEHERA, PANCHMAHALS, GUJARAT-389210</t>
  </si>
  <si>
    <t>VE1446</t>
  </si>
  <si>
    <t>KHANT CHETANABEN ARVINDSINH</t>
  </si>
  <si>
    <t>CHETANABEN</t>
  </si>
  <si>
    <t>ARVINDSINH</t>
  </si>
  <si>
    <t>8141094185 7567786598</t>
  </si>
  <si>
    <t>KPIPK5402K</t>
  </si>
  <si>
    <t>416291975990</t>
  </si>
  <si>
    <t>38017191948</t>
  </si>
  <si>
    <t>SBIN0011003</t>
  </si>
  <si>
    <t>GAJIPUR, KHEDAPA, MORVA(H), PANCHMAHALS, GUJARAT-389115</t>
  </si>
  <si>
    <t>VE1447</t>
  </si>
  <si>
    <t>TAVIYAD RANJANBEN GULABBHAI</t>
  </si>
  <si>
    <t>TAVIYAD RANJANBEN</t>
  </si>
  <si>
    <t>RANJANBEN</t>
  </si>
  <si>
    <t>GULABBHAI</t>
  </si>
  <si>
    <t>BNXPT5339J</t>
  </si>
  <si>
    <t>967455003828</t>
  </si>
  <si>
    <t>37966299452</t>
  </si>
  <si>
    <t>SBIN0000378</t>
  </si>
  <si>
    <t>NANI KYAR, PANCHMAHALS, TIMBLA, GUJARAT-389260</t>
  </si>
  <si>
    <t>VE1443</t>
  </si>
  <si>
    <t>SBIN0060034</t>
  </si>
  <si>
    <t>VE1448</t>
  </si>
  <si>
    <t>PANCHAL ANJALIBEN ASHOKKUMAR</t>
  </si>
  <si>
    <t>ANJALIBEN</t>
  </si>
  <si>
    <t>FCQPP7049F</t>
  </si>
  <si>
    <t>3714705748</t>
  </si>
  <si>
    <t>958179335705</t>
  </si>
  <si>
    <t>2646482226</t>
  </si>
  <si>
    <t>KKBK0002563</t>
  </si>
  <si>
    <t>A1/2, GOKUL NAGAR SOCIETY, ADINATHNAGAR, ODHAV, AHMEDABAD-382415</t>
  </si>
  <si>
    <t>VE1449</t>
  </si>
  <si>
    <t>PATEL AARTI JAYESHBHAI</t>
  </si>
  <si>
    <t>B.COM, M.COM</t>
  </si>
  <si>
    <t>8141153643 9724833924</t>
  </si>
  <si>
    <t>EUBPP7618L</t>
  </si>
  <si>
    <t>3713849686</t>
  </si>
  <si>
    <t>288237601468</t>
  </si>
  <si>
    <t>UBIN0558486</t>
  </si>
  <si>
    <t>584802010002922</t>
  </si>
  <si>
    <t>14-6, MANGLAM FLAT, OPP ANAND FLAT, BAPUNAGAR, AHMEDABAD-380024</t>
  </si>
  <si>
    <t>VE1450</t>
  </si>
  <si>
    <t>PATEL JAIMIN KIRITKUMAR</t>
  </si>
  <si>
    <t>JAIMIN PATEL</t>
  </si>
  <si>
    <t>KIRITKUMAR</t>
  </si>
  <si>
    <t>BACHELOR OF ENGINEERING</t>
  </si>
  <si>
    <t>9104070331 9974171689</t>
  </si>
  <si>
    <t>FJCPP9620R</t>
  </si>
  <si>
    <t>398830920598</t>
  </si>
  <si>
    <t>39524561984</t>
  </si>
  <si>
    <t>SBIN0002678</t>
  </si>
  <si>
    <t>MAHADEV, RANDHEJA, GANDHINAGAR, GUJARAT-382620</t>
  </si>
  <si>
    <t>VE1451</t>
  </si>
  <si>
    <t xml:space="preserve">REVAR  NITIN  ASHOKBHAI </t>
  </si>
  <si>
    <t>NITIN</t>
  </si>
  <si>
    <t>BPLPR1832Q</t>
  </si>
  <si>
    <t>417772532771</t>
  </si>
  <si>
    <t>201610110013287</t>
  </si>
  <si>
    <t>83/84, SHARDA ROW HOUSE, ASLALI.</t>
  </si>
  <si>
    <t>VE1452</t>
  </si>
  <si>
    <t>MALI SARIKA  PARTH</t>
  </si>
  <si>
    <t>SARIKA PARTH MALI</t>
  </si>
  <si>
    <t>SARIKA</t>
  </si>
  <si>
    <t>PARTH</t>
  </si>
  <si>
    <t>B.A, M.A, PH.D.</t>
  </si>
  <si>
    <t>9724611026 9099022988</t>
  </si>
  <si>
    <t>ATIPG8725H</t>
  </si>
  <si>
    <t>484476044602</t>
  </si>
  <si>
    <t>353502010521545</t>
  </si>
  <si>
    <t>1, SHREEJI AVENUE, OPP PUNIT PARK, GHODA CAMP, SAHIBAUG, AHMEDABAD-380004</t>
  </si>
  <si>
    <t>649-4205, GUJ. HOU.BOARD, 137 NU LAST BUS STOP PASE, BAPUNAGAR, A'BAD</t>
  </si>
  <si>
    <t>E:\PHOTO\Emp Photo\VE1007.jpg</t>
  </si>
  <si>
    <t>E:\PHOTO\Emp Photo\VE1015.jpg</t>
  </si>
  <si>
    <t>E:\PHOTO\Emp Photo\VE1021.jpg</t>
  </si>
  <si>
    <t>E:\PHOTO\Emp Photo\VE1030.jpg</t>
  </si>
  <si>
    <t>E:\PHOTO\Emp Photo\VE1032.jpg</t>
  </si>
  <si>
    <t>E:\PHOTO\Emp Photo\VE1037.jpg</t>
  </si>
  <si>
    <t>E:\PHOTO\Emp Photo\VE1054.jpg</t>
  </si>
  <si>
    <t>E:\PHOTO\Emp Photo\VE1056.jpg</t>
  </si>
  <si>
    <t>E:\PHOTO\Emp Photo\VE1062.jpg</t>
  </si>
  <si>
    <t>E:\PHOTO\Emp Photo\VE1063.jpg</t>
  </si>
  <si>
    <t>E:\PHOTO\Emp Photo\VE1067.jpg</t>
  </si>
  <si>
    <t>E:\PHOTO\Emp Photo\VE1072.jpg</t>
  </si>
  <si>
    <t>E:\PHOTO\Emp Photo\VE1097.jpg</t>
  </si>
  <si>
    <t>E:\PHOTO\Emp Photo\VE1103.jpg</t>
  </si>
  <si>
    <t>E:\PHOTO\Emp Photo\VE1113.jpg</t>
  </si>
  <si>
    <t>E:\PHOTO\Emp Photo\VE1118.jpg</t>
  </si>
  <si>
    <t>E:\PHOTO\Emp Photo\VE1121.jpg</t>
  </si>
  <si>
    <t>E:\PHOTO\Emp Photo\VE1123.jpg</t>
  </si>
  <si>
    <t>E:\PHOTO\Emp Photo\VE1128.jpg</t>
  </si>
  <si>
    <t>E:\PHOTO\Emp Photo\VE1141.jpg</t>
  </si>
  <si>
    <t>E:\PHOTO\Emp Photo\VE1148.jpg</t>
  </si>
  <si>
    <t>E:\PHOTO\Emp Photo\VE1155.jpg</t>
  </si>
  <si>
    <t>E:\PHOTO\Emp Photo\VE1156.jpg</t>
  </si>
  <si>
    <t>E:\PHOTO\Emp Photo\VE1167.jpg</t>
  </si>
  <si>
    <t>E:\PHOTO\Emp Photo\VE1170.jpg</t>
  </si>
  <si>
    <t>E:\PHOTO\Emp Photo\VE1189.jpg</t>
  </si>
  <si>
    <t>E:\PHOTO\Emp Photo\VE1193.jpg</t>
  </si>
  <si>
    <t>E:\PHOTO\Emp Photo\VE1196.jpg</t>
  </si>
  <si>
    <t>E:\PHOTO\Emp Photo\VE1199.jpg</t>
  </si>
  <si>
    <t>E:\PHOTO\Emp Photo\VE1201.jpg</t>
  </si>
  <si>
    <t>PHOTO\Emp Photo\VE1218.jpg</t>
  </si>
  <si>
    <t>PHOTO\Emp Photo\VE1229.jpg</t>
  </si>
  <si>
    <t>PHOTO\Emp Photo\VE1235.jpg</t>
  </si>
  <si>
    <t>PHOTO\Emp Photo\VE1242.jpg</t>
  </si>
  <si>
    <t>PHOTO\Emp Photo\VE1250.jpg</t>
  </si>
  <si>
    <t>PHOTO\Emp Photo\VE1259.jpg</t>
  </si>
  <si>
    <t>PHOTO\Emp Photo\VE1261.jpg</t>
  </si>
  <si>
    <t>PHOTO\Emp Photo\VE1265.jpg</t>
  </si>
  <si>
    <t>PHOTO\Emp Photo\VE1285.jpg</t>
  </si>
  <si>
    <t>PHOTO\Emp Photo\VE1300.jpg</t>
  </si>
  <si>
    <t>PHOTO\Emp Photo\VE1304.jpg</t>
  </si>
  <si>
    <t>PHOTO\Emp Photo\VE1305.jpg</t>
  </si>
  <si>
    <t>PHOTO\Emp Photo\VE1310.jpg</t>
  </si>
  <si>
    <t>PHOTO\Emp Photo\VE1313.jpg</t>
  </si>
  <si>
    <t>PHOTO\Emp Photo\VE1327.jpg</t>
  </si>
  <si>
    <t>PHOTO\Emp Photo\VE1353.jpg</t>
  </si>
  <si>
    <t>PHOTO\Emp Photo\VE1359.jpg</t>
  </si>
  <si>
    <t>PHOTO\Emp Photo\VE1364.jpg</t>
  </si>
  <si>
    <t>PHOTO\Emp Photo\VE1369.jpg</t>
  </si>
  <si>
    <t>PHOTO\Emp Photo\VE1371.jpg</t>
  </si>
  <si>
    <t>PHOTO\Emp Photo\VE1372.jpg</t>
  </si>
  <si>
    <t>PHOTO\Emp Photo\Ve1373.jpg</t>
  </si>
  <si>
    <t>PHOTO\Emp Photo\VE1374.jpg</t>
  </si>
  <si>
    <t>PHOTO\Emp Photo\VE1375.jpg</t>
  </si>
  <si>
    <t>PHOTO\Emp Photo\VE1376.jpg</t>
  </si>
  <si>
    <t>PHOTO\Emp Photo\VE1378.jpg</t>
  </si>
  <si>
    <t>PHOTO\Emp Photo\VE1380.jpg</t>
  </si>
  <si>
    <t>PHOTO\Emp Photo\VE1381.jpg</t>
  </si>
  <si>
    <t>PHOTO\Emp Photo\VE1382.jpg</t>
  </si>
  <si>
    <t>PHOTO\Emp Photo\VE1384.jpg</t>
  </si>
  <si>
    <t>PHOTO\Emp Photo\VE1385.jpg</t>
  </si>
  <si>
    <t>PHOTO\Emp Photo\VE1386.jpg</t>
  </si>
  <si>
    <t>PHOTO\Emp Photo\VE1387.jpg</t>
  </si>
  <si>
    <t>PHOTO\Emp Photo\VE1388.jpg</t>
  </si>
  <si>
    <t>PHOTO\Emp Photo\VE1389.jpg</t>
  </si>
  <si>
    <t>PHOTO\Emp Photo\VE1392.jpg</t>
  </si>
  <si>
    <t>PHOTO\Emp Photo\VE1393.jpg</t>
  </si>
  <si>
    <t>PHOTO\Emp Photo\VE1394.jpg</t>
  </si>
  <si>
    <t>PHOTO\Emp Photo\VE1395.jpg</t>
  </si>
  <si>
    <t>PHOTO\Emp Photo\VE1396.jpg</t>
  </si>
  <si>
    <t>PHOTO\Emp Photo\VE1397.jpg</t>
  </si>
  <si>
    <t>PHOTO\Emp Photo\VE1403.jpg</t>
  </si>
  <si>
    <t>PHOTO\Emp Photo\VE1404.jpg</t>
  </si>
  <si>
    <t>PHOTO\Emp Photo\VE1407.jpg</t>
  </si>
  <si>
    <t>PHOTO\Emp Photo\VE1412.jpg</t>
  </si>
  <si>
    <t>PHOTO\Emp Photo\VE1419.jpg</t>
  </si>
  <si>
    <t>PHOTO\Emp Photo\VE1421 (2).jpg</t>
  </si>
  <si>
    <t>PHOTO\Emp Photo\VE1428.jpg</t>
  </si>
  <si>
    <t>PHOTO\Emp Photo\VE1429.jpg</t>
  </si>
  <si>
    <t>PHOTO\Emp Photo\VE1431.jpg</t>
  </si>
  <si>
    <t>PHOTO\Emp Photo\VE1432.jpg</t>
  </si>
  <si>
    <t>PHOTO\Emp Photo\VE1436.jpg</t>
  </si>
  <si>
    <t>PHOTO\Emp Photo 1\VE1033.jpg</t>
  </si>
  <si>
    <t>PHOTO\Emp Photo 1\VE1046.jpg</t>
  </si>
  <si>
    <t>PHOTO\Emp Photo 1\VE1065.jpg</t>
  </si>
  <si>
    <t>PHOTO\Emp Photo 1\VE1066.jpg</t>
  </si>
  <si>
    <t>PHOTO\Emp Photo 1\VE1076.jpg</t>
  </si>
  <si>
    <t>PHOTO\Emp Photo 1\VE1078.jpg</t>
  </si>
  <si>
    <t>PHOTO\Emp Photo 1\VE1105.jpg</t>
  </si>
  <si>
    <t>PHOTO\Emp Photo 1\VE1166.jpg</t>
  </si>
  <si>
    <t>PHOTO\Emp Photo 1\VE1173.jpg</t>
  </si>
  <si>
    <t>PHOTO\Emp Photo 1\VE1174.jpg</t>
  </si>
  <si>
    <t>PHOTO\Emp Photo 1\VE1175.jpg</t>
  </si>
  <si>
    <t>PHOTO\Emp Photo 1\VE1205.jpg</t>
  </si>
  <si>
    <t>PHOTO\Emp Photo 1\VE1247.jpg</t>
  </si>
  <si>
    <t>PHOTO\Emp Photo 1\VE1248.jpg</t>
  </si>
  <si>
    <t>PHOTO\Emp Photo 1\VE1249.jpg</t>
  </si>
  <si>
    <t>PHOTO\Emp Photo 1\VE1258.jpg</t>
  </si>
  <si>
    <t>PHOTO\Emp Photo 1\VE1275.jpg</t>
  </si>
  <si>
    <t>PHOTO\Emp Photo 1\VE1282.jpg</t>
  </si>
  <si>
    <t>PHOTO\Emp Photo 1\VE1296.jpg</t>
  </si>
  <si>
    <t>PHOTO\Emp Photo 1\VE1367.jpg</t>
  </si>
  <si>
    <t>PHOTO\Emp Photo 1\VE1368.jpg</t>
  </si>
  <si>
    <t>PHOTO\Emp Photo 1\VE1377.jpg</t>
  </si>
  <si>
    <t>PHOTO\Emp Photo 1\VE1383.jpg</t>
  </si>
  <si>
    <t>PHOTO\Emp Photo 1\VE1390.jpg</t>
  </si>
  <si>
    <t>PHOTO\Emp Photo 1\VE1391.jpg</t>
  </si>
  <si>
    <t>PHOTO\Emp Photo 1\VE1398.jpg</t>
  </si>
  <si>
    <t>PHOTO\Emp Photo 1\VE1400.jpg</t>
  </si>
  <si>
    <t>PHOTO\Emp Photo 1\VE1401.jpg</t>
  </si>
  <si>
    <t>PHOTO\Emp Photo 1\VE1410.jpg</t>
  </si>
  <si>
    <t>PHOTO\Emp Photo 1\VE1425.jpg</t>
  </si>
  <si>
    <t>PHOTO\Emp Photo 1\VE1442.jpg</t>
  </si>
  <si>
    <t>PHOTO\Photos of lab.tech\1034.jpg</t>
  </si>
  <si>
    <t>PHOTO\Photos of lab.tech\1044.jpg</t>
  </si>
  <si>
    <t>PHOTO\Photos of lab.tech\1045.jpg</t>
  </si>
  <si>
    <t>PHOTO\Photos of lab.tech\1074.jpg</t>
  </si>
  <si>
    <t>PHOTO\Photos of lab.tech\1075.jpg</t>
  </si>
  <si>
    <t>PHOTO\Photos of lab.tech\1077.jpg</t>
  </si>
  <si>
    <t>PHOTO\Photos of lab.tech\1082.jpg</t>
  </si>
  <si>
    <t>PHOTO\Photos of lab.tech\1083.jpg</t>
  </si>
  <si>
    <t>PHOTO\Photos of lab.tech\1106.jpg</t>
  </si>
  <si>
    <t>PHOTO\Photos of lab.tech\1107.jpg</t>
  </si>
  <si>
    <t>PHOTO\Photos of lab.tech\1108.jpg</t>
  </si>
  <si>
    <t>PHOTO\Photos of lab.tech\1109.jpg</t>
  </si>
  <si>
    <t>PHOTO\Photos of lab.tech\1132.jpg</t>
  </si>
  <si>
    <t>PHOTO\Photos of lab.tech\1133.jpg</t>
  </si>
  <si>
    <t>PHOTO\Photos of lab.tech\1152.jpg</t>
  </si>
  <si>
    <t>PHOTO\Photos of lab.tech\1221.jpg</t>
  </si>
  <si>
    <t>PHOTO\Photos of lab.tech\1222.jpg</t>
  </si>
  <si>
    <t>PHOTO\Photos of lab.tech\1223.jpg</t>
  </si>
  <si>
    <t>PHOTO\Photos of lab.tech\1252.jpg</t>
  </si>
  <si>
    <t>PHOTO\Photos of lab.tech\1361.jpg</t>
  </si>
  <si>
    <t>PHOTO\Photos of lab.tech\1370.jpg</t>
  </si>
  <si>
    <t>PHOTO\Photos of lab.tech\1409.jpg</t>
  </si>
  <si>
    <t>PHOTO\Photos of lab.tech\1423.jpg</t>
  </si>
  <si>
    <t>PHOTO\DEO\1005.jpg</t>
  </si>
  <si>
    <t>PHOTO\DEO\1035.jpg</t>
  </si>
  <si>
    <t>PHOTO\DEO\1036.jpg</t>
  </si>
  <si>
    <t>PHOTO\DEO\1038.jpg</t>
  </si>
  <si>
    <t>PHOTO\DEO\1043.jpg</t>
  </si>
  <si>
    <t>PHOTO\DEO\1073.jpg</t>
  </si>
  <si>
    <t>PHOTO\DEO\1115.jpg</t>
  </si>
  <si>
    <t>PHOTO\DEO\1116.jpg</t>
  </si>
  <si>
    <t>PHOTO\DEO\1117.jpg</t>
  </si>
  <si>
    <t>PHOTO\DEO\1134.jpg</t>
  </si>
  <si>
    <t>PHOTO\DEO\1177.jpg</t>
  </si>
  <si>
    <t>PHOTO\DEO\1202.jpg</t>
  </si>
  <si>
    <t>PHOTO\DEO\1215.jpg</t>
  </si>
  <si>
    <t>PHOTO\DEO\1224.jpg</t>
  </si>
  <si>
    <t>PHOTO\DEO\1228.jpg</t>
  </si>
  <si>
    <t>PHOTO\DEO\1243.jpg</t>
  </si>
  <si>
    <t>PHOTO\DEO\1422.jpg</t>
  </si>
  <si>
    <t>PHOTO\DEO\1449.jpg</t>
  </si>
  <si>
    <t>PHOTO\DEO\1451.jpg</t>
  </si>
  <si>
    <t>PHOTO\DEO\aanal.jpg</t>
  </si>
  <si>
    <t>PHOTO\DEO\ansari.jpg</t>
  </si>
  <si>
    <t>PHOTO\DEO\bansu jayesh.jpg</t>
  </si>
  <si>
    <t>PHOTO\DEO\bhadresh.jpg</t>
  </si>
  <si>
    <t>PHOTO\DEO\bhambhaniya.jpg</t>
  </si>
  <si>
    <t>PHOTO\DEO\bharti.jpg</t>
  </si>
  <si>
    <t>PHOTO\DEO\bhil rahul.jpg</t>
  </si>
  <si>
    <t>PHOTO\DEO\chanal.jpg</t>
  </si>
  <si>
    <t>PHOTO\DEO\chavda jignesh.jpg</t>
  </si>
  <si>
    <t>PHOTO\DEO\Dixit sweta.jpg</t>
  </si>
  <si>
    <t>PHOTO\DEO\Gohil jaydip.jpg</t>
  </si>
  <si>
    <t>PHOTO\DEO\Harshad parmar.jpg</t>
  </si>
  <si>
    <t>PHOTO\DEO\IMG-20230309-WA0000.jpg</t>
  </si>
  <si>
    <t>PHOTO\DEO\Jinal mak.jpg</t>
  </si>
  <si>
    <t>PHOTO\DEO\kamini.jpg</t>
  </si>
  <si>
    <t>PHOTO\DEO\kanubhai.jpg</t>
  </si>
  <si>
    <t>PHOTO\DEO\kanzariya umesh.jpg</t>
  </si>
  <si>
    <t>PHOTO\DEO\Kapadia nehal.jpg</t>
  </si>
  <si>
    <t>PHOTO\DEO\kepalben.jpg</t>
  </si>
  <si>
    <t>PHOTO\DEO\ladumor kishor.jpg</t>
  </si>
  <si>
    <t>PHOTO\DEO\laxmi.jpg</t>
  </si>
  <si>
    <t>PHOTO\DEO\lekhank.jpg</t>
  </si>
  <si>
    <t>PHOTO\DEO\makwana karan.jpg</t>
  </si>
  <si>
    <t>PHOTO\DEO\makwana shailesh.jpg</t>
  </si>
  <si>
    <t>PHOTO\DEO\Manish patel.jpg</t>
  </si>
  <si>
    <t>PHOTO\DEO\manojkumar sonara.jpg</t>
  </si>
  <si>
    <t>PHOTO\DEO\mansi chavda.jpg</t>
  </si>
  <si>
    <t>PHOTO\DEO\Mehta neha.jpg</t>
  </si>
  <si>
    <t>PHOTO\DEO\nai hasmukh.jpg</t>
  </si>
  <si>
    <t>PHOTO\DEO\nimesh.jpg</t>
  </si>
  <si>
    <t>PHOTO\DEO\parmar minaxi.jpg</t>
  </si>
  <si>
    <t>PHOTO\DEO\parmar priyanka.jpg</t>
  </si>
  <si>
    <t>PHOTO\DEO\prabha.jpg</t>
  </si>
  <si>
    <t>PHOTO\DEO\rashmika parmar.jpg</t>
  </si>
  <si>
    <t>PHOTO\DEO\Rashmika patel.jpg</t>
  </si>
  <si>
    <t>PHOTO\DEO\Rathod jatin.jpg</t>
  </si>
  <si>
    <t>PHOTO\DEO\sandip dave.jpg</t>
  </si>
  <si>
    <t>PHOTO\DEO\Shukla hetal.jpg</t>
  </si>
  <si>
    <t>PHOTO\DEO\solanki jayesh j.jpg</t>
  </si>
  <si>
    <t>PHOTO\DEO\solanki urmila.jpg</t>
  </si>
  <si>
    <t>PHOTO\DEO\Usha panchal.jpg</t>
  </si>
  <si>
    <t>PHOTO\DEO\vasaikar vaishali.jpg</t>
  </si>
  <si>
    <t>PHOTO\DEO\Vijay chau.jpg</t>
  </si>
  <si>
    <t>PHOTO\SN\1014.jpg</t>
  </si>
  <si>
    <t>PHOTO\SN\1040.jpg</t>
  </si>
  <si>
    <t>PHOTO\SN\1053.jpg</t>
  </si>
  <si>
    <t>PHOTO\SN\1058.jpg</t>
  </si>
  <si>
    <t>PHOTO\SN\1059.jpg</t>
  </si>
  <si>
    <t>PHOTO\SN\1061.jpg</t>
  </si>
  <si>
    <t>PHOTO\SN\1089.jpg</t>
  </si>
  <si>
    <t>PHOTO\SN\1094.jpg</t>
  </si>
  <si>
    <t>PHOTO\SN\1095.jpg</t>
  </si>
  <si>
    <t>PHOTO\SN\1096.jpg</t>
  </si>
  <si>
    <t>PHOTO\SN\1098.jpg</t>
  </si>
  <si>
    <t>PHOTO\SN\1100.jpg</t>
  </si>
  <si>
    <t>PHOTO\SN\1122.jpg</t>
  </si>
  <si>
    <t>PHOTO\SN\1130.jpg</t>
  </si>
  <si>
    <t>PHOTO\SN\1139.jpg</t>
  </si>
  <si>
    <t>PHOTO\SN\1154.jpg</t>
  </si>
  <si>
    <t>PHOTO\SN\1169.jpg</t>
  </si>
  <si>
    <t>PHOTO\SN\1179.jpg</t>
  </si>
  <si>
    <t>PHOTO\SN\1209.jpg</t>
  </si>
  <si>
    <t>PHOTO\SN\1213.jpg</t>
  </si>
  <si>
    <t>PHOTO\SN\1214.jpg</t>
  </si>
  <si>
    <t>PHOTO\SN\1226.jpg</t>
  </si>
  <si>
    <t>PHOTO\SN\1232.jpg</t>
  </si>
  <si>
    <t>PHOTO\SN\1233.jpg</t>
  </si>
  <si>
    <t>PHOTO\SN\1263.jpg</t>
  </si>
  <si>
    <t>PHOTO\SN\1264.jpg</t>
  </si>
  <si>
    <t>PHOTO\SN\1270.jpg</t>
  </si>
  <si>
    <t>PHOTO\SN\1299.jpg</t>
  </si>
  <si>
    <t>PHOTO\SN\1306.jpg</t>
  </si>
  <si>
    <t>PHOTO\SN\1309.jpg</t>
  </si>
  <si>
    <t>PHOTO\SN\1312.jpg</t>
  </si>
  <si>
    <t>PHOTO\SN\1328.jpg</t>
  </si>
  <si>
    <t>PHOTO\SN\1332.jpg</t>
  </si>
  <si>
    <t>PHOTO\SN\1341.jpg</t>
  </si>
  <si>
    <t>PHOTO\SN\1362.jpg</t>
  </si>
  <si>
    <t>PHOTO\SN\1366.jpg</t>
  </si>
  <si>
    <t>PHOTO\SN\1406.jpg</t>
  </si>
  <si>
    <t>PHOTO\SN\1408.jpg</t>
  </si>
  <si>
    <t>PHOTO\SN\1416.jpg</t>
  </si>
  <si>
    <t>PHOTO\SN\1417.jpg</t>
  </si>
  <si>
    <t>PHOTO\SN\1424.jpg</t>
  </si>
  <si>
    <t>PHOTO\SN\1426.jpg</t>
  </si>
  <si>
    <t>PHOTO\SN\1427.jpg</t>
  </si>
  <si>
    <t>PHOTO\SN\1430.jpg</t>
  </si>
  <si>
    <t>PHOTO\SN\1445.jpg</t>
  </si>
  <si>
    <t>PHOTO\SN\1446.jpg</t>
  </si>
  <si>
    <t>PHOTO\SN\1447.jpg</t>
  </si>
  <si>
    <t>PHOTO\SN\afrinbanu pinjara.jpg</t>
  </si>
  <si>
    <t>PHOTO\SN\Arpita chri.jpg</t>
  </si>
  <si>
    <t>PHOTO\SN\asari kinjal.jpg</t>
  </si>
  <si>
    <t>PHOTO\SN\bhambhi jigar.jpg</t>
  </si>
  <si>
    <t>PHOTO\SN\Bhatti Divya.jpg</t>
  </si>
  <si>
    <t>PHOTO\SN\bodat trupti.jpg</t>
  </si>
  <si>
    <t>PHOTO\SN\dabhi dipal.jpg</t>
  </si>
  <si>
    <t>PHOTO\SN\damor bhavesh.jpg</t>
  </si>
  <si>
    <t>PHOTO\SN\Dharmishtha chavda.jpg</t>
  </si>
  <si>
    <t>PHOTO\SN\divyakumari.jpg</t>
  </si>
  <si>
    <t>PHOTO\SN\dodiya kesu.jpg</t>
  </si>
  <si>
    <t>PHOTO\SN\Gohel anjali.jpg</t>
  </si>
  <si>
    <t>PHOTO\SN\Gohil Abhishek.jpg</t>
  </si>
  <si>
    <t>PHOTO\SN\gunjal namrata.jpg</t>
  </si>
  <si>
    <t>PHOTO\SN\Hinali patel.jpg</t>
  </si>
  <si>
    <t>PHOTO\SN\Isha solanki.jpg</t>
  </si>
  <si>
    <t>PHOTO\SN\jayesh bajag.jpg</t>
  </si>
  <si>
    <t>PHOTO\SN\jethava kajal.jpg</t>
  </si>
  <si>
    <t>PHOTO\SN\Jyotika bhagora.jpg</t>
  </si>
  <si>
    <t>PHOTO\SN\katara aakash.jpg</t>
  </si>
  <si>
    <t>PHOTO\SN\Katira tejal.jpg</t>
  </si>
  <si>
    <t>PHOTO\SN\khokhariya.jpg</t>
  </si>
  <si>
    <t>PHOTO\SN\Kiran joshi.jpg</t>
  </si>
  <si>
    <t>PHOTO\SN\Kruksha ajmeri.jpg</t>
  </si>
  <si>
    <t>PHOTO\SN\Machar vandna.jpg</t>
  </si>
  <si>
    <t>PHOTO\SN\makwana yashvant.jpg</t>
  </si>
  <si>
    <t>PHOTO\SN\Monika rathod.jpg</t>
  </si>
  <si>
    <t>PHOTO\SN\naginkumar.jpg</t>
  </si>
  <si>
    <t>PHOTO\SN\nirali amal.jpg</t>
  </si>
  <si>
    <t>PHOTO\SN\nirali chaudhary.jpg</t>
  </si>
  <si>
    <t>PHOTO\SN\niruben.jpg</t>
  </si>
  <si>
    <t>PHOTO\SN\paliya.jpg</t>
  </si>
  <si>
    <t>PHOTO\SN\patel divya.jpg</t>
  </si>
  <si>
    <t>PHOTO\SN\patel nidhi.jpg</t>
  </si>
  <si>
    <t>PHOTO\SN\patni aaksh.jpg</t>
  </si>
  <si>
    <t>PHOTO\SN\patni manisha.jpg</t>
  </si>
  <si>
    <t>PHOTO\SN\Pooja Prajapati r.jpg</t>
  </si>
  <si>
    <t>PHOTO\SN\Pooja thakrda.jpg</t>
  </si>
  <si>
    <t>PHOTO\SN\Pratik d.jpg</t>
  </si>
  <si>
    <t>PHOTO\SN\pratiksha ch.jpg</t>
  </si>
  <si>
    <t>PHOTO\SN\Priti nagarde.jpg</t>
  </si>
  <si>
    <t>PHOTO\SN\Priti patel.jpg</t>
  </si>
  <si>
    <t>PHOTO\SN\Priyansh parmar.jpg</t>
  </si>
  <si>
    <t>PHOTO\SN\quency.jpg</t>
  </si>
  <si>
    <t>PHOTO\SN\rajshree sath_1.jpg</t>
  </si>
  <si>
    <t>PHOTO\SN\rajvi khaire.jpg</t>
  </si>
  <si>
    <t>PHOTO\SN\Rama bhai.jpg</t>
  </si>
  <si>
    <t>PHOTO\SN\rathva sona.jpg</t>
  </si>
  <si>
    <t>PHOTO\SN\Raval gopi.jpg</t>
  </si>
  <si>
    <t>PHOTO\SN\Raval pooja.jpg</t>
  </si>
  <si>
    <t>PHOTO\SN\reena rathawa.jpg</t>
  </si>
  <si>
    <t>PHOTO\SN\revabhai.jpg</t>
  </si>
  <si>
    <t>PHOTO\SN\Rina gamit.jpg</t>
  </si>
  <si>
    <t>PHOTO\SN\rupareliya.jpg</t>
  </si>
  <si>
    <t>PHOTO\SN\Sao monika.jpg</t>
  </si>
  <si>
    <t>PHOTO\SN\Sheetal gamit.jpg</t>
  </si>
  <si>
    <t>PHOTO\SN\Sonal garasiya.jpg</t>
  </si>
  <si>
    <t>PHOTO\SN\stavan.jpg</t>
  </si>
  <si>
    <t>PHOTO\SN\sumera aarti.jpg</t>
  </si>
  <si>
    <t>PHOTO\SN\sumera bhavesh.jpg</t>
  </si>
  <si>
    <t>PHOTO\SN\tarbundiya.jpg</t>
  </si>
  <si>
    <t>PHOTO\SN\tinakl patni.jpg</t>
  </si>
  <si>
    <t>PHOTO\SN\twinkle yadavv.jpg</t>
  </si>
  <si>
    <t>PHOTO\SN\Urmila paradiya.jpg</t>
  </si>
  <si>
    <t>PHOTO\SN\urvashi baria.jpg</t>
  </si>
  <si>
    <t>PHOTO\SN\Vijay joshi.jpg</t>
  </si>
  <si>
    <t>PHOTO\SN\vinu prjapati.jpg</t>
  </si>
  <si>
    <t>PHOTO\SN\zala hiral.jpg</t>
  </si>
  <si>
    <t>PHOTO\All pic\1002.jpg</t>
  </si>
  <si>
    <t>PHOTO\All pic\1013.jpg</t>
  </si>
  <si>
    <t>PHOTO\All pic\1047.jpg</t>
  </si>
  <si>
    <t>PHOTO\All pic\1048.jpg</t>
  </si>
  <si>
    <t>PHOTO\All pic\1049.jpg</t>
  </si>
  <si>
    <t>PHOTO\All pic\1050.jpg</t>
  </si>
  <si>
    <t>PHOTO\All pic\1052.jpg</t>
  </si>
  <si>
    <t>PHOTO\All pic\1084.jpg</t>
  </si>
  <si>
    <t>PHOTO\All pic\1085.jpg</t>
  </si>
  <si>
    <t>PHOTO\All pic\1086.jpg</t>
  </si>
  <si>
    <t>PHOTO\All pic\1114.jpg</t>
  </si>
  <si>
    <t>PHOTO\All pic\1135.jpg</t>
  </si>
  <si>
    <t>PHOTO\All pic\1145.jpg</t>
  </si>
  <si>
    <t>PHOTO\All pic\1153.jpg</t>
  </si>
  <si>
    <t>PHOTO\All pic\1159.jpg</t>
  </si>
  <si>
    <t>PHOTO\All pic\1160.jpg</t>
  </si>
  <si>
    <t>PHOTO\All pic\1161.jpg</t>
  </si>
  <si>
    <t>PHOTO\All pic\1162.jpg</t>
  </si>
  <si>
    <t>PHOTO\All pic\1165.jpg</t>
  </si>
  <si>
    <t>PHOTO\All pic\1171.jpg</t>
  </si>
  <si>
    <t>PHOTO\All pic\1251.jpg</t>
  </si>
  <si>
    <t>PHOTO\All pic\1269.jpg</t>
  </si>
  <si>
    <t>PHOTO\All pic\1281.jpg</t>
  </si>
  <si>
    <t>PHOTO\All pic\1283.jpg</t>
  </si>
  <si>
    <t>PHOTO\All pic\1295.jpg</t>
  </si>
  <si>
    <t>PHOTO\All pic\1358.jpg</t>
  </si>
  <si>
    <t>PHOTO\All pic\1360.jpg</t>
  </si>
  <si>
    <t>PHOTO\All pic\1418.jpg</t>
  </si>
  <si>
    <t>PHOTO\All pic\1438.jpg</t>
  </si>
  <si>
    <t>PHOTO\All pic\1440.jpg</t>
  </si>
  <si>
    <t>PHOTO\All pic\1443.jpg</t>
  </si>
  <si>
    <t>PHOTO\All pic\1450.jpg</t>
  </si>
  <si>
    <t>PHOTO\All pic\1452.jpg</t>
  </si>
  <si>
    <t>PHOTO\IMG-20230320-WA0008.jpg</t>
  </si>
  <si>
    <t>PHOTO\SN2\1055.jpg</t>
  </si>
  <si>
    <t>PHOTO\SN2\1070.jpg</t>
  </si>
  <si>
    <t>PHOTO\SN2\1090.jpg</t>
  </si>
  <si>
    <t>PHOTO\SN2\1101.jpg</t>
  </si>
  <si>
    <t>PHOTO\SN2\1102.jpg</t>
  </si>
  <si>
    <t>PHOTO\SN2\1119.jpg</t>
  </si>
  <si>
    <t>PHOTO\SN2\1124.jpg</t>
  </si>
  <si>
    <t>PHOTO\SN2\1142.jpg</t>
  </si>
  <si>
    <t>PHOTO\SN2\1143.jpg</t>
  </si>
  <si>
    <t>PHOTO\SN2\1151.jpg</t>
  </si>
  <si>
    <t>PHOTO\SN2\1188.jpg</t>
  </si>
  <si>
    <t>PHOTO\SN2\1190.jpg</t>
  </si>
  <si>
    <t>PHOTO\SN2\1191.jpg</t>
  </si>
  <si>
    <t>PHOTO\SN2\1194.jpg</t>
  </si>
  <si>
    <t>PHOTO\SN2\1207.jpg</t>
  </si>
  <si>
    <t>PHOTO\SN2\1208.jpg</t>
  </si>
  <si>
    <t>PHOTO\SN2\1210.jpg</t>
  </si>
  <si>
    <t>PHOTO\SN2\1217.jpg</t>
  </si>
  <si>
    <t>PHOTO\SN2\1219.jpg</t>
  </si>
  <si>
    <t>PHOTO\SN2\1231.jpg</t>
  </si>
  <si>
    <t>PHOTO\SN2\1234.jpg</t>
  </si>
  <si>
    <t>PHOTO\SN2\1237.jpg</t>
  </si>
  <si>
    <t>PHOTO\SN2\1238.jpg</t>
  </si>
  <si>
    <t>PHOTO\SN2\1256.jpg</t>
  </si>
  <si>
    <t>PHOTO\SN2\1260.jpg</t>
  </si>
  <si>
    <t>PHOTO\SN2\1267.jpg</t>
  </si>
  <si>
    <t>PHOTO\SN2\1272.jpg</t>
  </si>
  <si>
    <t>PHOTO\SN2\1297.jpg</t>
  </si>
  <si>
    <t>PHOTO\SN2\1298.jpg</t>
  </si>
  <si>
    <t>PHOTO\SN2\1320.jpg</t>
  </si>
  <si>
    <t>PHOTO\SN2\1325.jpg</t>
  </si>
  <si>
    <t>PHOTO\SN2\1329.jpg</t>
  </si>
  <si>
    <t>PHOTO\SN2\1350.jpg</t>
  </si>
  <si>
    <t>PHOTO\SN2\1415.jpg</t>
  </si>
  <si>
    <t>PHOTO\SN2\1433.jpg</t>
  </si>
  <si>
    <t>PHOTO\SN2\1434.jpg</t>
  </si>
  <si>
    <t>PHOTO\SN2\1435.jpg</t>
  </si>
  <si>
    <t>PHOTO\SN2\1439.jpg</t>
  </si>
  <si>
    <t>PHOTO\SN2\1441.jpg</t>
  </si>
  <si>
    <t>PHOTO\SN2\1444.jpg</t>
  </si>
  <si>
    <t>PHOTO\SN2\1448.jpg</t>
  </si>
  <si>
    <t>PHOTO\1411.jpg</t>
  </si>
  <si>
    <t>PHOTO\1420.jpg</t>
  </si>
  <si>
    <t>PHOTO\DEO\1029.jpg</t>
  </si>
  <si>
    <t>PHOTO\1200.jpg</t>
  </si>
  <si>
    <t>PHOTO\1351.jpg</t>
  </si>
  <si>
    <t>VE1453</t>
  </si>
  <si>
    <t>PATNI SONALBEN ASHOKBHAI</t>
  </si>
  <si>
    <t>9913174652 9157374652</t>
  </si>
  <si>
    <t>714243600637</t>
  </si>
  <si>
    <t>32505071652</t>
  </si>
  <si>
    <t>54/1277, GHB COLONY, MEGHANINAGAR LAST BUS STOP, AHMEDABAD-380016</t>
  </si>
  <si>
    <t>VE1454</t>
  </si>
  <si>
    <t>GOHEL NAYANA NARANBHAI</t>
  </si>
  <si>
    <t>NAYANA NARANBHAI GOHEL</t>
  </si>
  <si>
    <t>NAYANABEN</t>
  </si>
  <si>
    <t>B.SC, B.ED, XRAY TECH.</t>
  </si>
  <si>
    <t>DHWPG1861H</t>
  </si>
  <si>
    <t>694818374192</t>
  </si>
  <si>
    <t>916010028935246</t>
  </si>
  <si>
    <t>VE1455</t>
  </si>
  <si>
    <t>KULDEEP ASHOKBHAI VADIYA</t>
  </si>
  <si>
    <t>VADIYA</t>
  </si>
  <si>
    <t>KULDEEP</t>
  </si>
  <si>
    <t>9327430416 8980080303</t>
  </si>
  <si>
    <t>CBPPV7318L</t>
  </si>
  <si>
    <t>243063219993</t>
  </si>
  <si>
    <t>40052693449</t>
  </si>
  <si>
    <t>VE1456</t>
  </si>
  <si>
    <t>TANDON PURVIRAJ RAJNIKANT</t>
  </si>
  <si>
    <t>TANDON</t>
  </si>
  <si>
    <t>PURVIRAJ</t>
  </si>
  <si>
    <t>RAJNIKANT</t>
  </si>
  <si>
    <t>SSC, ITI</t>
  </si>
  <si>
    <t>9484545427 7043720756</t>
  </si>
  <si>
    <t>618314283080</t>
  </si>
  <si>
    <t>353502010513823</t>
  </si>
  <si>
    <t>F/409, NEW LAXMI NAGAR, GHODA CAMP ROAD, B/H  RAKSHA SHAKTI UNIVERSITY, ASARWA, A'BAD-380016</t>
  </si>
  <si>
    <t>VE1457</t>
  </si>
  <si>
    <t>PARMAR DHAVAL MULJIBHAI</t>
  </si>
  <si>
    <t>CWJPP5758F</t>
  </si>
  <si>
    <t>455173324988</t>
  </si>
  <si>
    <t>4513401347</t>
  </si>
  <si>
    <t>197/A, MAHARANA PRATAP TENAMENT, NR. CHANDOLA LAKE, ISANPUR, A'BAD-382443</t>
  </si>
  <si>
    <t>VE1458</t>
  </si>
  <si>
    <t>THAKOR RAJDIP RAMESHBHAI</t>
  </si>
  <si>
    <t>8160009660 9376949712</t>
  </si>
  <si>
    <t>BXAPT1332E</t>
  </si>
  <si>
    <t>271241738203</t>
  </si>
  <si>
    <t>40863022854</t>
  </si>
  <si>
    <t>BHAICHANDPURA, POPATLAL NI CHALI, GIRDHARNAGAR GATE NO. 2, A'BAD-3800004</t>
  </si>
  <si>
    <t>VE1459</t>
  </si>
  <si>
    <t>MAKWANA NARENDRA KANTIBHAI</t>
  </si>
  <si>
    <t>MAKWANA NARENDRABHAI</t>
  </si>
  <si>
    <t>9898217883 6901650602</t>
  </si>
  <si>
    <t>CXGPM5934A</t>
  </si>
  <si>
    <t>902118837718</t>
  </si>
  <si>
    <t>33/255, GUJARAT HOUSING BOARD, ROHIDAS BUS STAND, KALAPINAGAR, AHMEDABAD-380016</t>
  </si>
  <si>
    <t>VE1460</t>
  </si>
  <si>
    <t>PARMAR  JAGRUTIBEN BACHUBHAI</t>
  </si>
  <si>
    <t>PARMAR  JAGRUTI BACHUBHAI</t>
  </si>
  <si>
    <t>JAGRUTI</t>
  </si>
  <si>
    <t>BACHUBHAI</t>
  </si>
  <si>
    <t>PGDMLT, BSC, MSC</t>
  </si>
  <si>
    <t>9586529329 9925214683</t>
  </si>
  <si>
    <t>GCLPP8358D</t>
  </si>
  <si>
    <t>327891256489</t>
  </si>
  <si>
    <t>RAJSITAPUR, SURENDRA NAGAR, GUJARAT-363320</t>
  </si>
  <si>
    <t>VE1461</t>
  </si>
  <si>
    <t>SONAL MAGANBHAI PARMAR</t>
  </si>
  <si>
    <t>SONAL</t>
  </si>
  <si>
    <t>9725868179 9574588346</t>
  </si>
  <si>
    <t>FZHPP5028N</t>
  </si>
  <si>
    <t>850599385715</t>
  </si>
  <si>
    <t>03300100033493</t>
  </si>
  <si>
    <t>464/34, MANUBHAI CHAWL, GIRDHARNAGAR, SHANTIPURA, AHMEDABAD-16</t>
  </si>
  <si>
    <t>VE1462</t>
  </si>
  <si>
    <t>PATOLIYA AMISHABEN ASHVINBHAI</t>
  </si>
  <si>
    <t>PATOLIYA</t>
  </si>
  <si>
    <t>AMISHABEN</t>
  </si>
  <si>
    <t>MLT, BSC</t>
  </si>
  <si>
    <t>251063423127</t>
  </si>
  <si>
    <t>20409204923</t>
  </si>
  <si>
    <t>SBIN0060250</t>
  </si>
  <si>
    <t>INDIA COLONY, BAPUNAGAR, AHMEDABAD</t>
  </si>
  <si>
    <t>VE1463</t>
  </si>
  <si>
    <t>SHRIMALI JIGNESHKUMAR KISHORBHAI</t>
  </si>
  <si>
    <t xml:space="preserve">SHRIMALI JIGNESHKUMAR </t>
  </si>
  <si>
    <t>SHRIMALI</t>
  </si>
  <si>
    <t>NCLPS0432L</t>
  </si>
  <si>
    <t>972915811800</t>
  </si>
  <si>
    <t>6908491777</t>
  </si>
  <si>
    <t>IDIB000K315</t>
  </si>
  <si>
    <t>42, CHANDRALOK SOCIETY, RAILWAY PURV, KALOL, GANDHINAGAR, GUJARAT-382721</t>
  </si>
  <si>
    <t>VE1464</t>
  </si>
  <si>
    <t>KAKADIYA BANSEE JITENDRABHAI</t>
  </si>
  <si>
    <t>KAKADIYA</t>
  </si>
  <si>
    <t>BANSEE</t>
  </si>
  <si>
    <t>6355240028 9081275215</t>
  </si>
  <si>
    <t>296581136809</t>
  </si>
  <si>
    <t>93750100004819</t>
  </si>
  <si>
    <t>BARB0DBDRAJ</t>
  </si>
  <si>
    <t>PANCHVATI PARK, SERI NO. 4, NIKOL, AHMEDABAD</t>
  </si>
  <si>
    <t>NEAR CHORA, UMARALI,  RAJKOT, GUJARAT-360311</t>
  </si>
  <si>
    <t>VE1465</t>
  </si>
  <si>
    <t>PARMAR BHARGAVI ARVINDBHAI</t>
  </si>
  <si>
    <t>BHARGAVI</t>
  </si>
  <si>
    <t>7046463498 9904241231</t>
  </si>
  <si>
    <t>ERBPP0135F</t>
  </si>
  <si>
    <t>602326236994</t>
  </si>
  <si>
    <t>202510510014276</t>
  </si>
  <si>
    <t>12/19, CHHIPA NI CHALI, SWAMINARAYAN SCHOOL, GOMTIPUR, AHMEDABAD-380021</t>
  </si>
  <si>
    <t>PHOTO\All pic\1453.jpg</t>
  </si>
  <si>
    <t>PHOTO\All pic\1454.jpg</t>
  </si>
  <si>
    <t>PHOTO\All pic\1455.jpg</t>
  </si>
  <si>
    <t>PHOTO\All pic\1456.jpg</t>
  </si>
  <si>
    <t>PHOTO\All pic\1457.jpg</t>
  </si>
  <si>
    <t>PHOTO\All pic\1458.jpg</t>
  </si>
  <si>
    <t>PHOTO\All pic\1459.jpg</t>
  </si>
  <si>
    <t>PHOTO\All pic\1461.jpg</t>
  </si>
  <si>
    <t>PHOTO\All pic\1462.jpg</t>
  </si>
  <si>
    <t>PHOTO\All pic\1463.jpg</t>
  </si>
  <si>
    <t>PHOTO\1402.jpg</t>
  </si>
  <si>
    <t>PHOTO\1464 (1).jpg</t>
  </si>
  <si>
    <t>PHOTO\1465 (1).jpg</t>
  </si>
  <si>
    <t>PHOTO\1104.jpg</t>
  </si>
  <si>
    <t>PHOTO\1289.jpg</t>
  </si>
  <si>
    <t>PHOTO\Photos of lab.tech\1010.jpg</t>
  </si>
  <si>
    <t>VE1293</t>
  </si>
  <si>
    <t>PAREKH  KRUTI VISHALKUMAR</t>
  </si>
  <si>
    <t>KRUTI</t>
  </si>
  <si>
    <t>GAWPS9839B</t>
  </si>
  <si>
    <t>794473712804</t>
  </si>
  <si>
    <t>31455399630</t>
  </si>
  <si>
    <t>SBIN0003044</t>
  </si>
  <si>
    <t>565/3535, GUJARAT HOUSING BOARD, OPP POLICE STATION, NEW BAPUNAGAR, AHMEDAABAD-380024</t>
  </si>
  <si>
    <t>VE1466</t>
  </si>
  <si>
    <t>JADA AFZAL MOHAMADHUSENBHAI</t>
  </si>
  <si>
    <t>JADA AFZAL MOHAMADHUSEN</t>
  </si>
  <si>
    <t>JADA</t>
  </si>
  <si>
    <t>AFZAL</t>
  </si>
  <si>
    <t>MOHAMADHUSEN</t>
  </si>
  <si>
    <t>B.SC, DMLT</t>
  </si>
  <si>
    <t>9924394571 7069722348</t>
  </si>
  <si>
    <t>CIUPJ1371H</t>
  </si>
  <si>
    <t>326537304766</t>
  </si>
  <si>
    <t>923010002483024</t>
  </si>
  <si>
    <t>UTIB0000032</t>
  </si>
  <si>
    <t>DINBAI TOWER, LAL DARWAJA, AHMEDABAD</t>
  </si>
  <si>
    <t>129, AREA TO THE NOLI RIVER, HUSENABAD, JUNAGADH, GUJARAT-362235</t>
  </si>
  <si>
    <t>VE1467</t>
  </si>
  <si>
    <t>PRAJAPATI GUNJANKUMAR HARISHBHAI</t>
  </si>
  <si>
    <t>GUNJANKUMAR</t>
  </si>
  <si>
    <t>HARISHBHAI</t>
  </si>
  <si>
    <t>FXQPP7964C</t>
  </si>
  <si>
    <t>230878640904</t>
  </si>
  <si>
    <t>03300100036706</t>
  </si>
  <si>
    <t>42, DHABAR NAGAR, ASARWA, AHMEDABAD-380016</t>
  </si>
  <si>
    <t>PRAJAPATI VAS, ARODA, SABARKANTHA, GUJARAT-383110</t>
  </si>
  <si>
    <t>VE1468</t>
  </si>
  <si>
    <t>PARMAR FALGUNI CHANDRAKANT</t>
  </si>
  <si>
    <t>CHANDRAKANT</t>
  </si>
  <si>
    <t>9714058934 9328530991</t>
  </si>
  <si>
    <t>EXJPP6557F</t>
  </si>
  <si>
    <t>3713959545</t>
  </si>
  <si>
    <t>796049293969</t>
  </si>
  <si>
    <t>41829352399</t>
  </si>
  <si>
    <t>187, JOGESHWARI SOCIETY, MEGHANINAGAR, ASARWA, AHMEDABAD-380016</t>
  </si>
  <si>
    <t>VE1469</t>
  </si>
  <si>
    <t>KHUSHI VINODKUMAR PARMAR</t>
  </si>
  <si>
    <t>KHUSHI</t>
  </si>
  <si>
    <t>FXLPP1011B</t>
  </si>
  <si>
    <t>932584494935</t>
  </si>
  <si>
    <t>13650100020165</t>
  </si>
  <si>
    <t>BARB0JAWANP</t>
  </si>
  <si>
    <t>154, VIJAYNAGAR SOCIETY, IDAR, B/H MAHILA COLLEGE, IDAR, SABARKANTHA, GUJARAT-383430</t>
  </si>
  <si>
    <t>VE1470</t>
  </si>
  <si>
    <t>PARMAR ANKITABEN GANPATBHAI</t>
  </si>
  <si>
    <t>PARMAR ANKITABEN</t>
  </si>
  <si>
    <t>ANKITABEN</t>
  </si>
  <si>
    <t>580444523538</t>
  </si>
  <si>
    <t>35190100005634</t>
  </si>
  <si>
    <t>BARB0KATHWA</t>
  </si>
  <si>
    <t>VE1471</t>
  </si>
  <si>
    <t>VAGHELA MAYURSINH HARISINH</t>
  </si>
  <si>
    <t>MAYURSINH</t>
  </si>
  <si>
    <t>HARISINH</t>
  </si>
  <si>
    <t>GYNPM1698R</t>
  </si>
  <si>
    <t>467315805599</t>
  </si>
  <si>
    <t>731902010002364</t>
  </si>
  <si>
    <t>UBIN0573191</t>
  </si>
  <si>
    <t>138, SHAHIBAG SOCIETY, MOHANCINEMA, ASARWA, AHMEDABAD-380016</t>
  </si>
  <si>
    <t>VE1472</t>
  </si>
  <si>
    <t>VARMA NILAKSHIDEVI SANTOSHKUMAR</t>
  </si>
  <si>
    <t>VARMA NILAKSHIDEVI</t>
  </si>
  <si>
    <t>VARMA</t>
  </si>
  <si>
    <t>NILAKSHIDEVI</t>
  </si>
  <si>
    <t>SANTOSHKUMAR</t>
  </si>
  <si>
    <t>6353031502 9978537238</t>
  </si>
  <si>
    <t>BOUPV3073D</t>
  </si>
  <si>
    <t>468888168965</t>
  </si>
  <si>
    <t>75840100000066</t>
  </si>
  <si>
    <t>190/40, CHANAJI NI CHALI, B/H SHARDA SCHOOL, KALAPINAGAR, ASARWA, AHMEDABAD-380016</t>
  </si>
  <si>
    <t>muskanvarma2001@gmail.com</t>
  </si>
  <si>
    <t>VE1473</t>
  </si>
  <si>
    <t>MAKWANA REENA MUKESHBHAI</t>
  </si>
  <si>
    <t>MAKWANA REENA</t>
  </si>
  <si>
    <t>REENA</t>
  </si>
  <si>
    <t>I.T.I, B.COM</t>
  </si>
  <si>
    <t>9662662873 9714986843</t>
  </si>
  <si>
    <t>FTNPM5173H</t>
  </si>
  <si>
    <t>322014081617</t>
  </si>
  <si>
    <t>32497841564</t>
  </si>
  <si>
    <t>RATNA POPAT NI CHALI, B/H HIMMAT NAGAR SOCIETY, KALAPINAGAR, AHMEDABAD-380016</t>
  </si>
  <si>
    <t>makwanareena1996@gmail.com</t>
  </si>
  <si>
    <t>VE1474</t>
  </si>
  <si>
    <t>HIRANI URVISHA CHANDUBHAI</t>
  </si>
  <si>
    <t>HIRANI</t>
  </si>
  <si>
    <t>URVISHA</t>
  </si>
  <si>
    <t>CCJPC9676F</t>
  </si>
  <si>
    <t>321061048161</t>
  </si>
  <si>
    <t>38500160179</t>
  </si>
  <si>
    <t>11, GANESH TENAMENT, NEW NARODA, NIKOL, AHMEDABAD</t>
  </si>
  <si>
    <t>OPP. PATELVADI, GOKULPARA, BAGASARA, AMRELI, GUJARAT-365440</t>
  </si>
  <si>
    <t>urvisha1411@gmail.com</t>
  </si>
  <si>
    <t>VE1475</t>
  </si>
  <si>
    <t>NEZRETH ALEX MAHESHBHAI</t>
  </si>
  <si>
    <t>NEZRETH</t>
  </si>
  <si>
    <t>9824741864 9327610346</t>
  </si>
  <si>
    <t>FUHPM0303J</t>
  </si>
  <si>
    <t>252132440034</t>
  </si>
  <si>
    <t>38942314493</t>
  </si>
  <si>
    <t>SBIN0000287</t>
  </si>
  <si>
    <t>KHRISTI FALIYU, RASULPUR THASRA, KHEDA, GUJARAT-388250</t>
  </si>
  <si>
    <t>nezretha@gmail.com</t>
  </si>
  <si>
    <t>VE1476</t>
  </si>
  <si>
    <t>CHRISTIAN ANN AJAY</t>
  </si>
  <si>
    <t xml:space="preserve">CHRISTIAN ANN </t>
  </si>
  <si>
    <t>ANN</t>
  </si>
  <si>
    <t>AJAY</t>
  </si>
  <si>
    <t>7435892295 9825284007</t>
  </si>
  <si>
    <t>101875878878</t>
  </si>
  <si>
    <t>985723018713</t>
  </si>
  <si>
    <t>0964000102033967</t>
  </si>
  <si>
    <t>PUNB0096400</t>
  </si>
  <si>
    <t>14/A, SHURBHI APPARTMENT, ALIM PARK, NR. PNB MANINAGAR EAST, AHMEDABAD-380008</t>
  </si>
  <si>
    <t>ann.christian111@gmail.com</t>
  </si>
  <si>
    <t>VE1477</t>
  </si>
  <si>
    <t>SHAIKH ALFINA IQBAL HUSAIN</t>
  </si>
  <si>
    <t xml:space="preserve">SHAIKH ALFINABANU </t>
  </si>
  <si>
    <t>ALFINA</t>
  </si>
  <si>
    <t>IQBAL HUSAIN</t>
  </si>
  <si>
    <t>DWSPA7088H</t>
  </si>
  <si>
    <t>584254399380</t>
  </si>
  <si>
    <t>202110510002652</t>
  </si>
  <si>
    <t>359, MINKHAL NI CHALI, NR. DADIBIBI MASJID, JAMALPUR, AHMEDABAD-380001</t>
  </si>
  <si>
    <t>VE1478</t>
  </si>
  <si>
    <t>PATEL SURABHIBEN SURESHBHAI</t>
  </si>
  <si>
    <t>SURABHIBEN</t>
  </si>
  <si>
    <t>B.SC, CMLT</t>
  </si>
  <si>
    <t>7434909006 9429122038</t>
  </si>
  <si>
    <t>EVIPP0325N</t>
  </si>
  <si>
    <t>472510440856</t>
  </si>
  <si>
    <t>37920718705</t>
  </si>
  <si>
    <t>SBIN0000443</t>
  </si>
  <si>
    <t>ASARWA, AHMEDABAD-380016</t>
  </si>
  <si>
    <t>SHERI NO.12, JUNA LAXMIPURA, PALANPUR, BANASKANTHA, GUJARAT-385001</t>
  </si>
  <si>
    <t>patelsurabhi16.8@gmail.com</t>
  </si>
  <si>
    <t>VE1479</t>
  </si>
  <si>
    <t>DAMANI SONAL PIYIUSHBHAI</t>
  </si>
  <si>
    <t>DAMANI</t>
  </si>
  <si>
    <t>6351761888 9265505077</t>
  </si>
  <si>
    <t>348206917154</t>
  </si>
  <si>
    <t>38760053273</t>
  </si>
  <si>
    <t>SBIN0060136</t>
  </si>
  <si>
    <t>24, NEW PRABHU NAGAR SOCIETY, ASARWA, AHMEDABAD-380016</t>
  </si>
  <si>
    <t>GAJANAND CHOWK, DHASAGAM, BHAVNAGAR, GUJARAT-364730</t>
  </si>
  <si>
    <t>sonaldamani1@gmail.com</t>
  </si>
  <si>
    <t>VE1480</t>
  </si>
  <si>
    <t>SHEIKH NASIBABANU IQBALBHAI</t>
  </si>
  <si>
    <t>SHEIKH</t>
  </si>
  <si>
    <t>NASIBABANU</t>
  </si>
  <si>
    <t>IQBALBHAI</t>
  </si>
  <si>
    <t>9316060526 7859949506</t>
  </si>
  <si>
    <t>661218772075</t>
  </si>
  <si>
    <t>33067718544</t>
  </si>
  <si>
    <t>SBIN0002637</t>
  </si>
  <si>
    <t>GHANCHIVADA, VIRPUR, KHEDA, GUJARAT-388260</t>
  </si>
  <si>
    <t>nasibasheikh@gmail.com</t>
  </si>
  <si>
    <t>VE1481</t>
  </si>
  <si>
    <t>KARIYANI MAMTA RAMESHBHAI</t>
  </si>
  <si>
    <t>KARIYANI</t>
  </si>
  <si>
    <t>9016401712 9316060526</t>
  </si>
  <si>
    <t>934011090591</t>
  </si>
  <si>
    <t>38760053488</t>
  </si>
  <si>
    <t>GEB SAME JALALPUR, DHASA GAM, BHAVNAGAR, GUJARAT-364730</t>
  </si>
  <si>
    <t>mamtakariyani535@gmail.com</t>
  </si>
  <si>
    <t>VE1482</t>
  </si>
  <si>
    <t>DHUNDHALAVA MITAL KHATABHAI</t>
  </si>
  <si>
    <t>DHUNDHALAVA</t>
  </si>
  <si>
    <t>KHATABHAI</t>
  </si>
  <si>
    <t>NDAPK6036G</t>
  </si>
  <si>
    <t>289805276495</t>
  </si>
  <si>
    <t>203718210000146</t>
  </si>
  <si>
    <t>BKID0002037</t>
  </si>
  <si>
    <t>PRABHUNAGAR, ASARWA, AHMEDABAD-380016</t>
  </si>
  <si>
    <t>89, PRABHAT NAGAR, MAHUVA, BHAVNAGAR, GUJARAT-364290</t>
  </si>
  <si>
    <t>mitaldhundhalava@gmail.com</t>
  </si>
  <si>
    <t>VE1483</t>
  </si>
  <si>
    <t>MEVADA RIDDHIBEN PRAVINBHAI</t>
  </si>
  <si>
    <t>MEVADA</t>
  </si>
  <si>
    <t>9428867071 9825966006</t>
  </si>
  <si>
    <t>FGNPM6398P</t>
  </si>
  <si>
    <t>479812331411</t>
  </si>
  <si>
    <t>203710110007803</t>
  </si>
  <si>
    <t>B1, ALFA RAW HOUSE, DHANJIBHAI NO KUVO, CHANDLODIYA, AHMEDABAD</t>
  </si>
  <si>
    <t>SUTHAR VAS, VESA, BANASKANTHA, GUJARAT-385421</t>
  </si>
  <si>
    <t>riddhi01m@gmail.com</t>
  </si>
  <si>
    <t>VE1484</t>
  </si>
  <si>
    <t>RATHOD SUMANBA SURAJSINH</t>
  </si>
  <si>
    <t>RATHOD SUMANBA</t>
  </si>
  <si>
    <t>SUMANBA</t>
  </si>
  <si>
    <t>SURAJSINH</t>
  </si>
  <si>
    <t>B.SC,PGDMLT</t>
  </si>
  <si>
    <t>6353368590 7203036450</t>
  </si>
  <si>
    <t>392489489541</t>
  </si>
  <si>
    <t>35930612778</t>
  </si>
  <si>
    <t>SBIN0060462</t>
  </si>
  <si>
    <t>NAVAPURA GAAM, SARKHEJ, AHMEDABAD.</t>
  </si>
  <si>
    <t>MOYAD NATHAJI, SABRKANTHA, GUJARAT-383120</t>
  </si>
  <si>
    <t>rathodsumanba@gmail.com</t>
  </si>
  <si>
    <t>VE1485</t>
  </si>
  <si>
    <t>SENJALIYA BANSI SHAILESHBHAI</t>
  </si>
  <si>
    <t>SENJALIYA</t>
  </si>
  <si>
    <t>BANSI</t>
  </si>
  <si>
    <t>6354096260 9909313114</t>
  </si>
  <si>
    <t>PZJPS8708G</t>
  </si>
  <si>
    <t>703523383417</t>
  </si>
  <si>
    <t>41216268823</t>
  </si>
  <si>
    <t>SBIN0060074</t>
  </si>
  <si>
    <t>KARMA BHUMI SOCIETY, NIKOL, AHMEDABAD</t>
  </si>
  <si>
    <t>KHARACHIYA, JETPUR, RAJKOT</t>
  </si>
  <si>
    <t>senjaliyabansi@gmail.com</t>
  </si>
  <si>
    <t>VE1486</t>
  </si>
  <si>
    <t>CHAUDHARY BHANI RAMJIBHAI</t>
  </si>
  <si>
    <t>BHANIBEN RAMJIBHAI CHAUDHARY</t>
  </si>
  <si>
    <t>BHANIBEN</t>
  </si>
  <si>
    <t>902729284663</t>
  </si>
  <si>
    <t>38835803101</t>
  </si>
  <si>
    <t>SBIN0001205</t>
  </si>
  <si>
    <t>UMIYANAGAR, AHMEDABAD-380016</t>
  </si>
  <si>
    <t>KANDALI VAS, MADKA, BANASKANTHA, GUJARAT-385575</t>
  </si>
  <si>
    <t>bhanichaudhary721@gmail.com</t>
  </si>
  <si>
    <t>VE1487</t>
  </si>
  <si>
    <t>VATALIYA  HEENABEN ASHVINKUMAR</t>
  </si>
  <si>
    <t>VATALIYA</t>
  </si>
  <si>
    <t>HEENABEN</t>
  </si>
  <si>
    <t>B.SC, M.SC</t>
  </si>
  <si>
    <t>9662980237 9824681908</t>
  </si>
  <si>
    <t>BLQPG7050N</t>
  </si>
  <si>
    <t>739791005769</t>
  </si>
  <si>
    <t>52060100000816</t>
  </si>
  <si>
    <t>20,  PUSHKAR BUNGLOW, NIKOL, NARODA RD., AHMEDABAD</t>
  </si>
  <si>
    <t>VE1488</t>
  </si>
  <si>
    <t>PARMAR VAIBHAVKUMAR DASHARATHBHAI</t>
  </si>
  <si>
    <t>VAIBHAVKUMAR</t>
  </si>
  <si>
    <t>DASHRATHBHAI</t>
  </si>
  <si>
    <t>M.A</t>
  </si>
  <si>
    <t>9327451499 9624042346</t>
  </si>
  <si>
    <t>ENAPP6704F</t>
  </si>
  <si>
    <t>970860106224</t>
  </si>
  <si>
    <t>03210100031480</t>
  </si>
  <si>
    <t>119/1, VASUDEVPURA BHILWAS, CIVIL HOSPITAL, ASARWA, AHMEDABAD-380016</t>
  </si>
  <si>
    <t>vaibhavkumarp9@gmail.com</t>
  </si>
  <si>
    <t>VE1489</t>
  </si>
  <si>
    <t>GOHIL PRIYABEN BHAVSINHBHAI</t>
  </si>
  <si>
    <t>PRIYA BHAVSINHBHAI GOHIL</t>
  </si>
  <si>
    <t>BHAVSINHBHAI</t>
  </si>
  <si>
    <t>8980621600 7016419981</t>
  </si>
  <si>
    <t>DPAPG6619P</t>
  </si>
  <si>
    <t>502908164144</t>
  </si>
  <si>
    <t>95780100001299</t>
  </si>
  <si>
    <t>BARB0DBALID</t>
  </si>
  <si>
    <t>PRABHUNAGAR,SHAHIBAUG SOCIETY, AHMEDABAD-380016</t>
  </si>
  <si>
    <t>MAIN MARKET, AALIDAR, JUNAGADH, GUJARAT-362720</t>
  </si>
  <si>
    <t>priyagohil838@gmail.com</t>
  </si>
  <si>
    <t>VE1490</t>
  </si>
  <si>
    <t>GAL VAISHALI MERAMANBHAI</t>
  </si>
  <si>
    <t>GAL</t>
  </si>
  <si>
    <t>MERAMANBHAI</t>
  </si>
  <si>
    <t>7016419981 8980621600</t>
  </si>
  <si>
    <t>786669533656</t>
  </si>
  <si>
    <t>312610510001317</t>
  </si>
  <si>
    <t>BKID0003126</t>
  </si>
  <si>
    <t>SARADIYA, JUNAGADH, GUJARAT-362620</t>
  </si>
  <si>
    <t>vaishaligal2000@gmail.com</t>
  </si>
  <si>
    <t>VE1491</t>
  </si>
  <si>
    <t>PARMAR SHAILESHBHAI LALJIBHAI</t>
  </si>
  <si>
    <t>PARMAR SAILESHBHAI</t>
  </si>
  <si>
    <t>SAILESHBHAI</t>
  </si>
  <si>
    <t>LALJIBHAI</t>
  </si>
  <si>
    <t>6351205331 8200417189</t>
  </si>
  <si>
    <t>EXNPP3913D</t>
  </si>
  <si>
    <t>410310357253</t>
  </si>
  <si>
    <t>922010022020004</t>
  </si>
  <si>
    <t>UTIB0003372</t>
  </si>
  <si>
    <t>SAHIBAUG SOCIETY, ASARWA, AHMEDABAD-380016</t>
  </si>
  <si>
    <t>RAILWAY  STATION, RAS.RAS, ANAND, GUJARAT-388750</t>
  </si>
  <si>
    <t>parmarshailesh1542@gmail.com</t>
  </si>
  <si>
    <t>VE1492</t>
  </si>
  <si>
    <t>PATHAN FASILKHAN IQBALKHAN</t>
  </si>
  <si>
    <t xml:space="preserve">PATHAN FASILKHAN </t>
  </si>
  <si>
    <t>PATHAN</t>
  </si>
  <si>
    <t>FASILKHAN</t>
  </si>
  <si>
    <t>IQBALKHAN</t>
  </si>
  <si>
    <t>6351859004 8780848614</t>
  </si>
  <si>
    <t>952766928227</t>
  </si>
  <si>
    <t>31506516511</t>
  </si>
  <si>
    <t>SBIN0001698</t>
  </si>
  <si>
    <t>2048/5, PUNJALAL CHAWLS, RAIKHAND, AHMEDABAD.</t>
  </si>
  <si>
    <t>VE1493</t>
  </si>
  <si>
    <t>RATHOD SANJAYKUMAR</t>
  </si>
  <si>
    <t>RAMILABEN</t>
  </si>
  <si>
    <t>MOTHER</t>
  </si>
  <si>
    <t>7984073790 9537233482</t>
  </si>
  <si>
    <t>DNEPR0847E</t>
  </si>
  <si>
    <t>733048335154</t>
  </si>
  <si>
    <t>03210100026854</t>
  </si>
  <si>
    <t>102/38, CHIMANLAL MAHASUKHRAM NI CHALI, CHAMANPURA, ASARWA, AHMEDABAD-380016</t>
  </si>
  <si>
    <t>rathodsanjay4567@gmail.com</t>
  </si>
  <si>
    <t>VE1494</t>
  </si>
  <si>
    <t>RANGREJ SALTANAT  ABDULSATTAR</t>
  </si>
  <si>
    <t>RANGREJ SALTANAT</t>
  </si>
  <si>
    <t>RANGREJ</t>
  </si>
  <si>
    <t>SALTANAT</t>
  </si>
  <si>
    <t>ABDULSATTAR</t>
  </si>
  <si>
    <t>9157593272 9998158619</t>
  </si>
  <si>
    <t>FMSPR2733G</t>
  </si>
  <si>
    <t>788397375867</t>
  </si>
  <si>
    <t>201210510001975</t>
  </si>
  <si>
    <t>645,NEW FAISALNAGAR, BOMBAY HOTEL, NAROL ROAD, AHMEDABAD-380028</t>
  </si>
  <si>
    <t>PHOTO\1466.jpg</t>
  </si>
  <si>
    <t>PHOTO\1468.jpg</t>
  </si>
  <si>
    <t>PHOTO\1469.jpg</t>
  </si>
  <si>
    <t>PHOTO\1470.jpg</t>
  </si>
  <si>
    <t>PHOTO\VE1471.jpg</t>
  </si>
  <si>
    <t>PHOTO\VE1472.jpg</t>
  </si>
  <si>
    <t>PHOTO\VE1473.jpg</t>
  </si>
  <si>
    <t>PHOTO\VE1474.jpg</t>
  </si>
  <si>
    <t>PHOTO\VE1476.jpg</t>
  </si>
  <si>
    <t>PHOTO\VE1477.jpg</t>
  </si>
  <si>
    <t>PHOTO\VE1478.jpg</t>
  </si>
  <si>
    <t>PHOTO\VE1479.jpg</t>
  </si>
  <si>
    <t>PHOTO\VE1480.jpg</t>
  </si>
  <si>
    <t>PHOTO\VE1481.jpg</t>
  </si>
  <si>
    <t>PHOTO\VE1482.jpg</t>
  </si>
  <si>
    <t>PHOTO\VE1483.jpg</t>
  </si>
  <si>
    <t>PHOTO\VE1484.jpg</t>
  </si>
  <si>
    <t>PHOTO\VE1485.jpg</t>
  </si>
  <si>
    <t>PHOTO\VE1486.jpg</t>
  </si>
  <si>
    <t>PHOTO\VE1487.jpg</t>
  </si>
  <si>
    <t>PHOTO\VE1488.jpg</t>
  </si>
  <si>
    <t>PHOTO\VE1489.jpg</t>
  </si>
  <si>
    <t>PHOTO\VE1490.jpg</t>
  </si>
  <si>
    <t>PHOTO\VE1491.jpg</t>
  </si>
  <si>
    <t>PHOTO\VE1493.jpg</t>
  </si>
  <si>
    <t>PHOTO\VE1241.jpg</t>
  </si>
  <si>
    <t>PHOTO\VE1225.jpg</t>
  </si>
  <si>
    <t>PHOTO\VE1293.jpg</t>
  </si>
  <si>
    <t>PHOTO\VE1492.jpg</t>
  </si>
  <si>
    <t>PHOTO\VE1494.jpg</t>
  </si>
  <si>
    <t>VE1266</t>
  </si>
  <si>
    <t xml:space="preserve">CHAUDHRY CHIRAG </t>
  </si>
  <si>
    <t>CHAUDHRY</t>
  </si>
  <si>
    <t>CHIRAG</t>
  </si>
  <si>
    <t>9925799661 6353606045</t>
  </si>
  <si>
    <t>3714586111</t>
  </si>
  <si>
    <t>290830971177</t>
  </si>
  <si>
    <t>20341469453</t>
  </si>
  <si>
    <t>SBIN0001294</t>
  </si>
  <si>
    <t>SINDHI COLONY, DUNGARABHIT, LUNAWADA, PANCHMAHALS, GUJARAT-389230</t>
  </si>
  <si>
    <t>PHOTO\VE1266.jpg</t>
  </si>
  <si>
    <t>PHOTO\VE1460.jpg</t>
  </si>
  <si>
    <t>LEFT-RELIVER</t>
  </si>
  <si>
    <t>PHOTO\VE1307.jpg</t>
  </si>
  <si>
    <t>PHOTO\VE1336.jpg</t>
  </si>
  <si>
    <t>PHOTO\VE1475.jpg</t>
  </si>
  <si>
    <t>101407133395</t>
  </si>
  <si>
    <t xml:space="preserve">101681762260 </t>
  </si>
  <si>
    <t>3714608898</t>
  </si>
  <si>
    <t>3714349891</t>
  </si>
  <si>
    <t>3714391862</t>
  </si>
  <si>
    <t>3714638266</t>
  </si>
  <si>
    <t>3714194891</t>
  </si>
  <si>
    <t>3323517409</t>
  </si>
  <si>
    <t>6679513790</t>
  </si>
  <si>
    <t>IDIB000N165</t>
  </si>
  <si>
    <t>SBIN0000458</t>
  </si>
  <si>
    <t>BARB0SURJIN</t>
  </si>
  <si>
    <t>PHOTO\VE1308.jpg</t>
  </si>
  <si>
    <t>EMAIL ID</t>
  </si>
  <si>
    <t>ASST. HOSP. ADMINISTRATOR</t>
  </si>
  <si>
    <t>VE1495</t>
  </si>
  <si>
    <t>DODIYA HEMANGIBEN MANISHBHAI</t>
  </si>
  <si>
    <t>HEMANGIBEN</t>
  </si>
  <si>
    <t>MANISHBHAI</t>
  </si>
  <si>
    <t>266803252545</t>
  </si>
  <si>
    <t>38879514696</t>
  </si>
  <si>
    <t>SBIN0011021</t>
  </si>
  <si>
    <t>RAJULA ROAD, V.D. NAGDIYA PASE, VIJAPADI, AMRELI, SAVAR KUNDLA, GUJARAT-364530</t>
  </si>
  <si>
    <t>hemangidodiya13@gmail.com</t>
  </si>
  <si>
    <t>VE1496</t>
  </si>
  <si>
    <t>MER KAJAL SURESHBHAI</t>
  </si>
  <si>
    <t>MER KAJALBEN SURESHBHAI</t>
  </si>
  <si>
    <t>MER</t>
  </si>
  <si>
    <t>9316635954 6351015922</t>
  </si>
  <si>
    <t>554940905293</t>
  </si>
  <si>
    <t>444202010005360</t>
  </si>
  <si>
    <t>UBIN0544426</t>
  </si>
  <si>
    <t>MADAVA ROAD, DHORA VISTAR, KAMLAPUR, RAJKOT, GUJARAT-3600025</t>
  </si>
  <si>
    <t>merkajal455@gmail.com</t>
  </si>
  <si>
    <t>VE1497</t>
  </si>
  <si>
    <t>GOSWAMI PURVI</t>
  </si>
  <si>
    <t>GOSWAMI PURVI SHAILESHBHAI</t>
  </si>
  <si>
    <t>PURVI</t>
  </si>
  <si>
    <t>EDDPG7833K</t>
  </si>
  <si>
    <t>617969157632</t>
  </si>
  <si>
    <t>BHAVNA SOCIETY, B-1, GAYTRI  MANDIR ROAD, SAVAR KUNDLA,  AMRELI, GUJARAT-364515</t>
  </si>
  <si>
    <t>purvigosai18@gmail.com</t>
  </si>
  <si>
    <t>VE1498</t>
  </si>
  <si>
    <t>MORI GRISHMA GOVINDBHAI</t>
  </si>
  <si>
    <t>GRISHMA</t>
  </si>
  <si>
    <t>9904175850 9824549638</t>
  </si>
  <si>
    <t>IBKPM8553D</t>
  </si>
  <si>
    <t>430275872796</t>
  </si>
  <si>
    <t>33011204689</t>
  </si>
  <si>
    <t>SBIN0003335</t>
  </si>
  <si>
    <t>PURV BARADI, SUTRAPADA, GIR SOMNATH, GUJARAT-362275</t>
  </si>
  <si>
    <t>grishmamori971@gmail.com</t>
  </si>
  <si>
    <t>VE1499</t>
  </si>
  <si>
    <t>KALSARIYA HETALBEN NARSINHBHAI</t>
  </si>
  <si>
    <t>KALSARIYA</t>
  </si>
  <si>
    <t>HETALBEN</t>
  </si>
  <si>
    <t>NFFPK5411G</t>
  </si>
  <si>
    <t>218920655296</t>
  </si>
  <si>
    <t>32249775434</t>
  </si>
  <si>
    <t>SBIN0060264</t>
  </si>
  <si>
    <t>PALOT VISTAR PASE, BARBATANA, AMRELI, GUJARAT-365560</t>
  </si>
  <si>
    <t>hetalahir965@gmail.com</t>
  </si>
  <si>
    <t>VE1500</t>
  </si>
  <si>
    <t>VAGHELA JAGRUTI ARVINDBHAI</t>
  </si>
  <si>
    <t>JAGRUTIBEN VAGHELA</t>
  </si>
  <si>
    <t>311334647785</t>
  </si>
  <si>
    <t>03100100006548</t>
  </si>
  <si>
    <t>UTTAR GUJARAT SOCIETY GATE NO. 3, AHMEDABAD</t>
  </si>
  <si>
    <t>HARIJANVAS, AMOD, ANAND, GUJARAT-388160</t>
  </si>
  <si>
    <t>VE1501</t>
  </si>
  <si>
    <t>KAMALIYA BHAGVATIBEN RAHABHAI</t>
  </si>
  <si>
    <t>KAMALIYA</t>
  </si>
  <si>
    <t>BHAGVATIBEN</t>
  </si>
  <si>
    <t>RAHABHAI</t>
  </si>
  <si>
    <t>212987407333</t>
  </si>
  <si>
    <t>6834609679</t>
  </si>
  <si>
    <t>IDIB000S154</t>
  </si>
  <si>
    <t>VADI VISTAR, BHAGUDA, BHAVNAGAR, MOTI JAGDHAR, GUJARAT-364295</t>
  </si>
  <si>
    <t>brkamliyakamliya@gmail.com</t>
  </si>
  <si>
    <t>VE1502</t>
  </si>
  <si>
    <t>NILAMBEN PASHABHAI RATHOD</t>
  </si>
  <si>
    <t>NILAMBEN</t>
  </si>
  <si>
    <t>PASHABHAI</t>
  </si>
  <si>
    <t>FBYPR3430R</t>
  </si>
  <si>
    <t>268308304673</t>
  </si>
  <si>
    <t>20151511402</t>
  </si>
  <si>
    <t>SBIN0000381</t>
  </si>
  <si>
    <t>A-1/41, GREEN PARK SOCIETY-3, PRANTIJ, SABARKANTHA, GUJARAT-383205</t>
  </si>
  <si>
    <t>12 PAAS, ECG TECH COURSE</t>
  </si>
  <si>
    <t>12TH PASS, CCTV OPERATOR COURSE</t>
  </si>
  <si>
    <t>GRADUATE</t>
  </si>
  <si>
    <t>GRADUATE, GRAPHIC ARTIST COURSE</t>
  </si>
  <si>
    <t>PHOTO\VE1496.jpg</t>
  </si>
  <si>
    <t>PHOTO\VE1497.jpg</t>
  </si>
  <si>
    <t>PHOTO\VE1498.jpg</t>
  </si>
  <si>
    <t>PHOTO\VE1499.jpg</t>
  </si>
  <si>
    <t>VE3014</t>
  </si>
  <si>
    <t>VE3015</t>
  </si>
  <si>
    <t>GAURAV SHARMA</t>
  </si>
  <si>
    <t>SHARMA</t>
  </si>
  <si>
    <t>GAURAV</t>
  </si>
  <si>
    <t>PRANVESH</t>
  </si>
  <si>
    <t>DIP. RADIO. THERAPY TECH</t>
  </si>
  <si>
    <t>259683174111</t>
  </si>
  <si>
    <t>2039001500005620</t>
  </si>
  <si>
    <t>PUNB0203900</t>
  </si>
  <si>
    <t>240 DHARMPUR DEBAI BULANDSHAHR UTTARPRADESH 202393</t>
  </si>
  <si>
    <t>VE3016</t>
  </si>
  <si>
    <t>JOSHI USHMA</t>
  </si>
  <si>
    <t>USHMA</t>
  </si>
  <si>
    <t>SHYAMBHAI</t>
  </si>
  <si>
    <t>CGJPJ5520P</t>
  </si>
  <si>
    <t>885944556063</t>
  </si>
  <si>
    <t>SHRAM MANDIR, SINHDHROT, VADODARA 391330</t>
  </si>
  <si>
    <t>PHOTO\3002.jpg</t>
  </si>
  <si>
    <t>PHOTO\3006.jpg</t>
  </si>
  <si>
    <t>PHOTO\3008..jpg</t>
  </si>
  <si>
    <t>PHOTO\3009.jpg</t>
  </si>
  <si>
    <t>PHOTO\3010.jpg</t>
  </si>
  <si>
    <t>PHOTO\3011- bhavnagar.jpg</t>
  </si>
  <si>
    <t>PHOTO\3012.jpg</t>
  </si>
  <si>
    <t>PHOTO\3013.jpg</t>
  </si>
  <si>
    <t>PHOTO\3014.jpg</t>
  </si>
  <si>
    <t>PHOTO\3016.jpg</t>
  </si>
  <si>
    <t>VE2019</t>
  </si>
  <si>
    <t>KUBAVAT VAIBHAV RAMESHBHAI</t>
  </si>
  <si>
    <t>KUBAVAT</t>
  </si>
  <si>
    <t>VAIBHAV</t>
  </si>
  <si>
    <t xml:space="preserve"> RAMESHBHAI</t>
  </si>
  <si>
    <t>BACHLOR IN BIOMEDICAL ENGINEERING</t>
  </si>
  <si>
    <t>9638696326
8200802955</t>
  </si>
  <si>
    <t>101934598265</t>
  </si>
  <si>
    <t>DTSPK6274G</t>
  </si>
  <si>
    <t>334168559504</t>
  </si>
  <si>
    <t>NAVAL NAGAR-9, DR. BHATTI STREET, MALDHARI CHOWK, MAVDI, RAJKOT-360004</t>
  </si>
  <si>
    <t>PHOTO\3003.jpg</t>
  </si>
  <si>
    <t>PHOTO\3004.jpg</t>
  </si>
  <si>
    <t>PHOTO\3007.jpg</t>
  </si>
  <si>
    <t>PHOTO\2013.jpg</t>
  </si>
  <si>
    <t>PHOTO\2004.jpg</t>
  </si>
  <si>
    <t>PHOTO\2006.jpg</t>
  </si>
  <si>
    <t>PHOTO\2003.jpg</t>
  </si>
  <si>
    <t>PHOTO\2016.jpg</t>
  </si>
  <si>
    <t>PHOTO\2014.jpg</t>
  </si>
  <si>
    <t>PHOTO\2015.jpg</t>
  </si>
  <si>
    <t>PHOTO\2005.jpg</t>
  </si>
  <si>
    <t>PHOTO\2007.jpg</t>
  </si>
  <si>
    <t>PHOTO\2008.jpg</t>
  </si>
  <si>
    <t>PHOTO\2009.jpg</t>
  </si>
  <si>
    <t>PHOTO\2010.jpg</t>
  </si>
  <si>
    <t>PHOTO\2012.jpg</t>
  </si>
  <si>
    <t>PHOTO\2011.jpg</t>
  </si>
  <si>
    <t>PHOTO\2017.jpg</t>
  </si>
  <si>
    <t>PHOTO\4006.jpg</t>
  </si>
  <si>
    <t>PHOTO\4013.jpg</t>
  </si>
  <si>
    <t>PHOTO\4012.jpg</t>
  </si>
  <si>
    <t>PHOTO\4009.jpg</t>
  </si>
  <si>
    <t>PHOTO\4002.jpg</t>
  </si>
  <si>
    <t>PHOTO\4010.jpg</t>
  </si>
  <si>
    <t>PHOTO\4003.jpg</t>
  </si>
  <si>
    <t>PHOTO\4004.jpg</t>
  </si>
  <si>
    <t>PHOTO\4008.jpg</t>
  </si>
  <si>
    <t>PHOTO\4014.jpg</t>
  </si>
  <si>
    <t>PHOTO\4001.jpg</t>
  </si>
  <si>
    <t>PHOTO\4007.jpg</t>
  </si>
  <si>
    <t>PHOTO\4005.jpg</t>
  </si>
  <si>
    <t>PHOTO\4011.jpg</t>
  </si>
  <si>
    <t>PHOTO\4015.jpg</t>
  </si>
  <si>
    <t>VE4016</t>
  </si>
  <si>
    <t>PHOTO\2002.jpg</t>
  </si>
  <si>
    <t>PHOTO\2019.jpg</t>
  </si>
  <si>
    <t>PHOTO\3005.jpg</t>
  </si>
  <si>
    <t>PHOTO\4017.jpg</t>
  </si>
  <si>
    <t>904682238342</t>
  </si>
  <si>
    <t>PHOTO\VE1495.jpg</t>
  </si>
  <si>
    <t>VE1334</t>
  </si>
  <si>
    <t>GOSAI TANVIBEN MANHARGIRI</t>
  </si>
  <si>
    <t>GOSAI TANVIBEN</t>
  </si>
  <si>
    <t>GOSAI</t>
  </si>
  <si>
    <t>TANVIBEN</t>
  </si>
  <si>
    <t>MANHARGIRI</t>
  </si>
  <si>
    <t>9714490274 9875216972</t>
  </si>
  <si>
    <t>BXTPT0498Q</t>
  </si>
  <si>
    <t>33034926674</t>
  </si>
  <si>
    <t>A/16, SHREE BHAGVATI NAGAR SOCIETY, SURELIYA ROAD, CTM, AHMEDABAD-380026</t>
  </si>
  <si>
    <t>601471335598</t>
  </si>
  <si>
    <t>181, SOMGARNA MUVADA, VERAMA, MAHISAGAR, GUJARAT-389220</t>
  </si>
  <si>
    <t>manhargiri.7325@gmail.com</t>
  </si>
  <si>
    <r>
      <t> </t>
    </r>
    <r>
      <rPr>
        <b/>
        <sz val="11"/>
        <color rgb="FF008000"/>
        <rFont val="Arial"/>
        <family val="2"/>
      </rPr>
      <t>372352301143</t>
    </r>
  </si>
  <si>
    <t>VE1503</t>
  </si>
  <si>
    <t>VAGHELA VIDHI ASHISH</t>
  </si>
  <si>
    <t>VIDHI</t>
  </si>
  <si>
    <t>ASHISH</t>
  </si>
  <si>
    <t>7874412388 9924455077</t>
  </si>
  <si>
    <t>FWQPD3430J</t>
  </si>
  <si>
    <t>569459984399</t>
  </si>
  <si>
    <t>33173114744</t>
  </si>
  <si>
    <t>3, MARUTINANDAN RO-HOUSE, NEW RANIP, AHMEDABAD</t>
  </si>
  <si>
    <t>A/58,  SURYAKETU SOCIETY, NEHRU CHOKDI, DEHGAM, GANDHINAHGAR-382305</t>
  </si>
  <si>
    <t>vidhidarji19@gmail.com</t>
  </si>
  <si>
    <t>VE1504</t>
  </si>
  <si>
    <t>MALAVIYA DEVANSHUBHAI KIRANBHAI</t>
  </si>
  <si>
    <t>DEVANSHUBHAI</t>
  </si>
  <si>
    <t>KIRANBHAI</t>
  </si>
  <si>
    <t>9879828179 8160755842</t>
  </si>
  <si>
    <t>679626830540</t>
  </si>
  <si>
    <t>BARB0DBTORD</t>
  </si>
  <si>
    <t>RAMPURI, BHILODA, ARVALLI, GUJARAT-383246</t>
  </si>
  <si>
    <t>devanshumalaviya02@gmail.com</t>
  </si>
  <si>
    <t>VE1505</t>
  </si>
  <si>
    <t>DEVARIYA ARTI HEMRAJBHAI</t>
  </si>
  <si>
    <t>DEVARIYA</t>
  </si>
  <si>
    <t>HEMRAJBHAI</t>
  </si>
  <si>
    <t>ECEPA4881D</t>
  </si>
  <si>
    <t>785510608682</t>
  </si>
  <si>
    <t>KAILASH NAGAR, ASARWA, AHMEDABAD-380016</t>
  </si>
  <si>
    <t>KUNDANPUR, KERU, KUTCHH</t>
  </si>
  <si>
    <t>devariyaartidevariyaarti@gmail.com</t>
  </si>
  <si>
    <t>VE1507</t>
  </si>
  <si>
    <t>GAREJA HEENA BABUBHAI</t>
  </si>
  <si>
    <t>GAREJA</t>
  </si>
  <si>
    <t>236833913002</t>
  </si>
  <si>
    <t>270718210000570</t>
  </si>
  <si>
    <t>BKID0002707</t>
  </si>
  <si>
    <t>16, MOHANKAKA CHALI, NR.MATAVADI, L.H ROAD SCHOOL, SURAT, GUJARAT</t>
  </si>
  <si>
    <t>garejahina@gmail.com</t>
  </si>
  <si>
    <t>VE1506</t>
  </si>
  <si>
    <t>TRIVEDI MAITRI NITINBHAI</t>
  </si>
  <si>
    <t>TRIVEDI MAITRI</t>
  </si>
  <si>
    <t>TRIVEDI</t>
  </si>
  <si>
    <t>MAITRI</t>
  </si>
  <si>
    <t>BHMS</t>
  </si>
  <si>
    <t>H.A.M</t>
  </si>
  <si>
    <t>902241369763</t>
  </si>
  <si>
    <t>maitritrivedi95@gmail.com</t>
  </si>
  <si>
    <t>4822108000662</t>
  </si>
  <si>
    <t>NOT AVAILABLE</t>
  </si>
  <si>
    <t>CNRB0004822</t>
  </si>
  <si>
    <t>VE1508</t>
  </si>
  <si>
    <t>VE1509</t>
  </si>
  <si>
    <t>VE1510</t>
  </si>
  <si>
    <t xml:space="preserve">SADADIYA NIRAL RAMESHBHAI </t>
  </si>
  <si>
    <t>SADADIYA NIRAL</t>
  </si>
  <si>
    <t>SADADIYA</t>
  </si>
  <si>
    <t>NIRAL</t>
  </si>
  <si>
    <t>9773067493 6353171185</t>
  </si>
  <si>
    <t>945837126290</t>
  </si>
  <si>
    <t>6834321161</t>
  </si>
  <si>
    <t>BALIYA LIMDI CROSS ROAD, ASARWA, AHMEDABAD-380016</t>
  </si>
  <si>
    <t>JASDAN, HADMATIYA, KHANDA, RAJKOT, GUJARAT-360050</t>
  </si>
  <si>
    <t>niralrameshbhai@gmail.com</t>
  </si>
  <si>
    <t>PATNI URMI VIJAYBHAI</t>
  </si>
  <si>
    <t>PATNI URMI</t>
  </si>
  <si>
    <t>URMI</t>
  </si>
  <si>
    <t>9372171835 7046581791</t>
  </si>
  <si>
    <t>FFQPP7813Q</t>
  </si>
  <si>
    <t>878755756628</t>
  </si>
  <si>
    <t>B-9, MOHANNAGAR  SOCIETY, KADMESHVAR, HANUMAN MANDIR, ASARVA, AHMEDABAD</t>
  </si>
  <si>
    <t>pataniurmi1517@gmail.com</t>
  </si>
  <si>
    <t>SOLANKI KALPESH HARGOVINDBHAI</t>
  </si>
  <si>
    <t>KALPESH</t>
  </si>
  <si>
    <t>341032209179</t>
  </si>
  <si>
    <t>36840386070</t>
  </si>
  <si>
    <t>45, JANTANAGAR, B/H. NEW CIVIL HOSPITAL, CAMP ROAD SHAHIBAG, AHMEDABAD-380004</t>
  </si>
  <si>
    <t>kalpeshsolanki0511@gmail.com</t>
  </si>
  <si>
    <t>VE1511</t>
  </si>
  <si>
    <t>BALAT TANHABEN RAMESHBHAI</t>
  </si>
  <si>
    <t>TANHABEN</t>
  </si>
  <si>
    <t>GSMPB7711M</t>
  </si>
  <si>
    <t>845805765147</t>
  </si>
  <si>
    <t>79360100005065</t>
  </si>
  <si>
    <t>BARB0DBBPAL</t>
  </si>
  <si>
    <t>VILLAGE, POST- BILADIYA, SABARKANTHA, GUJARAT-383462</t>
  </si>
  <si>
    <t>VE1512</t>
  </si>
  <si>
    <t>PANDYA  VAIDEHI SANJIVKUMAR</t>
  </si>
  <si>
    <t>PANDYA VAIDEHI</t>
  </si>
  <si>
    <t>VAIDEHI</t>
  </si>
  <si>
    <t>SANJIVKUMAR</t>
  </si>
  <si>
    <t>8141518936 9909970173</t>
  </si>
  <si>
    <t>DLYPP4974E</t>
  </si>
  <si>
    <t>347836708930</t>
  </si>
  <si>
    <t>177101502319</t>
  </si>
  <si>
    <t>ICIC0001771</t>
  </si>
  <si>
    <t>A-10, VRAJBHUMI TENAMENT PART-2, OPP JETHABHAI VAV, ISANPUR,  AHMEDABAD-382443</t>
  </si>
  <si>
    <t>pandyavaidehi1998@gmail.com</t>
  </si>
  <si>
    <t>VE1513</t>
  </si>
  <si>
    <t>FALAKNAAZ</t>
  </si>
  <si>
    <t>9586632504 7990264067</t>
  </si>
  <si>
    <t>658844199098</t>
  </si>
  <si>
    <t>48,  MOHANLAL NI JUNI CHALI, GOMTIPUR, AHMEDABAD.</t>
  </si>
  <si>
    <t>falaks895@gmail.com</t>
  </si>
  <si>
    <t>KEYUR</t>
  </si>
  <si>
    <t>VE1514</t>
  </si>
  <si>
    <t>BHAVESH MUKESHBHAI HADIYAL</t>
  </si>
  <si>
    <t>HADIYAL</t>
  </si>
  <si>
    <t>7096046478 6351356434</t>
  </si>
  <si>
    <t>BLJPH0741J</t>
  </si>
  <si>
    <t>315568930059</t>
  </si>
  <si>
    <t>201610110014566</t>
  </si>
  <si>
    <t>SHREE SHAKTINAGAR LINE NO. 5, MEMCO, AHMEDABAD-382345</t>
  </si>
  <si>
    <t>23/550, SONARIYA BLOCK, BAPUNAGAR, AHMEDABAD.</t>
  </si>
  <si>
    <t>bhaveshhadiyal420@gmail.com</t>
  </si>
  <si>
    <t>VE1515</t>
  </si>
  <si>
    <t>VE1516</t>
  </si>
  <si>
    <t>VE1517</t>
  </si>
  <si>
    <t>VE1518</t>
  </si>
  <si>
    <t>PATEL DIVYESHKUMAR ISHVARBHAI</t>
  </si>
  <si>
    <t>DIVYESHKUMAR ISHVARBHAI PATEL</t>
  </si>
  <si>
    <t>DIVYESHKUMAR</t>
  </si>
  <si>
    <t>B.A, M.A, STENO</t>
  </si>
  <si>
    <t>STENOGRAPHER</t>
  </si>
  <si>
    <t>8980600709 8200571751</t>
  </si>
  <si>
    <t>BWZPP0810M</t>
  </si>
  <si>
    <t>3713336818</t>
  </si>
  <si>
    <t>903143285972</t>
  </si>
  <si>
    <t>G-284/6, SECTOR-9, GANDHINAGAR.</t>
  </si>
  <si>
    <t>48-A, UTTAMVIHAR SOCIETY, KABILPORE, NAVSARI.</t>
  </si>
  <si>
    <t>dev6383@gmail.com</t>
  </si>
  <si>
    <t>35044042258</t>
  </si>
  <si>
    <t>RAJPUT YASHPALSINGH NARPATSINGH</t>
  </si>
  <si>
    <t>YASHPALSINGH</t>
  </si>
  <si>
    <t>NARPATSINGH</t>
  </si>
  <si>
    <t>451525938042</t>
  </si>
  <si>
    <t>43158100000984</t>
  </si>
  <si>
    <t>200, INDIRANAGAR PART-2, HEMCHANDRACHARNAGAR NO 1 TO 555, LAMBHA-8 DASKROI, VATVA, AHMEDABAD</t>
  </si>
  <si>
    <t>ryashpalsingh80@gmail.com</t>
  </si>
  <si>
    <t>MEGHANATHI NEHAL RAMGAR</t>
  </si>
  <si>
    <t>MEGHANATHI</t>
  </si>
  <si>
    <t>RAMGAR</t>
  </si>
  <si>
    <t>6354005098 6354754536</t>
  </si>
  <si>
    <t>GKCPR3910L</t>
  </si>
  <si>
    <t>408553040422</t>
  </si>
  <si>
    <t>20346038920</t>
  </si>
  <si>
    <t>SBIN0060164</t>
  </si>
  <si>
    <t>PLOT  120, SWASTIK PARK, NAVAPARA, CHHAYA, PORBANDAR, GUJARAT-360575</t>
  </si>
  <si>
    <t>VE1519</t>
  </si>
  <si>
    <t>VAGHELA HARSHA GIRISHBHAI</t>
  </si>
  <si>
    <t>HARSHA</t>
  </si>
  <si>
    <t>8160441797 7600174751</t>
  </si>
  <si>
    <t>EDZPG6504B</t>
  </si>
  <si>
    <t>350094091419</t>
  </si>
  <si>
    <t>35325115812</t>
  </si>
  <si>
    <t>SBIN0013759</t>
  </si>
  <si>
    <t>65, MAKWANA NI CHALI, SORABAJI COMPOUND, JUNA VADAJ, AHMEDABAD-380013</t>
  </si>
  <si>
    <t>harshavaghela308@gmail.com</t>
  </si>
  <si>
    <t xml:space="preserve">GUPTA AMISHA </t>
  </si>
  <si>
    <t>JAYPRAKASH</t>
  </si>
  <si>
    <t>396260746420</t>
  </si>
  <si>
    <t>38759741740</t>
  </si>
  <si>
    <t>EWS-4, RASPAN CHAR RASTA, NIKOL,AHMEDABAD-382350</t>
  </si>
  <si>
    <t>amishagupta673@gmail.com</t>
  </si>
  <si>
    <t>VE1520</t>
  </si>
  <si>
    <t>RATHOD HETAL ARJANBHAI</t>
  </si>
  <si>
    <t>RATHOD HETAL</t>
  </si>
  <si>
    <t>ARJANBHAI</t>
  </si>
  <si>
    <t>9316062424 6353427826</t>
  </si>
  <si>
    <t>533116830570</t>
  </si>
  <si>
    <t>38722492503</t>
  </si>
  <si>
    <t>SBIN0060170</t>
  </si>
  <si>
    <t>GOKULNAGAR-4, UDYOGNAGAR, JAMNAGAR, GUJARAT-361004</t>
  </si>
  <si>
    <t>PRABHUNAGAR, SAHIBAAG SOCIETY, AHMEDABAD-380016</t>
  </si>
  <si>
    <t>VE1521</t>
  </si>
  <si>
    <t>HADIYEL TEJASKUMAR DILIPBHAI</t>
  </si>
  <si>
    <t>HADIYEL</t>
  </si>
  <si>
    <t>TEJASKUMAR</t>
  </si>
  <si>
    <t>DILIPBHAI</t>
  </si>
  <si>
    <t>AYFPH9743Q</t>
  </si>
  <si>
    <t>493557590583</t>
  </si>
  <si>
    <t>110092328794</t>
  </si>
  <si>
    <t>SHAKTINAGAR, NR GUPTA DERI SAGAR DESAI CHAWL, NARODA ROAD, AHMEDABAD-382345</t>
  </si>
  <si>
    <t>tejashadiyel1652@gmail.com</t>
  </si>
  <si>
    <t>VE1522</t>
  </si>
  <si>
    <t>BIPIN NATVARLAL KANZARIYA</t>
  </si>
  <si>
    <t>KANZARIYA BIPIN NATVARLAL</t>
  </si>
  <si>
    <t>BIPIN</t>
  </si>
  <si>
    <t>7698959760 9429244753</t>
  </si>
  <si>
    <t>ERGPK9909H</t>
  </si>
  <si>
    <t>449583262191</t>
  </si>
  <si>
    <t>KHADIYAPARA, B/H, OLD POLICE STATION, LIMBDI, SURENDRANAGAR, GUJARAT-363421</t>
  </si>
  <si>
    <t>kanzariyabipin5@gmail.com</t>
  </si>
  <si>
    <t>SHAIKH FALAKNAAZ QUTUBUDDIN</t>
  </si>
  <si>
    <t>FALAKNAAZ QUTUBUDDIN SHAIKH</t>
  </si>
  <si>
    <t>QUTUBUDDIN</t>
  </si>
  <si>
    <t>313002010526767</t>
  </si>
  <si>
    <t>UBIN0531308</t>
  </si>
  <si>
    <t>31567748789</t>
  </si>
  <si>
    <t>SBIN0015231</t>
  </si>
  <si>
    <t>557902010013437</t>
  </si>
  <si>
    <t>3714895813</t>
  </si>
  <si>
    <t>669001000071</t>
  </si>
  <si>
    <t>3714895874</t>
  </si>
  <si>
    <t>3714895896</t>
  </si>
  <si>
    <t>3714895922</t>
  </si>
  <si>
    <t>3714895940</t>
  </si>
  <si>
    <t>3714895954</t>
  </si>
  <si>
    <t>3714895989</t>
  </si>
  <si>
    <t>3714896017</t>
  </si>
  <si>
    <t>3714896089</t>
  </si>
  <si>
    <t>3714896118</t>
  </si>
  <si>
    <t>3714896138</t>
  </si>
  <si>
    <t>3714896167</t>
  </si>
  <si>
    <t>DEVARIYA ARTI</t>
  </si>
  <si>
    <t>381810510000577</t>
  </si>
  <si>
    <t>BKID0003818</t>
  </si>
  <si>
    <t>37960100025185</t>
  </si>
  <si>
    <t>BARB0LIMBDI</t>
  </si>
  <si>
    <t>VE1523</t>
  </si>
  <si>
    <t>SOLANKI SHILPABEN GORDHANBHAI</t>
  </si>
  <si>
    <t>SOLANKI SHILPABEN</t>
  </si>
  <si>
    <t>9327173806 9428397115</t>
  </si>
  <si>
    <t>JVUPS4887P</t>
  </si>
  <si>
    <t>770561546075</t>
  </si>
  <si>
    <t>41903270546</t>
  </si>
  <si>
    <t>SBIN0060439</t>
  </si>
  <si>
    <t>shilpasolanki332@gmail.com</t>
  </si>
  <si>
    <t>VE1524</t>
  </si>
  <si>
    <t>ASARI RAVI ARJUNBHAI</t>
  </si>
  <si>
    <t>RAVI</t>
  </si>
  <si>
    <t>ARJUNBHAI</t>
  </si>
  <si>
    <t>9428397115 9327173806</t>
  </si>
  <si>
    <t>DPLPA8932L</t>
  </si>
  <si>
    <t>571262722794</t>
  </si>
  <si>
    <t>33940106672</t>
  </si>
  <si>
    <t>2526-K, TRIVENIPARK, NR. SHIKSHUK SOCIETY, BHARATNAGAR, BHAVNAGAR</t>
  </si>
  <si>
    <t>raviasari2306@gmail.com</t>
  </si>
  <si>
    <t>VE1525</t>
  </si>
  <si>
    <t>VE1526</t>
  </si>
  <si>
    <t>DAVE POOJA INDRAVADANBHAI</t>
  </si>
  <si>
    <t>INDRAVADANBHAI</t>
  </si>
  <si>
    <t>D.PHRAM</t>
  </si>
  <si>
    <t>GOEPD2178J</t>
  </si>
  <si>
    <t>3714899222</t>
  </si>
  <si>
    <t>319621000051</t>
  </si>
  <si>
    <t>89930100012920</t>
  </si>
  <si>
    <t>K/22, VISHVAS APPARTMENT, SARDAR CHOWK, KRISHNANAGAR, SAIJPUR BOGHA, AHMEDABAD-382345</t>
  </si>
  <si>
    <t>poojadave1809@gmail.com</t>
  </si>
  <si>
    <t>VE1527</t>
  </si>
  <si>
    <t>RATHOD UNNATIBEN DINESHBHAI</t>
  </si>
  <si>
    <t>UNNATIBEN</t>
  </si>
  <si>
    <t>7575056778 9327578479</t>
  </si>
  <si>
    <t>FCWPR6858G</t>
  </si>
  <si>
    <t>386482322796</t>
  </si>
  <si>
    <t>32158200796</t>
  </si>
  <si>
    <t>SBIN0002679</t>
  </si>
  <si>
    <t>SATHAMBA, SABARKANTHA, GUJARAT-383340</t>
  </si>
  <si>
    <t>34, 4th FLOR, VRUNDAVAN APARTMENT, PANCHVATI CIRCLE, AHMEDABAD</t>
  </si>
  <si>
    <t>VE1528</t>
  </si>
  <si>
    <t>JAGIRDAR DAYAWATI ANANTKUMAR</t>
  </si>
  <si>
    <t>JAGIRDAR</t>
  </si>
  <si>
    <t>DAYAWATI</t>
  </si>
  <si>
    <t>ANANTKUMAR</t>
  </si>
  <si>
    <t>B.PHARM, M.PHARM</t>
  </si>
  <si>
    <t>444855202890</t>
  </si>
  <si>
    <t>20257156241</t>
  </si>
  <si>
    <t>SBIN0013758</t>
  </si>
  <si>
    <t>8, VAIBHAV LAXMI SOCIETY, MOTERA STADIUM ROAD, MOTERA, AHMEDABAD-380005</t>
  </si>
  <si>
    <t>dayakitnu2902@gmail.com</t>
  </si>
  <si>
    <t>DABHI DHARMENDRABHAI GIRISHBHAI</t>
  </si>
  <si>
    <t>DABHI DHARMENDRAKUMAR GIRISHBHAI</t>
  </si>
  <si>
    <t>DAHARMENDRAKUMAR</t>
  </si>
  <si>
    <t>8347347064 9662430675</t>
  </si>
  <si>
    <t>FQJPD0744Q</t>
  </si>
  <si>
    <t>453410816567</t>
  </si>
  <si>
    <t>04810105049</t>
  </si>
  <si>
    <t>KCCB0CGR048</t>
  </si>
  <si>
    <t>ANIL VAKIL NI CHALI, NARODA ROAD, PREMNAGAR, MEMCO, AHMEDABAD-382345</t>
  </si>
  <si>
    <t>dharmendradabhi589@gmail.com</t>
  </si>
  <si>
    <t>30935122559</t>
  </si>
  <si>
    <t>SBIN0060378</t>
  </si>
  <si>
    <t>VE1529</t>
  </si>
  <si>
    <t>VE1530</t>
  </si>
  <si>
    <t>DHAMAL VISHAL HARJIVANBHAI</t>
  </si>
  <si>
    <t>DHAMAL</t>
  </si>
  <si>
    <t>VISHAL</t>
  </si>
  <si>
    <t>HARJIVANBHAI</t>
  </si>
  <si>
    <t>HNBPD7520P</t>
  </si>
  <si>
    <t>880021889978</t>
  </si>
  <si>
    <t>6834150692</t>
  </si>
  <si>
    <t>JESAR RAOD, DASIJIVAN SOCIETY, SAVAR KUNDLA, AMRELI, GUJARAT-364515</t>
  </si>
  <si>
    <t>CHANDKHEDA, AHMEDABAD</t>
  </si>
  <si>
    <t>dhamalvishal5892@gmail.com</t>
  </si>
  <si>
    <t>VE1531</t>
  </si>
  <si>
    <t>DARSHANA VINUBHAI RATHOD</t>
  </si>
  <si>
    <t>DARSHANA</t>
  </si>
  <si>
    <t>9664722885 6353148554</t>
  </si>
  <si>
    <t>GJDPR2577H</t>
  </si>
  <si>
    <t>578152920959</t>
  </si>
  <si>
    <t>32565164833</t>
  </si>
  <si>
    <t>SBIN0060056</t>
  </si>
  <si>
    <t>DR. AMBEDKARNAGAR, VERAVAL ROAD, UNA, GUJARAT-362560</t>
  </si>
  <si>
    <t>CHAUHAN MADHUBA MUKESHSINH</t>
  </si>
  <si>
    <t>MADHUBA</t>
  </si>
  <si>
    <t>MUKESHSINH</t>
  </si>
  <si>
    <t>HRBPM2246F</t>
  </si>
  <si>
    <t>850882808381</t>
  </si>
  <si>
    <t>35868925996</t>
  </si>
  <si>
    <t>SBIN0002654</t>
  </si>
  <si>
    <t>000, CHAUHAN VAS JHALARA KARAJA, MANPURIYA, BANASKANTHA, GUJARAT-385135</t>
  </si>
  <si>
    <t>madhuchauhan1942@gmail.com</t>
  </si>
  <si>
    <t>VE1532</t>
  </si>
  <si>
    <t>PATNI MEHUL NAGINBHAI</t>
  </si>
  <si>
    <t>PATNI MEHUL</t>
  </si>
  <si>
    <t>MEHUL</t>
  </si>
  <si>
    <t>7698039138 7203025908</t>
  </si>
  <si>
    <t>977987845808</t>
  </si>
  <si>
    <t>MOTILALLU NI CHALI, GREEN CITY SAME, ASARWA, AHMEDABAD-380016</t>
  </si>
  <si>
    <t>VE1533</t>
  </si>
  <si>
    <t>RAJYAGURU TULSI RAJENDRABHAI</t>
  </si>
  <si>
    <t>RAJYAGURU</t>
  </si>
  <si>
    <t>TULSI</t>
  </si>
  <si>
    <t>415885323707</t>
  </si>
  <si>
    <t>38530537982</t>
  </si>
  <si>
    <t>SBIN0060412</t>
  </si>
  <si>
    <t>BLOCK NO. 8, MIRA PARK BEHIND SENTA NAGAR, MAHUVA (M), BHAVNAGAR-364290</t>
  </si>
  <si>
    <t>rajyagurutulsi447@gmail.com</t>
  </si>
  <si>
    <t>3714876972</t>
  </si>
  <si>
    <t>3714896369</t>
  </si>
  <si>
    <t>3714923111</t>
  </si>
  <si>
    <t>CWGPA4285D</t>
  </si>
  <si>
    <t>FD</t>
  </si>
  <si>
    <t>GMIPD7843A</t>
  </si>
  <si>
    <t>175, VALAND FALIYU, GADHA, SABARKANTHA-383316</t>
  </si>
  <si>
    <t>CFGPJ3356D</t>
  </si>
  <si>
    <t>MOTOVAS, NEAR POLICE STATION, LIMBDI,SURENDRANAGAR 363421</t>
  </si>
  <si>
    <t>HURPS6636C</t>
  </si>
  <si>
    <t>RAMSINGH NI CHALI, HANUMAN NAGAR, GEETA GURI CINEMA, ODHAV,AHMEDABAD 382415</t>
  </si>
  <si>
    <t>FLWPM6909N</t>
  </si>
  <si>
    <t>724860403125</t>
  </si>
  <si>
    <t>FQBPB6335P</t>
  </si>
  <si>
    <t>CSXPC6836K</t>
  </si>
  <si>
    <t>631685941432</t>
  </si>
  <si>
    <t>140/3352, GHB COLONY, CID QUARTERS, MEGHANINAGAR, A'BAD-380016</t>
  </si>
  <si>
    <t>EDJPP2909D</t>
  </si>
  <si>
    <t>150, PANCHOLI VAS, AAGARIYADUDDHIA, RAJULA, AMRELI-365560</t>
  </si>
  <si>
    <t>AT. PO. ANKALIYA TA. KADANA DIST. PANCHMAHALS.</t>
  </si>
  <si>
    <t>GUOPP4876B</t>
  </si>
  <si>
    <t>307/C/5,  AMRUTLAL NI CHALI, SIDHARTHNAGAR, MANIBEN ANKH NI HOSPITAL SAME, SARASPUR,A'BAD-380018</t>
  </si>
  <si>
    <t>DAMOR FALIYU, CHORIMALA, BHILODA,ARVALLI, 383246</t>
  </si>
  <si>
    <t>GYHPP6103E</t>
  </si>
  <si>
    <t>22, GANDHINAGAR NA CHHAPRA, CHAMANPURA RD., KALAPINAGAR,A'BAD- 380016</t>
  </si>
  <si>
    <t>VILLAGE AREA, AMBADA, JUNAGADH 362565</t>
  </si>
  <si>
    <t>EEMPB7358A</t>
  </si>
  <si>
    <t>FXKPB3156C</t>
  </si>
  <si>
    <t>CSXPC6837J</t>
  </si>
  <si>
    <t>TULSIDAS SOKHADA, MATAR, KHEDA 387570</t>
  </si>
  <si>
    <t>CDIPC4667A</t>
  </si>
  <si>
    <t>TO SHEDHKHAI BHANVAD, JAMNAGAR, DIST DEVBHUMI DWARKA-360510</t>
  </si>
  <si>
    <t>TO SHIVA , VANSJALIYA, JAMNAGAR 360531</t>
  </si>
  <si>
    <t>860173061087</t>
  </si>
  <si>
    <t>212/A/31, PRITAM PURA SOCIETY-2, OPP.AGRA SWIT MART, GIRHDHARNAGAR, A'BAD 380001</t>
  </si>
  <si>
    <t>FBMPR9845C</t>
  </si>
  <si>
    <t>SOLANKI FALIYU, BANEJADA, ANAND 388580</t>
  </si>
  <si>
    <t>EBPPD9254M</t>
  </si>
  <si>
    <t>BRYPM7480A</t>
  </si>
  <si>
    <t>AXMPP8035D</t>
  </si>
  <si>
    <t>C/28, RAMYAKUNJ SOCIRTY, ISHANPUR, VATVA ROAD, AHMEDABAD. 382443</t>
  </si>
  <si>
    <t>CAOPP8711M</t>
  </si>
  <si>
    <t>GQWPS7247K</t>
  </si>
  <si>
    <t>AQIPV3377M</t>
  </si>
  <si>
    <t>FBMPP3877G</t>
  </si>
  <si>
    <t>BMCPT5574K</t>
  </si>
  <si>
    <t>BDNPN9352H</t>
  </si>
  <si>
    <t>DBZPR3789E</t>
  </si>
  <si>
    <t>CAAPV0460M</t>
  </si>
  <si>
    <t>APBPG8944D</t>
  </si>
  <si>
    <t>HBFPS1487A</t>
  </si>
  <si>
    <t>B/403 KUDARAT HEIGHTS,OPP NAVYUG SCHOOL,NARODA,B/H SRP QUARTERS,A'BAD,382330</t>
  </si>
  <si>
    <t>8 KRISHNA VATIKA, MEGHANINAGAR, OPP NETAJI NAGAR, AHMEDABAD.380016</t>
  </si>
  <si>
    <t>BMWPB6165Q</t>
  </si>
  <si>
    <t>AUKPV2777R</t>
  </si>
  <si>
    <t>FLOPB2457J</t>
  </si>
  <si>
    <t>EMKPS5221K</t>
  </si>
  <si>
    <t>EVDPP1252D</t>
  </si>
  <si>
    <t>BUPPP5200D</t>
  </si>
  <si>
    <t>DTJPK5289Q</t>
  </si>
  <si>
    <t>CWFPR7246J</t>
  </si>
  <si>
    <t>3 SHROMANI APPT. OPP. DAYMAND MILL, T B NAGAR, NIKOL, AHMEDABAD, 382550</t>
  </si>
  <si>
    <t>12/54, CHIPA NI CHALI, BALIYA KAKA CHAR RASTA, GOMTIPUR,AHMEDABAD-380021</t>
  </si>
  <si>
    <t>TINTARAN, NALSERI, SABARKANTHA 383460</t>
  </si>
  <si>
    <t>668392710669</t>
  </si>
  <si>
    <t>JCZPS0984K</t>
  </si>
  <si>
    <t>FHSPR4838B</t>
  </si>
  <si>
    <t>EMAPB7807L</t>
  </si>
  <si>
    <t>AZPPP0765M</t>
  </si>
  <si>
    <t>BCHPC7855D</t>
  </si>
  <si>
    <t xml:space="preserve">22/SB, PRAJAPATI SOCIERY, NEAR GAYATRI SOCIETY, MEMCO ROAD, AHMEDABAD. 382345 </t>
  </si>
  <si>
    <t>B/4, KRUSHNAKUNJ SOCIETY, NIKOL GAM ROAD, AHMEDABAD 382350</t>
  </si>
  <si>
    <t>CDXPT3849J</t>
  </si>
  <si>
    <t>GXUPP5002C</t>
  </si>
  <si>
    <t>MNOPS7879G</t>
  </si>
  <si>
    <t>MNOPS7878H</t>
  </si>
  <si>
    <t>MXMPS3846M</t>
  </si>
  <si>
    <t>DTJPG2325B</t>
  </si>
  <si>
    <t>BRCPM2822C</t>
  </si>
  <si>
    <t>SHASTRINAGAR, KADI, MEHSANA 382715</t>
  </si>
  <si>
    <t>VE1534</t>
  </si>
  <si>
    <t>NANDINIBEN MADHUBHAI KUMAN</t>
  </si>
  <si>
    <t>KUMAN</t>
  </si>
  <si>
    <t>NANDINIBEN</t>
  </si>
  <si>
    <t>MADHUBHAI</t>
  </si>
  <si>
    <t>EJUPK8567F</t>
  </si>
  <si>
    <t>902663707436</t>
  </si>
  <si>
    <t>70152610000580</t>
  </si>
  <si>
    <t>13, SARDAR JI NI CHALI, OPP HATKESHWAR MAHADEV, KHOKHRA, MANINAGAR, AHMEDABAD 380008</t>
  </si>
  <si>
    <t>nandinikuman402@gmail.com</t>
  </si>
  <si>
    <t>VE1535</t>
  </si>
  <si>
    <t xml:space="preserve">CONTRACTOR DHRUVI </t>
  </si>
  <si>
    <t>CONTRACTOR</t>
  </si>
  <si>
    <t>DHRUVI</t>
  </si>
  <si>
    <t>BHUPESH KUMAR</t>
  </si>
  <si>
    <t>582580378345</t>
  </si>
  <si>
    <t>98 KAMDHENU SOCIETY PART-2 PINK CITY ROAD RANIP,A'BAD 382480</t>
  </si>
  <si>
    <t>VE1536</t>
  </si>
  <si>
    <t>BAGHEL AKHILESH KALLUSINGH</t>
  </si>
  <si>
    <t>BAGHEL AKHILESHSINGH</t>
  </si>
  <si>
    <t>BAGHEL</t>
  </si>
  <si>
    <t>AKHILESH SINGH</t>
  </si>
  <si>
    <t>KALLUSINGH</t>
  </si>
  <si>
    <t>ITI, ELECTRONIC MECHANIC</t>
  </si>
  <si>
    <t>EUKPB8822D</t>
  </si>
  <si>
    <t>488842327767</t>
  </si>
  <si>
    <t>34428249585</t>
  </si>
  <si>
    <t>155-15, RAVI RO HOUSE SOC, BHARGAV RD, KUBERNAGAR, A'BAD 382340</t>
  </si>
  <si>
    <t>baghelakhilesh0320bk@gmail.com</t>
  </si>
  <si>
    <t>VE1537</t>
  </si>
  <si>
    <t>RAJPUT MANISHKUMAR DWARIKAPRASAD</t>
  </si>
  <si>
    <t>MANISHKUMAR</t>
  </si>
  <si>
    <t>DWARIKAPRASAD</t>
  </si>
  <si>
    <t>BA, COPA, DIPLOMA</t>
  </si>
  <si>
    <t>BOFPR7661E</t>
  </si>
  <si>
    <t>876270583982</t>
  </si>
  <si>
    <t>03240100013018</t>
  </si>
  <si>
    <t>BARB0DELHIC</t>
  </si>
  <si>
    <t>271, CHANDANNAGAR, DINUBHAI KI CHALI, BHARGAV ROAD, MEGHANINAGAR, A'BAD 380016</t>
  </si>
  <si>
    <t>manish130591@gmail.com</t>
  </si>
  <si>
    <t>107007694515</t>
  </si>
  <si>
    <t>THE AHMEDABAD CO.OP. BANK</t>
  </si>
  <si>
    <t>GSCB0ADC001</t>
  </si>
  <si>
    <t>3713777651</t>
  </si>
  <si>
    <t>C/504, SAMRUDDH GREEN, OPP. MADHAV SCHOOL, VASTRAL, AHMEDABAD-382418</t>
  </si>
  <si>
    <t>VE1538</t>
  </si>
  <si>
    <t>PATEL TWINKALBEN RAMESHBHAI</t>
  </si>
  <si>
    <t>TWINKALBEN RAMESHBHAI PATEL</t>
  </si>
  <si>
    <t>9328439278 8849863103</t>
  </si>
  <si>
    <t>101645209864</t>
  </si>
  <si>
    <t>GUUPP3801C</t>
  </si>
  <si>
    <t>3713714265</t>
  </si>
  <si>
    <t>544036699228</t>
  </si>
  <si>
    <t>41538910718</t>
  </si>
  <si>
    <t>SBIN0001209</t>
  </si>
  <si>
    <t>B/95, TIRTHNAGAR SOCIETY, NR. JOGESHWARI, CTM, AHMEDABAD 380026</t>
  </si>
  <si>
    <t>twinkalpatelpiyushsolanki@gmail.com</t>
  </si>
  <si>
    <t>3714264358</t>
  </si>
  <si>
    <t>PATEL DISHABEN KAMLESHBHAI</t>
  </si>
  <si>
    <t>DISHABEN</t>
  </si>
  <si>
    <t>7284086979 8780822575</t>
  </si>
  <si>
    <t>GXQPP8469B</t>
  </si>
  <si>
    <t>267523982234</t>
  </si>
  <si>
    <t>71820100004937</t>
  </si>
  <si>
    <t>VISHNUNAGAR VASH PUNDHARA, TA-MANSA, DIST-GANDHINAGAR 382855</t>
  </si>
  <si>
    <t>dishapatel@gmail.com</t>
  </si>
  <si>
    <t>3714607824</t>
  </si>
  <si>
    <t>VE1539</t>
  </si>
  <si>
    <t>BARB0DBPUND</t>
  </si>
  <si>
    <t>101454106978</t>
  </si>
  <si>
    <t xml:space="preserve"> 101975270224</t>
  </si>
  <si>
    <t xml:space="preserve"> 101884583781</t>
  </si>
  <si>
    <t>101975270211</t>
  </si>
  <si>
    <t>101975270000</t>
  </si>
  <si>
    <t>9023921335
7861839033</t>
  </si>
  <si>
    <t>TOLIA BHAVIKA HITEN</t>
  </si>
  <si>
    <t>TOLIA</t>
  </si>
  <si>
    <t>HITEN</t>
  </si>
  <si>
    <t>B.SC, D.M.L.T</t>
  </si>
  <si>
    <t>AIQPT7823A</t>
  </si>
  <si>
    <t>C-3-6, RADHA PARK, ROYAL  PARK HAVELI STREET, UNIVERSITY ROAD, RAJKOT 360005</t>
  </si>
  <si>
    <t>9998470700
9825462380`</t>
  </si>
  <si>
    <t>99980118866248</t>
  </si>
  <si>
    <t>FDRL0009998</t>
  </si>
  <si>
    <t xml:space="preserve">FEDERAL BANK </t>
  </si>
  <si>
    <t>VE1540</t>
  </si>
  <si>
    <t>VANSH SHIVANIBEN JAGUBHAI</t>
  </si>
  <si>
    <t>VANSH</t>
  </si>
  <si>
    <t>SHIVANIBEN</t>
  </si>
  <si>
    <t>JAGUBHAI</t>
  </si>
  <si>
    <t>B.SC, M.SC FOOD NUTRITION</t>
  </si>
  <si>
    <t>9408285882 9328166306</t>
  </si>
  <si>
    <t>CIQPV1348L</t>
  </si>
  <si>
    <t>931491548895</t>
  </si>
  <si>
    <t>20316013355</t>
  </si>
  <si>
    <t>SBIN0060116</t>
  </si>
  <si>
    <t>HIRAWADI, NR. SHIVSHAKTI MANDIR, AHMEDABAD.</t>
  </si>
  <si>
    <t>shivavansh5666@gmail.com</t>
  </si>
  <si>
    <t>AT- JAMALPARA, VADALA, JUNAGADH 362140</t>
  </si>
  <si>
    <t>VE1541</t>
  </si>
  <si>
    <t>PRINCY PHILIPBHAI CHRISTIAN</t>
  </si>
  <si>
    <t>PRINCY</t>
  </si>
  <si>
    <t>PHILIPBHAI</t>
  </si>
  <si>
    <t>CEZPC5958J</t>
  </si>
  <si>
    <t>350211165874</t>
  </si>
  <si>
    <t>33111914709</t>
  </si>
  <si>
    <t>SBIN0013450</t>
  </si>
  <si>
    <t>D-304 RAMOL RESIDENCY, NR.ADANI CIRCLE, RAMOL TALLTAX, A'BAD 382449</t>
  </si>
  <si>
    <t>princy102001@gmail.com</t>
  </si>
  <si>
    <t>VE1542</t>
  </si>
  <si>
    <t>BABARIYA YASIKA</t>
  </si>
  <si>
    <t>YASIKA</t>
  </si>
  <si>
    <t>9081135177 9824123725</t>
  </si>
  <si>
    <t>GTKPB7377E</t>
  </si>
  <si>
    <t>964229966204</t>
  </si>
  <si>
    <t>B/139, DHARNIDHAR BUNGLOWS, NEW NARODA, A'BAD 382345</t>
  </si>
  <si>
    <t>babariyayasika4618@gmail.com</t>
  </si>
  <si>
    <t>10101227990</t>
  </si>
  <si>
    <t>VE1543</t>
  </si>
  <si>
    <t>PANCHAL VARNIKABEN RAMESHBHAI</t>
  </si>
  <si>
    <t>VARNIKABEN</t>
  </si>
  <si>
    <t>644694844862</t>
  </si>
  <si>
    <t>24800100018094</t>
  </si>
  <si>
    <t>BARB0BAKPAN</t>
  </si>
  <si>
    <t>BAMRODA, PANCHMAHALS, KHANPUR 389230</t>
  </si>
  <si>
    <t>varnikapanchal03@gmail.com</t>
  </si>
  <si>
    <t>VE1544</t>
  </si>
  <si>
    <t>PATNI ARCHANA ASHOKBHAI</t>
  </si>
  <si>
    <t>PATANI ARCHANABEN</t>
  </si>
  <si>
    <t>ARCHANABEN</t>
  </si>
  <si>
    <t>ETCPP2524M</t>
  </si>
  <si>
    <t>389849918944</t>
  </si>
  <si>
    <t>33153535460</t>
  </si>
  <si>
    <t>103-805, GHB, KALAPINAGAR, ASARWA, AHMEDABAD 380016</t>
  </si>
  <si>
    <t>pataniarchana6894@gmail.com</t>
  </si>
  <si>
    <t>VE1545</t>
  </si>
  <si>
    <t>BHABHOR ALPABEN RATANBHAI</t>
  </si>
  <si>
    <t>ALPABEN BHABHOR</t>
  </si>
  <si>
    <t>BHABHOR</t>
  </si>
  <si>
    <t>ALPABEN</t>
  </si>
  <si>
    <t>7567907331 9979086232</t>
  </si>
  <si>
    <t>ERWPB0128R</t>
  </si>
  <si>
    <t>885776207902</t>
  </si>
  <si>
    <t>37965254172</t>
  </si>
  <si>
    <t>238, PREM ESTATE, GODHRA RD., HALOL, PANCHMAHALS 389350</t>
  </si>
  <si>
    <t>alpabhabhor288@gmail.com</t>
  </si>
  <si>
    <t>26/30 DURGESH SOCIETY MALI NO KUVO ASARWA AHMEDABAD 380016</t>
  </si>
  <si>
    <t>HITEESHA THANKI</t>
  </si>
  <si>
    <t>THANKI</t>
  </si>
  <si>
    <t>HITEESHA</t>
  </si>
  <si>
    <t>SHANTIDHAM SOCIETY 2, BLOCK NO.311, VERAVAL(SHAPAR), RAJKOT 360024</t>
  </si>
  <si>
    <t>VE2024</t>
  </si>
  <si>
    <t>VE2025</t>
  </si>
  <si>
    <t>BWGPT6762F</t>
  </si>
  <si>
    <t>BARB0VJSHAP</t>
  </si>
  <si>
    <t>VE1546</t>
  </si>
  <si>
    <t>VE1547</t>
  </si>
  <si>
    <t>ZARMARIYA RAHULBHAI BHAVANBHAI</t>
  </si>
  <si>
    <t>ZARMARIYA</t>
  </si>
  <si>
    <t>BHAVANBHAI</t>
  </si>
  <si>
    <t>GOCPB6279E</t>
  </si>
  <si>
    <t>404027505538</t>
  </si>
  <si>
    <t>37140847555</t>
  </si>
  <si>
    <t>JUNI MORWAD, SURENDRA NAGAR 363410</t>
  </si>
  <si>
    <t xml:space="preserve">GHODACAMP, AHMEDABAD </t>
  </si>
  <si>
    <t>akgandu1339@gmail.com</t>
  </si>
  <si>
    <t>RATHVA RAHULBHAI</t>
  </si>
  <si>
    <t>RATHVA RAHULBHAI KHUMANBHAI`</t>
  </si>
  <si>
    <t>KHUMANBHAI</t>
  </si>
  <si>
    <t>6355070920 8160482113</t>
  </si>
  <si>
    <t>GAZPR0522K</t>
  </si>
  <si>
    <t>738681467826</t>
  </si>
  <si>
    <t>443902010019005</t>
  </si>
  <si>
    <t>UBIN0544396</t>
  </si>
  <si>
    <t>00, SIMADIYA FALIYA, SINGALKUVA, KHATIAWANT, VADODARA 391168</t>
  </si>
  <si>
    <t>rahulrathva2018@gmail.com</t>
  </si>
  <si>
    <t>SHASHI RANJAN KUMAR</t>
  </si>
  <si>
    <t>SHASHI</t>
  </si>
  <si>
    <t>RANAJNKUMAR</t>
  </si>
  <si>
    <t>ABHINAYKUMAR</t>
  </si>
  <si>
    <t>GZXPK5530D</t>
  </si>
  <si>
    <t>PUNB0157200</t>
  </si>
  <si>
    <t>MORIYAWAN, HAZRAT SAIN, DHANRUWA, PATNA, BIHAR 804451</t>
  </si>
  <si>
    <t>JYOTI H GONDALIYA</t>
  </si>
  <si>
    <t>GONDALIYA JYOTIBEN HARIRAM</t>
  </si>
  <si>
    <t>GONDALIYA</t>
  </si>
  <si>
    <t>JYOTIBEN</t>
  </si>
  <si>
    <t>HARIRAM</t>
  </si>
  <si>
    <t>202, BHARGAV APPARTMENT GODAWN RD., BHAKTINAGAR STATION RD, RAJKOT 360002</t>
  </si>
  <si>
    <t>NANDANIYA VIPUL</t>
  </si>
  <si>
    <t xml:space="preserve">NANDANIYA </t>
  </si>
  <si>
    <t>VIPUL</t>
  </si>
  <si>
    <t>DESHUR</t>
  </si>
  <si>
    <t>XRAT TECH COURSE</t>
  </si>
  <si>
    <t>XRAY TECHNICIAN</t>
  </si>
  <si>
    <t>RMC QUARTER, NR. HOSPITAL CHOWK, BEHIND  CIVIL COURT, RAJKOT 360001</t>
  </si>
  <si>
    <t>CHANDANI DAVE</t>
  </si>
  <si>
    <t>PANARA CHANDANI NARENDRABHAI</t>
  </si>
  <si>
    <t>PANARA</t>
  </si>
  <si>
    <t xml:space="preserve">CHANDANI </t>
  </si>
  <si>
    <t>SYNB0007185</t>
  </si>
  <si>
    <t>SYNDICATE BANK</t>
  </si>
  <si>
    <t>NARSHIPRA, BEHIND SWAMI TEMPLE, DHRANGADHRA, SURENDRA NAGAR 363310</t>
  </si>
  <si>
    <t>VE1548</t>
  </si>
  <si>
    <t>RATHOD  ASHWINIBEN BHAVESHKUMAR</t>
  </si>
  <si>
    <t>ASHWINIBEN</t>
  </si>
  <si>
    <t>9328661347 7984772214</t>
  </si>
  <si>
    <t>BRBPV9752P</t>
  </si>
  <si>
    <t>300080639180</t>
  </si>
  <si>
    <t>03300100034049</t>
  </si>
  <si>
    <t>110, NEHRUNAGAR LALBANGLA, NR HATKESHWAR BUS DEPO, AMRAIWADI, AHMEDABAD 380026</t>
  </si>
  <si>
    <t>ashwinivaghela27@gmail.com</t>
  </si>
  <si>
    <t>VE1549</t>
  </si>
  <si>
    <t>PATEL VIDHI HARSH</t>
  </si>
  <si>
    <t>HARSH</t>
  </si>
  <si>
    <t>B.SC NURSING</t>
  </si>
  <si>
    <t>6354850727 7405159272</t>
  </si>
  <si>
    <t>CNAPV6096C</t>
  </si>
  <si>
    <t>377516362128</t>
  </si>
  <si>
    <t>221310510001227</t>
  </si>
  <si>
    <t>BKID0002059</t>
  </si>
  <si>
    <t>R-202, ABJIBAPA LAKEVIEW, VASTRAL, AHMEDABAD 382418</t>
  </si>
  <si>
    <t>patelvidhi276@gmail.com</t>
  </si>
  <si>
    <t>VE1550</t>
  </si>
  <si>
    <t>VE1551</t>
  </si>
  <si>
    <t>VE1552</t>
  </si>
  <si>
    <t>CHAUHAN MANISHA JAGADISHBHAI</t>
  </si>
  <si>
    <t>JAGADISHBHAI</t>
  </si>
  <si>
    <t>COJPJ9096N</t>
  </si>
  <si>
    <t>832056242732</t>
  </si>
  <si>
    <t>32815169680</t>
  </si>
  <si>
    <t>SBIN0060210</t>
  </si>
  <si>
    <t>BALIYA LIMDI , ASARWA, AHMEDABAD-380016</t>
  </si>
  <si>
    <t>SAMETAR, GUNAGADH 362560</t>
  </si>
  <si>
    <t>BHAVSAR MANALI</t>
  </si>
  <si>
    <t>MANALI</t>
  </si>
  <si>
    <t>BHAVSAR MANALI CHANDRAKANTBHAI</t>
  </si>
  <si>
    <t>GRJPM5701E</t>
  </si>
  <si>
    <t>270336589461</t>
  </si>
  <si>
    <t>84120100009526</t>
  </si>
  <si>
    <t>BARB0DBVAST</t>
  </si>
  <si>
    <t>C-704, MUNISUVRUT SOCIETY, ADINATHNAGAR, ODHAV,AHMEDABAD 382415</t>
  </si>
  <si>
    <t>mannabhavsar288@gmail.com</t>
  </si>
  <si>
    <t>PARMAR KOMAL NARSINHBHAI</t>
  </si>
  <si>
    <t>HRYPP9598G</t>
  </si>
  <si>
    <t>325500665398</t>
  </si>
  <si>
    <t>20366613069</t>
  </si>
  <si>
    <t>SBIN0018351</t>
  </si>
  <si>
    <t>16 SNEH PUSHPAM SOCIETY, JITODIA RD., CHAVDAPURA, ANAND 388001</t>
  </si>
  <si>
    <t>parmarkomal165@gmail.com</t>
  </si>
  <si>
    <t>VE1553</t>
  </si>
  <si>
    <t>PRUTHVI HARSHADBHAI CHAUHAN</t>
  </si>
  <si>
    <t>PRUTHVI CHAUHAN</t>
  </si>
  <si>
    <t>PRUTHVI</t>
  </si>
  <si>
    <t>CBHPC5190D</t>
  </si>
  <si>
    <t>484003036401</t>
  </si>
  <si>
    <t>03360100038323</t>
  </si>
  <si>
    <t>CHHOTA LAL NI CHALI, MARIYAM BIBI CHAR RASTA, RAJPUR GOMTIPUR, A'BAD 380021</t>
  </si>
  <si>
    <t>pruthvichauhan881@gmail.com</t>
  </si>
  <si>
    <t>VE1554</t>
  </si>
  <si>
    <t>SANGADA NIYANTABEN MAHENDRAKUMAR</t>
  </si>
  <si>
    <t>SANGADA</t>
  </si>
  <si>
    <t>NIYANTABEN</t>
  </si>
  <si>
    <t>MASTER IN HOS. MANAGE.</t>
  </si>
  <si>
    <t>OLCPS7181D</t>
  </si>
  <si>
    <t>521102517324</t>
  </si>
  <si>
    <t>3531120000030</t>
  </si>
  <si>
    <t>CNRB0003806</t>
  </si>
  <si>
    <t>1, SAGAR SOCIETY, GAYATRI MANDIR ROAD, MAHAVIRNAGAR, HIMMATNAGAR, SABARKANTHA 383001</t>
  </si>
  <si>
    <t>niyantasangada@gmail.com</t>
  </si>
  <si>
    <t>VE1555</t>
  </si>
  <si>
    <t>CHAUDHARI RESHABEN RUMSHIBHAI</t>
  </si>
  <si>
    <t>CHAUDHRI RESHABEN</t>
  </si>
  <si>
    <t>CHAUDHRI</t>
  </si>
  <si>
    <t>RESHABEN</t>
  </si>
  <si>
    <t>RUMASHIBHAI</t>
  </si>
  <si>
    <t>9979389872 9512808412`</t>
  </si>
  <si>
    <t>BNGPC1199E</t>
  </si>
  <si>
    <t>799149864374</t>
  </si>
  <si>
    <t>16090100021273</t>
  </si>
  <si>
    <t>BARB0JHANKH</t>
  </si>
  <si>
    <t>MANDIR FALIYU, KAVACHIYA, NETRANG, BHARUCH 393130</t>
  </si>
  <si>
    <t>reshachaudhari11@gmail.com</t>
  </si>
  <si>
    <t>VE1556</t>
  </si>
  <si>
    <t>NIDHI JAGDISHBHAI PARMAR</t>
  </si>
  <si>
    <t>PARMAR NIDHI JAGDISHBHAI</t>
  </si>
  <si>
    <t>9712685418 8000247691</t>
  </si>
  <si>
    <t>EGTPP2187J</t>
  </si>
  <si>
    <t>552827809135</t>
  </si>
  <si>
    <t>08580100016422</t>
  </si>
  <si>
    <t>BARB0SARASP</t>
  </si>
  <si>
    <t>307-C-75, FULCHAND NI NAVI CHALI, MANIBEN HOSPITAL PASE, SARASPUR, A'BAD 380018</t>
  </si>
  <si>
    <t>nidhiparmar126@gmail.com</t>
  </si>
  <si>
    <t>VE1557</t>
  </si>
  <si>
    <t>SHAIKH RUHANABANU SADIKHUSEN</t>
  </si>
  <si>
    <t>RUHANA BANU</t>
  </si>
  <si>
    <t>SADIK HUSEN</t>
  </si>
  <si>
    <t>6352301024 9824861444</t>
  </si>
  <si>
    <t>GAXPS2165D</t>
  </si>
  <si>
    <t>574119694268</t>
  </si>
  <si>
    <t>202110110000855</t>
  </si>
  <si>
    <t>1674-2, JAMALPUR, A'BAD 380001</t>
  </si>
  <si>
    <t>ruhanashaikh9@gmail.com</t>
  </si>
  <si>
    <t>VE1558</t>
  </si>
  <si>
    <t>VHORA ISHRATBANU RASULBHAI</t>
  </si>
  <si>
    <t>VHORA</t>
  </si>
  <si>
    <t>ISHRATBANU</t>
  </si>
  <si>
    <t>RASULBHAI</t>
  </si>
  <si>
    <t>9879695756 9537698805</t>
  </si>
  <si>
    <t>CMPPV0863H</t>
  </si>
  <si>
    <t>912035875541</t>
  </si>
  <si>
    <t>39589564082</t>
  </si>
  <si>
    <t>SBIN0001317</t>
  </si>
  <si>
    <t>DIVANPURA, RUPAL, BAVLA, A'BAD 382220</t>
  </si>
  <si>
    <t>ishratvhora1@gmail.com</t>
  </si>
  <si>
    <t>VE1559</t>
  </si>
  <si>
    <t>VE1560</t>
  </si>
  <si>
    <t>VE1561</t>
  </si>
  <si>
    <t>SUVERA CHANDRALEKHA VASANTBHAI</t>
  </si>
  <si>
    <t>SUVERA</t>
  </si>
  <si>
    <t>CHANDRALEKHA</t>
  </si>
  <si>
    <t>VASANTBHAI</t>
  </si>
  <si>
    <t>7874197552 7777989897</t>
  </si>
  <si>
    <t>QXXPS6076N</t>
  </si>
  <si>
    <t>619160749713</t>
  </si>
  <si>
    <t>37024676160</t>
  </si>
  <si>
    <t>B-405,  AADITYA RESIDENCY, NEW NARODA, A'BAD 382330</t>
  </si>
  <si>
    <t>rekhasuvera756@gmail.com</t>
  </si>
  <si>
    <t>KOTWAL JAY RAMANLAL</t>
  </si>
  <si>
    <t>KOTWAL</t>
  </si>
  <si>
    <t>JAY</t>
  </si>
  <si>
    <t>RAMANLAL</t>
  </si>
  <si>
    <t>9727136459 8200718330</t>
  </si>
  <si>
    <t>GQHPK7491G</t>
  </si>
  <si>
    <t>865274281412</t>
  </si>
  <si>
    <t>41177055930</t>
  </si>
  <si>
    <t>A-9, SWASTIK BUNGLOWS, RAIPUR MILL COMPOUND, RAKHIAL, A'BAD 380018</t>
  </si>
  <si>
    <t>jaykotwal789654@gmail.com</t>
  </si>
  <si>
    <t>DIVTE JYOTI KRISHNAJI</t>
  </si>
  <si>
    <t>DIVTE JYOTI</t>
  </si>
  <si>
    <t>DIVTE</t>
  </si>
  <si>
    <t>KRISHNAJI</t>
  </si>
  <si>
    <t>7567022994 8980430225</t>
  </si>
  <si>
    <t>ARWPR1710M</t>
  </si>
  <si>
    <t>674292616179</t>
  </si>
  <si>
    <t>43150100009533</t>
  </si>
  <si>
    <t>BLOCK 1/1, NILAM PARK, NR. SATYAM HOSPITAL, BAPUNAGAR, A'BAD 380024</t>
  </si>
  <si>
    <t>B-28, DARSHAN NAGAR, OPP JYOTI NAGAR, NR AMBUJA FACTORY, NAROL, A'BAD 382405</t>
  </si>
  <si>
    <t>jyotidivte16006@gmail.com</t>
  </si>
  <si>
    <t>VE1562</t>
  </si>
  <si>
    <t>DABHI KRISHNA DINESHBHAI</t>
  </si>
  <si>
    <t>9978346090 9974225579</t>
  </si>
  <si>
    <t>GCVPD6250A</t>
  </si>
  <si>
    <t>917548584901</t>
  </si>
  <si>
    <t>03300100034166</t>
  </si>
  <si>
    <t>B 57/5, HIRAJI VASTAJI NI CHALI, MEGHANINAGAR, A'BAD 380016</t>
  </si>
  <si>
    <t>krishnadabhi8520@gmail.com</t>
  </si>
  <si>
    <t>3714264170</t>
  </si>
  <si>
    <t>VE1563</t>
  </si>
  <si>
    <t>VE1564</t>
  </si>
  <si>
    <t>PARMAR MEGHA KAMLESHBHAI</t>
  </si>
  <si>
    <t>PARMAR MEGHA</t>
  </si>
  <si>
    <t>MEGHA</t>
  </si>
  <si>
    <t>871039097023</t>
  </si>
  <si>
    <t>520481032637997</t>
  </si>
  <si>
    <t>UBIN0901342</t>
  </si>
  <si>
    <t>NEW LAXMINAGAR, GHODA CAMP, PATNVADI LINE, ASARVA, A'BAD 380016</t>
  </si>
  <si>
    <t>parmarmegha54@gmail.com</t>
  </si>
  <si>
    <t>PATEL MITTAL PRAVINBHAI</t>
  </si>
  <si>
    <t>PATEL MITTAL</t>
  </si>
  <si>
    <t>MITTAL</t>
  </si>
  <si>
    <t>HCJPM4691D</t>
  </si>
  <si>
    <t>854028542393</t>
  </si>
  <si>
    <t>75840100022644</t>
  </si>
  <si>
    <t xml:space="preserve">ADITYANAGAR SOCIETY, ASHOK MILL, NARODA ROAD, A'BAD </t>
  </si>
  <si>
    <t>79, RATNA POPAT NA CHHAPRA, POPAT PATNIS CHAWL, KALAPINAGAR, A'BAD 380016</t>
  </si>
  <si>
    <t>patelmittal11112001@gmail.com</t>
  </si>
  <si>
    <t>VE1565</t>
  </si>
  <si>
    <t>AHIR SHIVANGINI JITENDRABHAI</t>
  </si>
  <si>
    <t>AHIR SHIVANGINI</t>
  </si>
  <si>
    <t>AHIR</t>
  </si>
  <si>
    <t>9104150908 6355366396</t>
  </si>
  <si>
    <t>ESJPA7769F</t>
  </si>
  <si>
    <t>290765260341</t>
  </si>
  <si>
    <t>75840100013963</t>
  </si>
  <si>
    <t>4, GITANAGAR SOCIETY, KALAPINAGAR, ASARVA, A'BAD 380016</t>
  </si>
  <si>
    <t>shivangini1601@gmail.com</t>
  </si>
  <si>
    <t>VE1566</t>
  </si>
  <si>
    <t>VE1567</t>
  </si>
  <si>
    <t>VE1568</t>
  </si>
  <si>
    <t>VE1569</t>
  </si>
  <si>
    <t>VE1570</t>
  </si>
  <si>
    <t>ASARI NITESHBHAI SHANKARBHAI</t>
  </si>
  <si>
    <t>NITESHBHAI</t>
  </si>
  <si>
    <t>STAFF BROTHER</t>
  </si>
  <si>
    <t>QKCPS1026L</t>
  </si>
  <si>
    <t>403179630411</t>
  </si>
  <si>
    <t>41584253075</t>
  </si>
  <si>
    <t>SBIN0002639</t>
  </si>
  <si>
    <t>TOL DUNGARI, SABARKANTHA 383460</t>
  </si>
  <si>
    <t>asarinitesh2000@gmail.com</t>
  </si>
  <si>
    <t>PATEL JANAVI SHAILESHBHAI</t>
  </si>
  <si>
    <t>JANAVI</t>
  </si>
  <si>
    <t>FOMPP8500K</t>
  </si>
  <si>
    <t>201400784174</t>
  </si>
  <si>
    <t>364209100000282</t>
  </si>
  <si>
    <t>A/1, SHYAMS APPARTMENT, SHREEMALI VADI BAJUMA, INDIA COLONY, A'BAD 382350</t>
  </si>
  <si>
    <t>pateljahnavi16@gmail.com</t>
  </si>
  <si>
    <t>PATANI MITTALBEN ASHOKBHAI</t>
  </si>
  <si>
    <t>MITTALBEN</t>
  </si>
  <si>
    <t>8999922727 9722555523</t>
  </si>
  <si>
    <t>101358907834</t>
  </si>
  <si>
    <t>CXDPP3671A</t>
  </si>
  <si>
    <t>658499482434</t>
  </si>
  <si>
    <t>029401541819</t>
  </si>
  <si>
    <t>ICIC0000294</t>
  </si>
  <si>
    <t>mittalpatani1@gmail.com</t>
  </si>
  <si>
    <t>PATANI DHARMISHTHABEN RAJESHBHAI</t>
  </si>
  <si>
    <t>DHARMISHTHABEN</t>
  </si>
  <si>
    <t>FJAPP3916N</t>
  </si>
  <si>
    <t>890186935522</t>
  </si>
  <si>
    <t>31/31, MOTILAL LALLUBHAI NI CHALI, ASARWA, A'BAD 380016</t>
  </si>
  <si>
    <t>dharmipatani20197@gmail.com</t>
  </si>
  <si>
    <t>DHAKIYA CHHAYABEN SURAJBHAI</t>
  </si>
  <si>
    <t>DHAKIYA</t>
  </si>
  <si>
    <t>CHHAYABEN</t>
  </si>
  <si>
    <t>SURAJBHAI</t>
  </si>
  <si>
    <t>9016311394 8238107536</t>
  </si>
  <si>
    <t>GROPD0502B</t>
  </si>
  <si>
    <t>492974777095</t>
  </si>
  <si>
    <t>201710110005275</t>
  </si>
  <si>
    <t>NISHAL FALIYU, NR PRATHMIK SCHOOL, TA-DAHOD, SAKARDA, DAHOD 389151</t>
  </si>
  <si>
    <t>chhayadhakiya672@gmail.com</t>
  </si>
  <si>
    <t>VE1571</t>
  </si>
  <si>
    <t>VE1572</t>
  </si>
  <si>
    <t>PARMAR SONIYABAHEN MAHESHBHAI</t>
  </si>
  <si>
    <t>PARMAR SONIYABAHEN</t>
  </si>
  <si>
    <t>SONIYABAHEN</t>
  </si>
  <si>
    <t>PHKPS7006A</t>
  </si>
  <si>
    <t>779082214839</t>
  </si>
  <si>
    <t>78100100020727</t>
  </si>
  <si>
    <t>B-17, SWAMINARAYAN PARK, NARODA, A'BAD</t>
  </si>
  <si>
    <t>22 INDIRA PARK SOCIETY, OPP. D-10 VIMA YOJANA DAWAKHANA, KALAPINAGAR, A'BAD 380016</t>
  </si>
  <si>
    <t>parmarsoniya11@gmail.com</t>
  </si>
  <si>
    <t>029401542443</t>
  </si>
  <si>
    <t>CHAUHAN HARI HASMUKHBHAI</t>
  </si>
  <si>
    <t>HARI</t>
  </si>
  <si>
    <t>861302710668</t>
  </si>
  <si>
    <t>50100620201252</t>
  </si>
  <si>
    <t>HDFC0000889</t>
  </si>
  <si>
    <t>A-11, SHIV NARAYAN SOCIETY, BHARGAV ROAD, KUBERNAGAR, A'BAD 382340</t>
  </si>
  <si>
    <t>hchc1512@gmail.com</t>
  </si>
  <si>
    <t>VE1573</t>
  </si>
  <si>
    <t>MORI KAJLBEN MUKESHBHAI</t>
  </si>
  <si>
    <t>KAJL</t>
  </si>
  <si>
    <t>IUAPM6165G</t>
  </si>
  <si>
    <t>857516498736</t>
  </si>
  <si>
    <t>66900100015783</t>
  </si>
  <si>
    <t>BHANMER, SABARKANTHA 383246</t>
  </si>
  <si>
    <t>kajalmori16058@gmail.com</t>
  </si>
  <si>
    <t>VE1574</t>
  </si>
  <si>
    <t>PATNI KAVITABEN ASHOKBHAI</t>
  </si>
  <si>
    <t>PATNI KAVITABEN</t>
  </si>
  <si>
    <t>KAVITABEN</t>
  </si>
  <si>
    <t>9687888971 7383606230</t>
  </si>
  <si>
    <t>FJAPP3920C</t>
  </si>
  <si>
    <t>714450783419</t>
  </si>
  <si>
    <t>41760150455</t>
  </si>
  <si>
    <t>173, KADIYA NI CHALI, OPP MADHU KIRANA STORE, ASARWA, A'BAD 380016</t>
  </si>
  <si>
    <t>kavitaptn1210@gmail.com</t>
  </si>
  <si>
    <t>VE1575</t>
  </si>
  <si>
    <t>VE1576</t>
  </si>
  <si>
    <t>VAGHELA GORAL KUVARBA DILIPSINH</t>
  </si>
  <si>
    <t>VAGHELA GORAL KUVARBA</t>
  </si>
  <si>
    <t>GORAL KUVARBA</t>
  </si>
  <si>
    <t>DILIPSINH</t>
  </si>
  <si>
    <t>7984680667 7041193387</t>
  </si>
  <si>
    <t>BOTPV1223C</t>
  </si>
  <si>
    <t>374546770984</t>
  </si>
  <si>
    <t>366402010512599</t>
  </si>
  <si>
    <t>UNION BANK</t>
  </si>
  <si>
    <t>UBIN0536644</t>
  </si>
  <si>
    <t>61, MUNI. STAFF PUAR QUARTERS, OPP. VIJAY MILL, NARODA ROAD, A'BAD 382345</t>
  </si>
  <si>
    <t>vaghelagoral5379@gmail.com</t>
  </si>
  <si>
    <t>HIRPARA AVANI ASHOKBHAI</t>
  </si>
  <si>
    <t>HIRPARA AVANIBEN</t>
  </si>
  <si>
    <t>AVANIBEN</t>
  </si>
  <si>
    <t>BSWPH2217M</t>
  </si>
  <si>
    <t>390698524657</t>
  </si>
  <si>
    <t>42140842490</t>
  </si>
  <si>
    <t>40, KEYUR PARK SOCIETY,  NR. SHUKAN BUNGLOWS, NIKOL, A'BAD 382345</t>
  </si>
  <si>
    <t>avanihirpara45@gmail.com</t>
  </si>
  <si>
    <t>MEMNAGAR,A'BAD. 380052</t>
  </si>
  <si>
    <t>VE1577</t>
  </si>
  <si>
    <t>VE1578</t>
  </si>
  <si>
    <t>VE1579</t>
  </si>
  <si>
    <t>KANOJIYA PRASHANT RAJESHBHAI</t>
  </si>
  <si>
    <t>KANOJIYA PRASHANT</t>
  </si>
  <si>
    <t>KANOJIYA</t>
  </si>
  <si>
    <t>PRASHANT</t>
  </si>
  <si>
    <t>ELECTRONIC MECHANIC</t>
  </si>
  <si>
    <t>9173172687 9512100653</t>
  </si>
  <si>
    <t>MQHPK7151F</t>
  </si>
  <si>
    <t>927191895868</t>
  </si>
  <si>
    <t>2439001500026127</t>
  </si>
  <si>
    <t>PUNB0243900</t>
  </si>
  <si>
    <t>16, SARVANT QWATERS, NEAR CAMP ROAD, SHAHIBAUG, A'BAD 380004</t>
  </si>
  <si>
    <t>kanojiyaprashant11@gmail.com</t>
  </si>
  <si>
    <t>PARMAR MAYANK ANANDBHAI</t>
  </si>
  <si>
    <t>PARMAR MAYANK</t>
  </si>
  <si>
    <t>MAYANK</t>
  </si>
  <si>
    <t>ANANDBHAI</t>
  </si>
  <si>
    <t>GAMPP6939R</t>
  </si>
  <si>
    <t>830643166252</t>
  </si>
  <si>
    <t>40456377038</t>
  </si>
  <si>
    <t>NEW LAXMINAGAR, OPP GHODA CAMP, SHAHIBAUG, A'BAD 380004</t>
  </si>
  <si>
    <t>mayankwww612@gmail.com</t>
  </si>
  <si>
    <t>KULDIPBHAI BABABHAI KAMALIYA</t>
  </si>
  <si>
    <t>KULDIPBHAI</t>
  </si>
  <si>
    <t>BABABHAI</t>
  </si>
  <si>
    <t>HQTPK6304K</t>
  </si>
  <si>
    <t>817535902738</t>
  </si>
  <si>
    <t>37010147868</t>
  </si>
  <si>
    <t>SBIN0013472</t>
  </si>
  <si>
    <t xml:space="preserve">GANPAT SOCIETY, SHAHIBAUG, A'BAD </t>
  </si>
  <si>
    <t>DATHA, KATKADA, MAHUVA, BHAVANAGAR 364130</t>
  </si>
  <si>
    <t>kamaliyakuldeep66501@gmail.com</t>
  </si>
  <si>
    <t>VE1580</t>
  </si>
  <si>
    <t>VE1581</t>
  </si>
  <si>
    <t>HARSHIL HARJI HIRANI</t>
  </si>
  <si>
    <t>HIRANI HARSHIL HARJI</t>
  </si>
  <si>
    <t>HARSHIL</t>
  </si>
  <si>
    <t>HARJI</t>
  </si>
  <si>
    <t>DIPLOMA I  COMP. ENGI.</t>
  </si>
  <si>
    <t>IT ENGINEER</t>
  </si>
  <si>
    <t>9638043177 9879715225</t>
  </si>
  <si>
    <t>BIBPH3386L</t>
  </si>
  <si>
    <t>692684888489</t>
  </si>
  <si>
    <t>09430100015465</t>
  </si>
  <si>
    <t>BARB0MIRKUT</t>
  </si>
  <si>
    <t>1, BUS STATION PASE, MIRZAPAR, KACHCHH 370001</t>
  </si>
  <si>
    <t>hiraniharshil007@gmail.com</t>
  </si>
  <si>
    <t>RATHOD DAXESHKUMAR GIRISHBHAI</t>
  </si>
  <si>
    <t>RATHOD DAXESH GIRISHBHAI</t>
  </si>
  <si>
    <t>DAXESH</t>
  </si>
  <si>
    <t>8347029659 9974849894</t>
  </si>
  <si>
    <t>CYXPG0556Q</t>
  </si>
  <si>
    <t>855062352649</t>
  </si>
  <si>
    <t>50100370112388</t>
  </si>
  <si>
    <t>16/9, SHASHTRINAGAR HUDKO,L.B.S STADIUM, BAPUNAGAR, A'BAD 380024</t>
  </si>
  <si>
    <t>daxrathod098@gmail.com</t>
  </si>
  <si>
    <t>VE1582</t>
  </si>
  <si>
    <t>VE1583</t>
  </si>
  <si>
    <t>VE1584</t>
  </si>
  <si>
    <t>VE1585</t>
  </si>
  <si>
    <t xml:space="preserve">SOLANKI PRIYANK </t>
  </si>
  <si>
    <t>PRIYANK</t>
  </si>
  <si>
    <t>723985718348</t>
  </si>
  <si>
    <t>30380100008982</t>
  </si>
  <si>
    <t>115 KHARIKUI AMBAJI NU TEMPLE, KHOKHARA, MANINAGAR, A'BAD 380008</t>
  </si>
  <si>
    <t>priyanksolanki437@gmail.com</t>
  </si>
  <si>
    <t>GADARIYA HONEY KARANSINH</t>
  </si>
  <si>
    <t>GADARIYA</t>
  </si>
  <si>
    <t>HONEY</t>
  </si>
  <si>
    <t>KARANSINH</t>
  </si>
  <si>
    <t>8238194162 9033261701</t>
  </si>
  <si>
    <t>DHLPG0180A</t>
  </si>
  <si>
    <t>388949188815</t>
  </si>
  <si>
    <t>35229323819</t>
  </si>
  <si>
    <t>497, NAVIVASAHAT, VYARA, TAPI 394650</t>
  </si>
  <si>
    <t>3 DEEPMALA SOCIETY, EXPRESS HIGHWAY, JASODANAGAR, A'BAD</t>
  </si>
  <si>
    <t>gadariyahoney@gmail.com</t>
  </si>
  <si>
    <t>BARAD RUSHIKA BHUPATSINH</t>
  </si>
  <si>
    <t>BARAD</t>
  </si>
  <si>
    <t>BHUPATSINH</t>
  </si>
  <si>
    <t>8141364635 9227325573</t>
  </si>
  <si>
    <t>723588445686</t>
  </si>
  <si>
    <t>38892636301</t>
  </si>
  <si>
    <t>SBIN0060033</t>
  </si>
  <si>
    <t>NAVI KHODIDAS CHALI, B/H CANCER HOSPITAL, AHMEDABAD</t>
  </si>
  <si>
    <t>SENJALI VADI, DEVLI DEDANI, GIR SOMNATH 362720</t>
  </si>
  <si>
    <t>rushikabarad616@gmail.com</t>
  </si>
  <si>
    <t>VE1586</t>
  </si>
  <si>
    <t>DIMPALBEN LAXMANBHAI DAMOR</t>
  </si>
  <si>
    <t>DIMPALBEN</t>
  </si>
  <si>
    <t>9313318921 9427685163</t>
  </si>
  <si>
    <t>GUVPD2916M</t>
  </si>
  <si>
    <t>707615339781</t>
  </si>
  <si>
    <t>39177417571</t>
  </si>
  <si>
    <t>KHANPUR, DAMOR FALIYU, BHILODA, MAHUDA, SABARKANTHA 383251</t>
  </si>
  <si>
    <t>dimpaldamor1811@gmail.com</t>
  </si>
  <si>
    <t>VE1587</t>
  </si>
  <si>
    <t>VE1588</t>
  </si>
  <si>
    <t>PATANI VISHAL PRAVINBHAI</t>
  </si>
  <si>
    <t>8140572519 9374944654</t>
  </si>
  <si>
    <t>EDXPP0579K</t>
  </si>
  <si>
    <t>911371194178</t>
  </si>
  <si>
    <t>36389685553</t>
  </si>
  <si>
    <t>11/87, G.H.B COLONY, NUTAN MILL PACHAL, SARASPUR, A'BAD 380018</t>
  </si>
  <si>
    <t>vishalpatani304@gmail.com</t>
  </si>
  <si>
    <t>PATANI DIPALIBEN PRAVINBHAI</t>
  </si>
  <si>
    <t>DIPALIBEN</t>
  </si>
  <si>
    <t>7283817998 9374944654</t>
  </si>
  <si>
    <t>GZZPP1038K</t>
  </si>
  <si>
    <t>599082591469</t>
  </si>
  <si>
    <t>78100100000424</t>
  </si>
  <si>
    <t>dipalipatani30@gmail.com</t>
  </si>
  <si>
    <t>VE1589</t>
  </si>
  <si>
    <t>RATHOR NEHA</t>
  </si>
  <si>
    <t>RATHOR</t>
  </si>
  <si>
    <t>7990552429
8105878926</t>
  </si>
  <si>
    <t>923010045369497</t>
  </si>
  <si>
    <t>UTIB0001210</t>
  </si>
  <si>
    <t>918065064288</t>
  </si>
  <si>
    <t>DWARKADISH NAGAR P-1, AMRAIWADI AHMEDABAD - 380026</t>
  </si>
  <si>
    <t>VE1590</t>
  </si>
  <si>
    <t>KOTWAL SNEHALTA BEN BHIMKAR BHAI</t>
  </si>
  <si>
    <t>SNEHALTA BEN</t>
  </si>
  <si>
    <t>BHIMKAR BHAI</t>
  </si>
  <si>
    <t>7046589544
9913185118</t>
  </si>
  <si>
    <t>799129930619</t>
  </si>
  <si>
    <t>4528120000131</t>
  </si>
  <si>
    <t>CNRB0004528</t>
  </si>
  <si>
    <t>AT POST CHITHODA TAL VIJAYNAGAR DIST SABARKANTHA 383462</t>
  </si>
  <si>
    <t>VE1591</t>
  </si>
  <si>
    <t>SHRIMALI AISHWARYA BHARTABHAI</t>
  </si>
  <si>
    <t>AISHWARYA</t>
  </si>
  <si>
    <t>BHARTABHAI</t>
  </si>
  <si>
    <t>M.SC. FOOD &amp; NUTRITION</t>
  </si>
  <si>
    <t>7874635504
7802991807</t>
  </si>
  <si>
    <t>FQBPB9762E</t>
  </si>
  <si>
    <t>845800471283</t>
  </si>
  <si>
    <t>032691900008261</t>
  </si>
  <si>
    <t>2-A-005 TRIMBAKESHWAR APARTMENT CHANDKHEDA AHMEDABAD 382424</t>
  </si>
  <si>
    <t>VE1592</t>
  </si>
  <si>
    <t>PATELIYA NEVIL BAKULBHAI</t>
  </si>
  <si>
    <t>NEVIL</t>
  </si>
  <si>
    <t>BAKULBHAI</t>
  </si>
  <si>
    <t>FKNPP1926A</t>
  </si>
  <si>
    <t>925546322604</t>
  </si>
  <si>
    <t>84620100013407</t>
  </si>
  <si>
    <t>aishvariyajirala@gmail.com</t>
  </si>
  <si>
    <t>snehlatakotwal@gmail.com</t>
  </si>
  <si>
    <t>neharathor1807@gmail.com</t>
  </si>
  <si>
    <t>nevilpateliya9574@gmail.com</t>
  </si>
  <si>
    <t>GOPAT SUFIYABEN PUNAJI</t>
  </si>
  <si>
    <t>GOPAT</t>
  </si>
  <si>
    <t>SUFIYABEN</t>
  </si>
  <si>
    <t>PUNAJI</t>
  </si>
  <si>
    <t>EAKPG6904B</t>
  </si>
  <si>
    <t>501859482374</t>
  </si>
  <si>
    <t>40201509771</t>
  </si>
  <si>
    <t>BALIYA LIMDI, PRABHUNAGAR, ASARWA, A'BAD 380016</t>
  </si>
  <si>
    <t>KANADAR, VIJAYNAGAR, SABARKANTHA</t>
  </si>
  <si>
    <t>gopatsufiya06@gmail.com</t>
  </si>
  <si>
    <t>BRIJESH</t>
  </si>
  <si>
    <t>NA</t>
  </si>
  <si>
    <t>101895222436</t>
  </si>
  <si>
    <t>101418120618</t>
  </si>
  <si>
    <t>101834650126</t>
  </si>
  <si>
    <t>101988276710</t>
  </si>
  <si>
    <t>102005811003</t>
  </si>
  <si>
    <t>101936008093</t>
  </si>
  <si>
    <t>101905734150</t>
  </si>
  <si>
    <t>CLINICAL RESEARCH CO-ORDI.</t>
  </si>
  <si>
    <t>VE1593</t>
  </si>
  <si>
    <t>KHRISTI NENSI PRAVINBHAI</t>
  </si>
  <si>
    <t>KHRISTI NENCYBEN PRAVINBHAI</t>
  </si>
  <si>
    <t>KHRISTI</t>
  </si>
  <si>
    <t>NENCYBEN</t>
  </si>
  <si>
    <t>9537202899 9974656040</t>
  </si>
  <si>
    <t>MEEPK1269K</t>
  </si>
  <si>
    <t>786071923338</t>
  </si>
  <si>
    <t>50461949417</t>
  </si>
  <si>
    <t>IDIB000B631</t>
  </si>
  <si>
    <t>C305 PUJAN APPARTMENT, SHYAM, SHEKHAR, BAPUNAGAR, A'BAD 382345</t>
  </si>
  <si>
    <t>nansikhristi85173@gmail.com</t>
  </si>
  <si>
    <t>VE1594</t>
  </si>
  <si>
    <t>SUTHAR SWATI JAGDISHBHAI</t>
  </si>
  <si>
    <t>SUTHAR SWATIBEN JAGDISHBHAI</t>
  </si>
  <si>
    <t>SUTHAR</t>
  </si>
  <si>
    <t>6355992380 9904786636</t>
  </si>
  <si>
    <t>NQWPS0977R</t>
  </si>
  <si>
    <t>719868802567</t>
  </si>
  <si>
    <t>39665618263</t>
  </si>
  <si>
    <t>AT -FINCHOD, TA -IDAR, DI- SABARKANTHA</t>
  </si>
  <si>
    <t>BEHIND CANCER HOSPITAL, NEW KHODIDAS NI CHALI, A'BAD 380016</t>
  </si>
  <si>
    <t>sutharswati37@gmail.com</t>
  </si>
  <si>
    <t>VE1595</t>
  </si>
  <si>
    <t>CHAUHAN MANISH SHYAMKUMAR</t>
  </si>
  <si>
    <t>SHYAMKUMAR</t>
  </si>
  <si>
    <t>BHRPC7577D</t>
  </si>
  <si>
    <t>342003398982</t>
  </si>
  <si>
    <t>08510100040566</t>
  </si>
  <si>
    <t>YADAV ESTATE, G.D HIGH SCHOOL ROAD, HIRAWADI, A'BAD 382345</t>
  </si>
  <si>
    <t>manishc67618@gamil.com</t>
  </si>
  <si>
    <t>VE1596</t>
  </si>
  <si>
    <t>VE1597</t>
  </si>
  <si>
    <t>HIRAL BABUBHAI PARMAR</t>
  </si>
  <si>
    <t>EOPPP9707A</t>
  </si>
  <si>
    <t>398723920979</t>
  </si>
  <si>
    <t>3477007241</t>
  </si>
  <si>
    <t>CBIN0282261</t>
  </si>
  <si>
    <t>10/B, GOVIND NAGAR SOCIETY, B/H OLD PILOT DAIRY, KANKARIA, A'BAD 380022</t>
  </si>
  <si>
    <t>parmarhiral777@gmail.com</t>
  </si>
  <si>
    <t>PAYAL RAMESHCHANDRA VAGHELA</t>
  </si>
  <si>
    <t>RAMESHCHANDRA</t>
  </si>
  <si>
    <t>PGDMLT, BSC</t>
  </si>
  <si>
    <t>COIPV0494M</t>
  </si>
  <si>
    <t>447609914971</t>
  </si>
  <si>
    <t>01560100041203</t>
  </si>
  <si>
    <t>BARB0MANSAX</t>
  </si>
  <si>
    <t>ROHITVAS, MANSA, GANDHINAGAR 382845</t>
  </si>
  <si>
    <t>payalvaghela8121@gmail.com</t>
  </si>
  <si>
    <t>C305 PUJAN APPARTMENT, SHYAM SHEKHAR, BAPUNAGAR, A'BAD 382345</t>
  </si>
  <si>
    <t>VE1598</t>
  </si>
  <si>
    <t>SOLANKI PRIYANKABA GAFURSINH</t>
  </si>
  <si>
    <t>PRIYANKABA</t>
  </si>
  <si>
    <t>GAFURSINH</t>
  </si>
  <si>
    <t>9316606950 7600852493</t>
  </si>
  <si>
    <t>861847409671</t>
  </si>
  <si>
    <t>03300100038244</t>
  </si>
  <si>
    <t>TIMBAVAS, CHARED, KHEDA 387630</t>
  </si>
  <si>
    <t>pgsolanki20014@gmail.com</t>
  </si>
  <si>
    <t>VE1599</t>
  </si>
  <si>
    <t>PREXABEN RAJENDRAKUMAR PATEL</t>
  </si>
  <si>
    <t>PREXABEN</t>
  </si>
  <si>
    <t>RAJENDRAKUMAR</t>
  </si>
  <si>
    <t>9974591791 9725691791</t>
  </si>
  <si>
    <t>HXCPP6534C</t>
  </si>
  <si>
    <t>639311197360</t>
  </si>
  <si>
    <t>221710110013348</t>
  </si>
  <si>
    <t>BKID0002217</t>
  </si>
  <si>
    <t>PATEL VAS, KARBATIYA, VADNAGAR, MAHESANA 384355</t>
  </si>
  <si>
    <t>prexabenpatel0408@gmail.com</t>
  </si>
  <si>
    <t>VE1600</t>
  </si>
  <si>
    <t>RATHOD BHUMIKA PRAVINSINH</t>
  </si>
  <si>
    <t>RATHOD BHUMIKA</t>
  </si>
  <si>
    <t>PRAVINSINH</t>
  </si>
  <si>
    <t>6356946273 7043967871</t>
  </si>
  <si>
    <t>CNRPR0587F</t>
  </si>
  <si>
    <t>727006466284</t>
  </si>
  <si>
    <t>5519858192</t>
  </si>
  <si>
    <t>A-23, MANGALDEEP APPARTMENT, SAIJPUR BOGHA, A'BAD 382345</t>
  </si>
  <si>
    <t>bhumikarathod4830@gmail.com</t>
  </si>
  <si>
    <t>VE1601</t>
  </si>
  <si>
    <t>MACWAN BLOSSOM DIPESHKUMAR</t>
  </si>
  <si>
    <t>BLOSSOM</t>
  </si>
  <si>
    <t>DIPESHKUMAR</t>
  </si>
  <si>
    <t>9484546344 9727086154</t>
  </si>
  <si>
    <t>GDKPM8717F</t>
  </si>
  <si>
    <t>200816642471</t>
  </si>
  <si>
    <t>03300100035483</t>
  </si>
  <si>
    <t>J/405, AAKRUTI TOWNSHIP, NAROL, A'BAD 382405</t>
  </si>
  <si>
    <t>macwanrichi@gmail.com</t>
  </si>
  <si>
    <t>VE1602</t>
  </si>
  <si>
    <t>PATEL DIPEN ARVINDBHAI</t>
  </si>
  <si>
    <t>DIPEN</t>
  </si>
  <si>
    <t>B.PHARM, D.PHARM</t>
  </si>
  <si>
    <t>DHQPP4602F</t>
  </si>
  <si>
    <t>298852651943</t>
  </si>
  <si>
    <t>35737352139</t>
  </si>
  <si>
    <t>B-36, NILKANTH SOCIETY, NEAR JIVANPRAKASH SCHOOL, A'BAD 380026</t>
  </si>
  <si>
    <t>pateldipen1213@gmail.com</t>
  </si>
  <si>
    <t>VE1603</t>
  </si>
  <si>
    <t>NINAMA SHIVANGI PRAKASHBHAI</t>
  </si>
  <si>
    <t>NINAMA SHIVANGI</t>
  </si>
  <si>
    <t>SHIVANGI</t>
  </si>
  <si>
    <t>943427679164</t>
  </si>
  <si>
    <t>202110110018287</t>
  </si>
  <si>
    <t>B/1/20, GAYAKWAD HAVELI POLICE LINE, JAMALPUR, A'BAD 380001</t>
  </si>
  <si>
    <t>VE1604</t>
  </si>
  <si>
    <t>DAMOR SHRADDHABEN CHHAGANBHAI</t>
  </si>
  <si>
    <t>DAMOR SHRADHABEN</t>
  </si>
  <si>
    <t>SHRADHABEN</t>
  </si>
  <si>
    <t>CHHAGANBHAI</t>
  </si>
  <si>
    <t>6359071229 7284990166</t>
  </si>
  <si>
    <t>328934798357</t>
  </si>
  <si>
    <t>38779367949</t>
  </si>
  <si>
    <t>SBIN0010862</t>
  </si>
  <si>
    <t>B-9/97, POLICE HEAD QUARTERS, UNIVERCITY ROAD, B/H, RAILWAY STATION, PATAN 384265</t>
  </si>
  <si>
    <t>shraddhadamor53@gmail.com</t>
  </si>
  <si>
    <t>VE1606</t>
  </si>
  <si>
    <t>2, MANGLAL PARK SOCIETY, VITTHALNAGAR CHAR RASTA, SAHIBAUG, A'BAD</t>
  </si>
  <si>
    <t>KRUSHNANAGAR, UNA, GIR SOMNATH 362560</t>
  </si>
  <si>
    <t>bhavikajadav795@gmail.com</t>
  </si>
  <si>
    <t>VE1607</t>
  </si>
  <si>
    <t>SAVALIYA GRISHMA ARVINDBHAI</t>
  </si>
  <si>
    <t>9106665398 9725615210</t>
  </si>
  <si>
    <t>640304658351</t>
  </si>
  <si>
    <t>B-702, SURYAM AURA, OPP. MUKTIDHAM POLICE STATION, NR. BAPS TEMPLE, NIKOL, A'BAD 382350</t>
  </si>
  <si>
    <t>PRABHATPUR, JUNAGADH, GUJARAT 362263</t>
  </si>
  <si>
    <t>grishmasavaliya4@gmail.com</t>
  </si>
  <si>
    <t>VE1608</t>
  </si>
  <si>
    <t>VE1609</t>
  </si>
  <si>
    <t>PARMAR PARTH JITENDRABHAI</t>
  </si>
  <si>
    <t>PARMAR PARTH</t>
  </si>
  <si>
    <t>B.COM, ITI COPA</t>
  </si>
  <si>
    <t>GUOPP4935D</t>
  </si>
  <si>
    <t>369647858034</t>
  </si>
  <si>
    <t>6956040523</t>
  </si>
  <si>
    <t>IDIB000S281</t>
  </si>
  <si>
    <t>41, GANPAT SOCIETY, NEW CIVIL HOSPITAL, SAHIBAUG, A'BAD 380004</t>
  </si>
  <si>
    <t>parthparmar1215@gmail.com</t>
  </si>
  <si>
    <t>DIXIT DIVYANG VINODBHAI</t>
  </si>
  <si>
    <t>DIXIT DIVYANG</t>
  </si>
  <si>
    <t>B.A , COPA</t>
  </si>
  <si>
    <t>GHIPD9686Q</t>
  </si>
  <si>
    <t>389662736149</t>
  </si>
  <si>
    <t>75840100018933</t>
  </si>
  <si>
    <t>52/400, G.H.B, MEGHANINAGAR, AHMEDABAD 380016</t>
  </si>
  <si>
    <t>dixitdivyangv@gmail.com</t>
  </si>
  <si>
    <t>BARB0BAGADU</t>
  </si>
  <si>
    <t>VE1610</t>
  </si>
  <si>
    <t>VE1611</t>
  </si>
  <si>
    <t>GOHIL DHARA BHARATBHAI</t>
  </si>
  <si>
    <t>DHDPG3309F</t>
  </si>
  <si>
    <t>647462484941</t>
  </si>
  <si>
    <t>32440396413</t>
  </si>
  <si>
    <t>HIRAWADI, AHMEDABAD.</t>
  </si>
  <si>
    <t>LUVARIYA DARVAJA BAHAR, VANKAR VAS, LATHI, AMRELI 365430</t>
  </si>
  <si>
    <t>dharagohil6300@gmail.com</t>
  </si>
  <si>
    <t>KOTADIYA MANSI DINESHBHAI</t>
  </si>
  <si>
    <t>643721119348</t>
  </si>
  <si>
    <t>36527062269</t>
  </si>
  <si>
    <t>BAGICHA PLOT, LATHI, AMRELI 365430</t>
  </si>
  <si>
    <t>mansikotadiya31@gmail.com</t>
  </si>
  <si>
    <t>VE1612</t>
  </si>
  <si>
    <t>VE1613</t>
  </si>
  <si>
    <t>KURIYA POOJA PRAVINBHAI</t>
  </si>
  <si>
    <t>KURIYA POOJABEN PRAVINBHAI</t>
  </si>
  <si>
    <t>KURIYA</t>
  </si>
  <si>
    <t>POOJABEN</t>
  </si>
  <si>
    <t>8849404869 9265276081</t>
  </si>
  <si>
    <t>GRSPP8925G</t>
  </si>
  <si>
    <t>381405115798</t>
  </si>
  <si>
    <t>42466348478</t>
  </si>
  <si>
    <t>SBIN0060199</t>
  </si>
  <si>
    <t>PANDATIRATH, SURENDRA NAGAR 363330</t>
  </si>
  <si>
    <t>kuriyapooja22@gmail.com</t>
  </si>
  <si>
    <t>TWINKAL MALABHAI RABARI</t>
  </si>
  <si>
    <t>RABARI</t>
  </si>
  <si>
    <t>TWINKAL</t>
  </si>
  <si>
    <t>MALABHAI</t>
  </si>
  <si>
    <t>ENPPR5773H</t>
  </si>
  <si>
    <t>785262693303</t>
  </si>
  <si>
    <t>07210100036865</t>
  </si>
  <si>
    <t>BARB0MODASA</t>
  </si>
  <si>
    <t>MULOJ, MODASA, SABARKANTHA 383315</t>
  </si>
  <si>
    <t>rabaritwinkal9985@gmail.com</t>
  </si>
  <si>
    <t>11418100000679</t>
  </si>
  <si>
    <t>VE1614</t>
  </si>
  <si>
    <t>VE1615</t>
  </si>
  <si>
    <t>VE1616</t>
  </si>
  <si>
    <t>PATEL DHRUHIL</t>
  </si>
  <si>
    <t>DHRUHIL</t>
  </si>
  <si>
    <t>NANDUBHAI</t>
  </si>
  <si>
    <t>BE-IT</t>
  </si>
  <si>
    <t>COMPUTER - IT ENGINEER</t>
  </si>
  <si>
    <t>FFLPP0190F</t>
  </si>
  <si>
    <t>841570801365</t>
  </si>
  <si>
    <t>655, GHANSHYAM NAGAR SOCIETY, ZUNDAL, GANDHINAGAR 382421</t>
  </si>
  <si>
    <t>pateldhruhil80@gmail.com</t>
  </si>
  <si>
    <t>MODI AASHKA SAUMIL</t>
  </si>
  <si>
    <t>AASHKA</t>
  </si>
  <si>
    <t>9106815623 9624845042</t>
  </si>
  <si>
    <t>COHPM1774A</t>
  </si>
  <si>
    <t>393537384421</t>
  </si>
  <si>
    <t>A-11, SHREEJI BUNGLOWS, BEHIND GALAXY CINEMA, NARODA, AHMEDABAD 382330</t>
  </si>
  <si>
    <t>draashkamodi@gmail.com</t>
  </si>
  <si>
    <t>KALASVA VARSHABEN VISHNUBHAI</t>
  </si>
  <si>
    <t>VARSHABEN KALASVA</t>
  </si>
  <si>
    <t>VARSHABEN</t>
  </si>
  <si>
    <t>CSYPK7578P</t>
  </si>
  <si>
    <t>734239926177</t>
  </si>
  <si>
    <t>20024261819</t>
  </si>
  <si>
    <t>SBIN0060400</t>
  </si>
  <si>
    <t>31 SECTOR 3, NANDIGRAM, NOBALNAGAR, AHMEDABAD</t>
  </si>
  <si>
    <t>varshakalasva000@gmail.com</t>
  </si>
  <si>
    <t>50100709577650</t>
  </si>
  <si>
    <t>HDFC0004894</t>
  </si>
  <si>
    <t>913010044281203</t>
  </si>
  <si>
    <t>UTIB0001660</t>
  </si>
  <si>
    <t>VE1617</t>
  </si>
  <si>
    <t>VE1618</t>
  </si>
  <si>
    <t>SADAT PALLAVIBEN MAGANBHAI</t>
  </si>
  <si>
    <t>PALLAVIBEN</t>
  </si>
  <si>
    <t>B.TECH</t>
  </si>
  <si>
    <t>DISHABEN NIRMIT PANCHAL</t>
  </si>
  <si>
    <t>PANCHAL DISHABEN NIRMIT</t>
  </si>
  <si>
    <t>NIRMIT</t>
  </si>
  <si>
    <t>B.SC, MBA</t>
  </si>
  <si>
    <t>7043377577 9662207577</t>
  </si>
  <si>
    <t>DUTPP46088B</t>
  </si>
  <si>
    <t>224105716106</t>
  </si>
  <si>
    <t>17, PATHIK SOCIETY, NIKOL, AHMEDABAD 382350</t>
  </si>
  <si>
    <t>dishapanchal76@gmail.com</t>
  </si>
  <si>
    <t>pallavisadat123@gmail.com</t>
  </si>
  <si>
    <t>PALLAVIBEN MAGANBHAI SADAT</t>
  </si>
  <si>
    <t>QEYPS5106B</t>
  </si>
  <si>
    <t>282430126768</t>
  </si>
  <si>
    <t>RANJEDI, VANIAWADA, SABARKANTHA 383350</t>
  </si>
  <si>
    <t>VE1619</t>
  </si>
  <si>
    <t>VE1621</t>
  </si>
  <si>
    <t>VE1622</t>
  </si>
  <si>
    <t>PARMAR HIRALBEN KARSHANBHAI</t>
  </si>
  <si>
    <t>HIRALBEN KARSHANBHAI PARMAR</t>
  </si>
  <si>
    <t>8128039755 8799276067</t>
  </si>
  <si>
    <t>DPOPP8422K</t>
  </si>
  <si>
    <t>406906660301</t>
  </si>
  <si>
    <t>3997229819</t>
  </si>
  <si>
    <t>05, HARSHADNAGAR SOCIETY, NANA CHILODA, NARODA, AHMEDABAD 382330</t>
  </si>
  <si>
    <t>parmarhiral1205@gmail.com</t>
  </si>
  <si>
    <t>VE1623</t>
  </si>
  <si>
    <t>RADADIYA MANISHABEN MUKESHBHAI</t>
  </si>
  <si>
    <t>RADADIYA</t>
  </si>
  <si>
    <t>9712118067 8655921682</t>
  </si>
  <si>
    <t>MAKWANA MITTAL MAHESHBHAI</t>
  </si>
  <si>
    <t>MAKWANA MITTALBEN</t>
  </si>
  <si>
    <t>6353756578 7600179211</t>
  </si>
  <si>
    <t>IAIPM3811B</t>
  </si>
  <si>
    <t>878814150326</t>
  </si>
  <si>
    <t>201010510000456</t>
  </si>
  <si>
    <t>174, BACHUBHAI JETHALAL NI DHABAVALI CHALI, OPP JETHALAL NI CHALI, BEHRAMPURA, A'BAD 380022</t>
  </si>
  <si>
    <t>makwanamittal40393@gmail.com</t>
  </si>
  <si>
    <t>TIMBADIYA PALLVITA SAGARBHAI</t>
  </si>
  <si>
    <t>531889384699</t>
  </si>
  <si>
    <t>VE1624</t>
  </si>
  <si>
    <t>VE1625</t>
  </si>
  <si>
    <t>VE1626</t>
  </si>
  <si>
    <t>VE1627</t>
  </si>
  <si>
    <t>PRAJAPATI DAXESH SURESHBHAI</t>
  </si>
  <si>
    <t>PRAJAPATI DAXESH</t>
  </si>
  <si>
    <t>9327352624 8780027750</t>
  </si>
  <si>
    <t>HBSPD1734E</t>
  </si>
  <si>
    <t>204264531681</t>
  </si>
  <si>
    <t>39991395376</t>
  </si>
  <si>
    <t>SBIN0018085</t>
  </si>
  <si>
    <t>MEDHASAN, MODASA, ARVALLI.</t>
  </si>
  <si>
    <t>B-312, ABHAYAM CIVIL QUARTERS, AHMEDABAD</t>
  </si>
  <si>
    <t>daxeshprajapati2904@gmail.com</t>
  </si>
  <si>
    <t>RATHOD VAISHALIBEN NAVGHANBHAI</t>
  </si>
  <si>
    <t>VAISHALIBEN</t>
  </si>
  <si>
    <t>NAVGHANBHAI</t>
  </si>
  <si>
    <t>9016126904 9879351441</t>
  </si>
  <si>
    <t>FBMPR0626H</t>
  </si>
  <si>
    <t>443826437262</t>
  </si>
  <si>
    <t>6834317348</t>
  </si>
  <si>
    <t>KRISHNA PARK, NARSINHPARA, DHRANGADHRA, SURENDRANAGAR</t>
  </si>
  <si>
    <t>STAVAN RESIDENCY, GOTA, AHMEDABAD</t>
  </si>
  <si>
    <t>rathodvaishali1902@gmail.com</t>
  </si>
  <si>
    <t>BARAD URVISHA KESHUBHAI</t>
  </si>
  <si>
    <t>URVISHABEN KESHUBHAI BARAD</t>
  </si>
  <si>
    <t>URVISHABEN</t>
  </si>
  <si>
    <t>8849981983 8980621600</t>
  </si>
  <si>
    <t>FUPPB0554L</t>
  </si>
  <si>
    <t>283980547847</t>
  </si>
  <si>
    <t>40194302591</t>
  </si>
  <si>
    <t>55, PAMAVADI, P O DEVLI, JUNAGADH 362720</t>
  </si>
  <si>
    <t>PRABHUNAGAR, ASARWA, AHMEDABAD</t>
  </si>
  <si>
    <t>urvishabarad8787@gmail.com</t>
  </si>
  <si>
    <t>VAISHNAV PREMKUMAR HASMUKHBHAI</t>
  </si>
  <si>
    <t>VAISHNAV</t>
  </si>
  <si>
    <t>PREMKUMAR</t>
  </si>
  <si>
    <t>9723534687 7990271476</t>
  </si>
  <si>
    <t>BUWPV7965E</t>
  </si>
  <si>
    <t>822557174248</t>
  </si>
  <si>
    <t>36996404470</t>
  </si>
  <si>
    <t>SBIN0003047</t>
  </si>
  <si>
    <t>SAI BABA MANDIR, HUDAKO SOCIETY, VERAVAL, JUNAGADH</t>
  </si>
  <si>
    <t>ABHYAM QUARTERS, SHAHIBAUG, AHMEDABAD</t>
  </si>
  <si>
    <t>prem.vaishnav356@gmail.com</t>
  </si>
  <si>
    <t>VE1628</t>
  </si>
  <si>
    <t>VE1629</t>
  </si>
  <si>
    <t>VE1630</t>
  </si>
  <si>
    <t>PATEL MONIKABEN KANJIBHAI</t>
  </si>
  <si>
    <t>PATEL MONIKABEN</t>
  </si>
  <si>
    <t>KANJIBHAI</t>
  </si>
  <si>
    <t>9512371761 7285880141</t>
  </si>
  <si>
    <t>EVDPP2029G</t>
  </si>
  <si>
    <t>300891027102</t>
  </si>
  <si>
    <t>38631020687</t>
  </si>
  <si>
    <t>VILLEGE DANTOD, VIJAYNAGAR, SABARKANTHA 383462</t>
  </si>
  <si>
    <t>D-308, PRINCE RESIDENCY, NANA CHILODA, AHMEDABAD 382330</t>
  </si>
  <si>
    <t>aalishasurati466@gmail.com</t>
  </si>
  <si>
    <t>19998sonikapatel@gmail.com</t>
  </si>
  <si>
    <t>SURATI AALISHA ANILBHAI</t>
  </si>
  <si>
    <t>SURATI AALISHA</t>
  </si>
  <si>
    <t>SURATI</t>
  </si>
  <si>
    <t>AALISHA</t>
  </si>
  <si>
    <t>8320901025 9998489331</t>
  </si>
  <si>
    <t>NVBPS5112N</t>
  </si>
  <si>
    <t>287505487529</t>
  </si>
  <si>
    <t>50100484037470</t>
  </si>
  <si>
    <t>HDFC0009444</t>
  </si>
  <si>
    <t>112/1342 LAXMIKRUPA G.H.B FLAT NEAR PATEL DAIRY SOLA ROAD AHMEDABAD 380063</t>
  </si>
  <si>
    <t>HIRALBEN BHIL</t>
  </si>
  <si>
    <t>NILESHBHAI C PARMAR</t>
  </si>
  <si>
    <t>PARMAR NILESHBHAI</t>
  </si>
  <si>
    <t>NILESHBHAI</t>
  </si>
  <si>
    <t>CHIMANBHAI</t>
  </si>
  <si>
    <t>9558156875 8460573106</t>
  </si>
  <si>
    <t>CAOPP1115M</t>
  </si>
  <si>
    <t>466168944501</t>
  </si>
  <si>
    <t>0511696761</t>
  </si>
  <si>
    <t>KKBK0000825</t>
  </si>
  <si>
    <t>C-98, GHANSHYAM NAGAR, OPP KOTARPUR WATER WORKS, KUBERNAGAR, A'BAD 382340</t>
  </si>
  <si>
    <t>healthcare.ncp@gmail.com</t>
  </si>
  <si>
    <t>BCOM, ITI</t>
  </si>
  <si>
    <t>HWCPB266C</t>
  </si>
  <si>
    <t>hari.radadiya1998@gmail.com</t>
  </si>
  <si>
    <t>CEOPR9672C</t>
  </si>
  <si>
    <t>203416510000423</t>
  </si>
  <si>
    <t>BKID0002034</t>
  </si>
  <si>
    <t>1, SURYARATH TENAMENT, NEW KATHVADA ROAD, NARODA, AHMEDABAD 382330</t>
  </si>
  <si>
    <t>3276497641</t>
  </si>
  <si>
    <t>C-44-5, SWIMAN PARK, KUBERNAGAR, NEAR KOTARPUR WATER WORKS, AHMEDABAD 382330</t>
  </si>
  <si>
    <t>hiral@gmail.com</t>
  </si>
  <si>
    <t>54890100003539</t>
  </si>
  <si>
    <t>BARB0MODARV</t>
  </si>
  <si>
    <t>VE1631</t>
  </si>
  <si>
    <t>RATHOD DAKSH BHARATBHAI</t>
  </si>
  <si>
    <t>RATHOD DAKSH</t>
  </si>
  <si>
    <t>DAKSH</t>
  </si>
  <si>
    <t>9067662377 9998513868</t>
  </si>
  <si>
    <t>DNNPR3432L</t>
  </si>
  <si>
    <t>700792709918</t>
  </si>
  <si>
    <t>20385844425</t>
  </si>
  <si>
    <t>SBIN0005097</t>
  </si>
  <si>
    <t>375, SURYANAGAR SOCIETY, TIMES OF INDIA ROAD, SATELLITE, A'BAD 380051</t>
  </si>
  <si>
    <t>VE1632</t>
  </si>
  <si>
    <t>DADLIA DHIMANT</t>
  </si>
  <si>
    <t>DADLIA</t>
  </si>
  <si>
    <t>DHIMANT</t>
  </si>
  <si>
    <t>BHARATKUMAR</t>
  </si>
  <si>
    <t>GZLPD7003N</t>
  </si>
  <si>
    <t>974446944526</t>
  </si>
  <si>
    <t>40138820429</t>
  </si>
  <si>
    <t>40, AMBIKANAGAR, BAPUNAGAR, AHMEDABAD 380024</t>
  </si>
  <si>
    <t>dhimantdadlia0379@gmail.com</t>
  </si>
  <si>
    <t>VE1633</t>
  </si>
  <si>
    <t>VAIBHAVIBEN GOVINDBHAI CHAUDHARI</t>
  </si>
  <si>
    <t>9974048001 7567311867</t>
  </si>
  <si>
    <t>CWXPC8717M</t>
  </si>
  <si>
    <t>807562457212</t>
  </si>
  <si>
    <t>38189305711</t>
  </si>
  <si>
    <t>SBIN0013466</t>
  </si>
  <si>
    <t>PANCHAYAT SAME, UNAD, MAHESANA 384335</t>
  </si>
  <si>
    <t>vaibhavichaudhary20@gmail.com</t>
  </si>
  <si>
    <t>VE1634</t>
  </si>
  <si>
    <t>KOTWAL SURBHIBEN RAVINDRABHAI</t>
  </si>
  <si>
    <t>SURBHIBEN</t>
  </si>
  <si>
    <t>RAVINDRABHAI</t>
  </si>
  <si>
    <t>GKDPK4550E</t>
  </si>
  <si>
    <t>519149063246</t>
  </si>
  <si>
    <t>PARVATH, SABARKANTHA 383246</t>
  </si>
  <si>
    <t>VE1635</t>
  </si>
  <si>
    <t>SANDHI MUSKAN SALIMBHAI</t>
  </si>
  <si>
    <t>SANDHI MUSKANBANU</t>
  </si>
  <si>
    <t>SANDHI</t>
  </si>
  <si>
    <t>MUSKANBANU</t>
  </si>
  <si>
    <t>SALIMBHAI</t>
  </si>
  <si>
    <t>9016859871 9824612574</t>
  </si>
  <si>
    <t>HSOPM2200M</t>
  </si>
  <si>
    <t>670631087163</t>
  </si>
  <si>
    <t>75618100003816</t>
  </si>
  <si>
    <t>BARB0DBGOMT</t>
  </si>
  <si>
    <t>1688, MANIYARVADO, RAJPUR TOLNAKA, GOMTIPUR, AHMEDABAD 380021</t>
  </si>
  <si>
    <t>muskansandhi31@gmail.com</t>
  </si>
  <si>
    <t>VE1636</t>
  </si>
  <si>
    <t>VE1637</t>
  </si>
  <si>
    <t>VE1638</t>
  </si>
  <si>
    <t>MODI VISHWA BHARATBHAI</t>
  </si>
  <si>
    <t>VISHWA</t>
  </si>
  <si>
    <t>9904411499 9824411499</t>
  </si>
  <si>
    <t>FZLPB2323G</t>
  </si>
  <si>
    <t>916774526011</t>
  </si>
  <si>
    <t>C-85, ANJANEYKRUPA SOCIETY, NEAR UMA SHIKSHAN TIRTH, NARODA, A'BAD 382330</t>
  </si>
  <si>
    <t>vishumodi322001@gmail.com</t>
  </si>
  <si>
    <t>ANJALIBEN RAVAT</t>
  </si>
  <si>
    <t>RAVAT</t>
  </si>
  <si>
    <t>GUNVANTBHAI</t>
  </si>
  <si>
    <t>9574038494 9773029412</t>
  </si>
  <si>
    <t>FEPPR3651G</t>
  </si>
  <si>
    <t>356629326678</t>
  </si>
  <si>
    <t>50100385551712</t>
  </si>
  <si>
    <t xml:space="preserve">17, DHABHARNAGAR SOCIETY, SAHIBAUG, A'BAD </t>
  </si>
  <si>
    <t>SENMAVAS, PILUDRA, MAHESANA 384001</t>
  </si>
  <si>
    <t>ravatanjali99@gmail.com</t>
  </si>
  <si>
    <t>634426085225</t>
  </si>
  <si>
    <t xml:space="preserve">PARMAR KRISHNA </t>
  </si>
  <si>
    <t>HGTPP7987K</t>
  </si>
  <si>
    <t>743000134837</t>
  </si>
  <si>
    <t>75840100013577</t>
  </si>
  <si>
    <t xml:space="preserve">35-630, VIJAYNAGAR, CHUVALNAGAR, VIBHAG 5, BHARGAV ROAD,MEGHANINAGAR, A'BAD </t>
  </si>
  <si>
    <t>parmarkrishna2608@gmail.com</t>
  </si>
  <si>
    <t>VE1639</t>
  </si>
  <si>
    <t>HIRPARA PRITI RAMESHBHAI</t>
  </si>
  <si>
    <t>HIRPARA PRITI</t>
  </si>
  <si>
    <t>BAMS</t>
  </si>
  <si>
    <t>AVJPH2294P</t>
  </si>
  <si>
    <t>880462128761</t>
  </si>
  <si>
    <t>32455453354</t>
  </si>
  <si>
    <t>DELHIWALI CHALI, OPP D COLONY, NARODA ROAD, SAIJPURBOGHA,A'BAD 382345</t>
  </si>
  <si>
    <t>B-30, SWAMINARAYAN PARK, NAVA NARODA, A'BAD 382330</t>
  </si>
  <si>
    <t>pritihirpara81@gmail.com</t>
  </si>
  <si>
    <t>366402010508880</t>
  </si>
  <si>
    <t>50100508942632</t>
  </si>
  <si>
    <t>HDFC0004880</t>
  </si>
  <si>
    <t>VE1640</t>
  </si>
  <si>
    <t>GOPAT MONIKABEN DALJIBHAI</t>
  </si>
  <si>
    <t>DALJIBHAI</t>
  </si>
  <si>
    <t>DSEPG4260H</t>
  </si>
  <si>
    <t>290922492834</t>
  </si>
  <si>
    <t>SAGDAPAT, VIJAYNAGAR, KANADAR, SABARKANTHA 383246</t>
  </si>
  <si>
    <t>monikagopat57@gmail.com</t>
  </si>
  <si>
    <t>rejoining 01-06-24</t>
  </si>
  <si>
    <t>HDFC0CTNNCB</t>
  </si>
  <si>
    <t>50100603877171</t>
  </si>
  <si>
    <t>3714607930</t>
  </si>
  <si>
    <t>VE1641</t>
  </si>
  <si>
    <t>TUVAR KHUSHI JITENDRAKUMAR</t>
  </si>
  <si>
    <t>TUVAR KHUSHI</t>
  </si>
  <si>
    <t>TUVAR</t>
  </si>
  <si>
    <t>9409176673 9737408258</t>
  </si>
  <si>
    <t>CMPPT1785G</t>
  </si>
  <si>
    <t>619402715111</t>
  </si>
  <si>
    <t>55430100008902</t>
  </si>
  <si>
    <t>41/490, ADARSHNAGAR, NEAR PRAGATINAGAR, NARANPURA, AHMEDABAD 380013</t>
  </si>
  <si>
    <t>khushijtuvar2002@gmail.com</t>
  </si>
  <si>
    <t>VE1642</t>
  </si>
  <si>
    <t>9638192889 9825769685</t>
  </si>
  <si>
    <t>FTEPB9221G</t>
  </si>
  <si>
    <t>343648334960</t>
  </si>
  <si>
    <t>42187116373</t>
  </si>
  <si>
    <t>SBIN0060100</t>
  </si>
  <si>
    <t>DARIYALAL SHERI, NARSIPARA, DHRANGADHRA, SURENDRA NAGAR 363310</t>
  </si>
  <si>
    <t>tarbundiyajagruti2002@gmail.com</t>
  </si>
  <si>
    <t>VE1643</t>
  </si>
  <si>
    <t>KOMAL BAHEN KURIL</t>
  </si>
  <si>
    <t>KURIL</t>
  </si>
  <si>
    <t>KOMAL BAHEN</t>
  </si>
  <si>
    <t>CHANDRAPAL</t>
  </si>
  <si>
    <t>NQWPK5702A</t>
  </si>
  <si>
    <t>322303712632</t>
  </si>
  <si>
    <t>03300100039223</t>
  </si>
  <si>
    <t>124, MAKUBHAI NA CHHAPRA, GIRDHARNAGAR, A'BAD 380004</t>
  </si>
  <si>
    <t>kurilkomal143@gmail.com</t>
  </si>
  <si>
    <t>VE1644</t>
  </si>
  <si>
    <t>JAIN DIPAKBHAI MAHESHBHAI</t>
  </si>
  <si>
    <t>JAIN</t>
  </si>
  <si>
    <t>7016543519 9714356541</t>
  </si>
  <si>
    <t>BFDPJ3294J</t>
  </si>
  <si>
    <t>554963874138</t>
  </si>
  <si>
    <t>BLOCK NO.1, FLAT NO. 705, PRADHANMANTRI AWAS YOJNA, EWS-51, NEAR VANDEMATRAM CROSS ROAD, GOTA, AHMEDABAD 382481</t>
  </si>
  <si>
    <t>dipakjain291097@gmail.com</t>
  </si>
  <si>
    <t>VE1645</t>
  </si>
  <si>
    <t>DABHI MANOJKUMAR SHANKARBHAI</t>
  </si>
  <si>
    <t>DABHI MANOJKUMAR</t>
  </si>
  <si>
    <t>B.A, CCC</t>
  </si>
  <si>
    <t>B.A, TALLY</t>
  </si>
  <si>
    <t>7878886687 7046748301</t>
  </si>
  <si>
    <t>BTIPD3682H</t>
  </si>
  <si>
    <t>782357083552</t>
  </si>
  <si>
    <t>A, DWARKAPURI SOCIETY, JOGESHWARI ROAD, AMRAIWADI, AHMEDABAD</t>
  </si>
  <si>
    <t>96 DABHI VAS, MEMNA, PATAN</t>
  </si>
  <si>
    <t>206510110003809</t>
  </si>
  <si>
    <t>BKID0002065</t>
  </si>
  <si>
    <t>VE1646</t>
  </si>
  <si>
    <t>CHAVDA DIPIKA PRAVINBHAI</t>
  </si>
  <si>
    <t>DIPIKA PRAVINBHAI CHAVDA</t>
  </si>
  <si>
    <t>DIPIKA</t>
  </si>
  <si>
    <t>CXNPC0813R</t>
  </si>
  <si>
    <t>436936719174</t>
  </si>
  <si>
    <t>03300100032290</t>
  </si>
  <si>
    <t>29- CHITRAKUT SOCIETY, NR. ANAND POLICE STATION, BAPUNAGAR, A'BAD 380024</t>
  </si>
  <si>
    <t>HEDUVA RAJGAR, SAMETRA, MAHESANA 384001</t>
  </si>
  <si>
    <t>dipikachavda2710@gmail.com</t>
  </si>
  <si>
    <t>VE1647</t>
  </si>
  <si>
    <t>DHOLARIYA MITAL ASHVINBHAI</t>
  </si>
  <si>
    <t>DHOLARIYA</t>
  </si>
  <si>
    <t>9316264655 7014422147</t>
  </si>
  <si>
    <t>GYDPD7952K</t>
  </si>
  <si>
    <t>320210019414</t>
  </si>
  <si>
    <t>35085475807</t>
  </si>
  <si>
    <t>SBIN0060067</t>
  </si>
  <si>
    <t>BALIYA LIMDI CHAR RASTA, ASARWA, A'BAD 380016</t>
  </si>
  <si>
    <t>PIPLA VALO PLOT, MAJEVDI, JUNAGADH 362011</t>
  </si>
  <si>
    <t>dholariyamital108@gmail.com</t>
  </si>
  <si>
    <t>VE1648</t>
  </si>
  <si>
    <t>PARENGI RAKESH MALAJI</t>
  </si>
  <si>
    <t>PARENGI</t>
  </si>
  <si>
    <t>MALAJI</t>
  </si>
  <si>
    <t>FLCPP1753F</t>
  </si>
  <si>
    <t>326531609342</t>
  </si>
  <si>
    <t>210110500007105</t>
  </si>
  <si>
    <t>50, NAHERUNAGAR, KUBERNAGAR, AHMEDABAD 382340</t>
  </si>
  <si>
    <t>rakeshparengi799@gmail.com</t>
  </si>
  <si>
    <t>VE1649</t>
  </si>
  <si>
    <t>PARMAR KHYATIBEN</t>
  </si>
  <si>
    <t>KHYATIBEN</t>
  </si>
  <si>
    <t>B.SC, MHM</t>
  </si>
  <si>
    <t>9723054170 9429252382</t>
  </si>
  <si>
    <t>EHWPP5871F</t>
  </si>
  <si>
    <t>290294230970</t>
  </si>
  <si>
    <t>A-7, SHRINAND DUPLEX RAMOL ROAD, C.T.M., NEAR SINDHVAI TEMPLE, A'BAD 380026</t>
  </si>
  <si>
    <t>khyatiparmar1408@gmail.com</t>
  </si>
  <si>
    <t>VE1650</t>
  </si>
  <si>
    <t>YAMANSI NATVARLAL MALAVIYA</t>
  </si>
  <si>
    <t>YAMANSI</t>
  </si>
  <si>
    <t>7069571797 7572895342</t>
  </si>
  <si>
    <t>CKMPM1098J</t>
  </si>
  <si>
    <t>815489545636</t>
  </si>
  <si>
    <t>314502010906627</t>
  </si>
  <si>
    <t>UBIN0531456</t>
  </si>
  <si>
    <t xml:space="preserve">SARITA SOCIETY, 80 FEET ROAD, UTTAM NAGAR, NIKOL, A'BAD </t>
  </si>
  <si>
    <t>KENAL KANTHA, RADHIKA DEPARTMENT, RAYARAJ NAGAR , JETPUR, RAJKOT 360370</t>
  </si>
  <si>
    <t>malaviyayamansi@gmail.com</t>
  </si>
  <si>
    <t>50100453502782</t>
  </si>
  <si>
    <t>HDFC0001288</t>
  </si>
  <si>
    <t>VE1651</t>
  </si>
  <si>
    <t>VE1652</t>
  </si>
  <si>
    <t>VE1653</t>
  </si>
  <si>
    <t>PARMAR JIGARKUMAR AMRUTBHAI</t>
  </si>
  <si>
    <t>JIGARKUMAR PARMAR</t>
  </si>
  <si>
    <t>7574036349 8140447296</t>
  </si>
  <si>
    <t>826122228395</t>
  </si>
  <si>
    <t>PARMAR VAS, SHOBHASAN, GANDHINAGAR 382845</t>
  </si>
  <si>
    <t>jigarparmar52333@gmail.com</t>
  </si>
  <si>
    <t>VE1654</t>
  </si>
  <si>
    <t>PUVAR DIMPAL ASHWINSINH</t>
  </si>
  <si>
    <t>PUVAR DIMPAL</t>
  </si>
  <si>
    <t>PUVAR</t>
  </si>
  <si>
    <t>DIMPAL</t>
  </si>
  <si>
    <t>ASHWINSINH</t>
  </si>
  <si>
    <t>9265000937 9913886635</t>
  </si>
  <si>
    <t>GHNPP6959R</t>
  </si>
  <si>
    <t>287436879825</t>
  </si>
  <si>
    <t>6/85, MUNICIPAL LABOUR QUARTERS, B/H FIRE BRIGADE, NARODA, A'BAD 380016</t>
  </si>
  <si>
    <t>darbardimpalben@gmail.com</t>
  </si>
  <si>
    <t>VE1655</t>
  </si>
  <si>
    <t>SALVI RAVINAKUMARI KISHANLAL</t>
  </si>
  <si>
    <t>SALVI RAVINAKUMARI</t>
  </si>
  <si>
    <t>SALVI</t>
  </si>
  <si>
    <t>RAVINAKUMARI</t>
  </si>
  <si>
    <t>KISHANLAL</t>
  </si>
  <si>
    <t>9461024962 9998323580</t>
  </si>
  <si>
    <t>MTYPS4691C</t>
  </si>
  <si>
    <t>605660569390</t>
  </si>
  <si>
    <t>03210100050990</t>
  </si>
  <si>
    <t>RAM AVTAR NI CHALI, KALAPINAGAR, ASARVA, A'BAD 380016</t>
  </si>
  <si>
    <t>salviravina2000@gmail.com</t>
  </si>
  <si>
    <t>20358604406</t>
  </si>
  <si>
    <t>CHRISTIAN RICHA</t>
  </si>
  <si>
    <t>RICHA</t>
  </si>
  <si>
    <t>RAJESH</t>
  </si>
  <si>
    <t>CENPC2386C</t>
  </si>
  <si>
    <t>639583137685</t>
  </si>
  <si>
    <t>03300100035968</t>
  </si>
  <si>
    <t>28,DIVYAPRABHANAGAR SOCIETY, VIRATNAGAR, A'BAD 382415</t>
  </si>
  <si>
    <t>richachristian10@gmail.com</t>
  </si>
  <si>
    <t>PATNI KAJAL AJAYBHAI</t>
  </si>
  <si>
    <t>AJAYBHAI</t>
  </si>
  <si>
    <t>EVZPP6177D</t>
  </si>
  <si>
    <t>665705860336</t>
  </si>
  <si>
    <t>50100590468956</t>
  </si>
  <si>
    <t>HDFC0000006</t>
  </si>
  <si>
    <t>13/314, BHAKTINAGAR, BAPUNAGAR CROSS ROAD, BAPUNAGAR, A'BAD 380024</t>
  </si>
  <si>
    <t>patanikajal1997@gmail.com</t>
  </si>
  <si>
    <t>TARBUNDIYA JAGRUTIBEN BHAGAVANBHAI</t>
  </si>
  <si>
    <t>VE1656</t>
  </si>
  <si>
    <t>CHAVDA SANJAYKUMAR SHAMJIBHAI</t>
  </si>
  <si>
    <t>CLBPC0033K</t>
  </si>
  <si>
    <t>689402770040</t>
  </si>
  <si>
    <t>41539457992</t>
  </si>
  <si>
    <t>SBIN0060103</t>
  </si>
  <si>
    <t>NEAR GATE NO.5, CIVIL HOSPITAL, ASARWA, AHMEDABAD 380016</t>
  </si>
  <si>
    <t>BEHIND OLD POLICE STATION, KHADIYAPARA, LIMBDI, SURENDRANAGAR</t>
  </si>
  <si>
    <t>sanjaychavda1211@gmail.com</t>
  </si>
  <si>
    <t>SBIN0003793</t>
  </si>
  <si>
    <t>30318849167</t>
  </si>
  <si>
    <t>VE1657</t>
  </si>
  <si>
    <t xml:space="preserve">PANCHAL DHRUVI </t>
  </si>
  <si>
    <t>VIRENDRABHAI</t>
  </si>
  <si>
    <t>GYRPP9916F</t>
  </si>
  <si>
    <t>440660135195</t>
  </si>
  <si>
    <t>34048623166</t>
  </si>
  <si>
    <t>A-38, SUBHLAXMI SOCIETY, KENAL PASE, ODHAV, AHMEDABAD 382415</t>
  </si>
  <si>
    <t>dhruvipanchal2462@gmail.com</t>
  </si>
  <si>
    <t>VE1658</t>
  </si>
  <si>
    <t>KAGDIYA SHOBHNABEN BHUPATBHAI</t>
  </si>
  <si>
    <t>KAGDIYA</t>
  </si>
  <si>
    <t>SOBHNABEN</t>
  </si>
  <si>
    <t>6351484505 9725979868</t>
  </si>
  <si>
    <t>PAAPK7710J</t>
  </si>
  <si>
    <t>387183739273</t>
  </si>
  <si>
    <t>40141016411</t>
  </si>
  <si>
    <t>DEVCHARADI, SURENDRANAGAR, DHRANGDHRA 363320</t>
  </si>
  <si>
    <t>shobhnakagdiya@gmail.com</t>
  </si>
  <si>
    <t>VE1659</t>
  </si>
  <si>
    <t>DABHI PALAK VIPULBHAI</t>
  </si>
  <si>
    <t>PALAK</t>
  </si>
  <si>
    <t>8401836441 9228756441</t>
  </si>
  <si>
    <t>EBPPD9285N</t>
  </si>
  <si>
    <t>500386336718</t>
  </si>
  <si>
    <t>40131437409</t>
  </si>
  <si>
    <t>BHATHI STREET, SHIYANI POL, SHAK MARKET, WADHWAN, SURENDRANAGAR</t>
  </si>
  <si>
    <t>dabhipalak193@gmail.com</t>
  </si>
  <si>
    <t>VE1660</t>
  </si>
  <si>
    <t>VE1661</t>
  </si>
  <si>
    <t>PRAJAPATI GAUTAMBHAI JAYANTIBHAI</t>
  </si>
  <si>
    <t>9723062416 9712654993</t>
  </si>
  <si>
    <t>GMYPP9841Q</t>
  </si>
  <si>
    <t>796718146030</t>
  </si>
  <si>
    <t>03210100053523</t>
  </si>
  <si>
    <t>5, RAMESHWAR APPARTMENT, MUKHIVAS, ASARWA</t>
  </si>
  <si>
    <t>KOLIWADA, PATAN 385340</t>
  </si>
  <si>
    <t>gautamprajapati8803@gmail.com</t>
  </si>
  <si>
    <t>VE1662</t>
  </si>
  <si>
    <t xml:space="preserve">BHASKAR JAGRUTI </t>
  </si>
  <si>
    <t>BHASKAR JAGRUTIBEN SURESHBHAI</t>
  </si>
  <si>
    <t>BHASKAR</t>
  </si>
  <si>
    <t>7435854580 7435854580</t>
  </si>
  <si>
    <t>HJPPB9265P</t>
  </si>
  <si>
    <t>761039749275</t>
  </si>
  <si>
    <t>37262688958</t>
  </si>
  <si>
    <t>SBIN0000312</t>
  </si>
  <si>
    <t>AMBEDKAR NAGAR, PIPALLAG, AMRELI 365455</t>
  </si>
  <si>
    <t>VE1663</t>
  </si>
  <si>
    <t>MORI HITEN KUMAR JODHABHAI</t>
  </si>
  <si>
    <t>HITEN KUMAR</t>
  </si>
  <si>
    <t>JODHABHAI</t>
  </si>
  <si>
    <t>7433098338 7859975497</t>
  </si>
  <si>
    <t>CFUPJ0405D</t>
  </si>
  <si>
    <t>437413542440</t>
  </si>
  <si>
    <t>32863719107</t>
  </si>
  <si>
    <t>PALDI, AHMEDABAD</t>
  </si>
  <si>
    <t>CHIKHLI ROAD, VADI VISTAR, DOLASA, GIR SOMNATH 362720</t>
  </si>
  <si>
    <t>morihiten0@gmail.com</t>
  </si>
  <si>
    <t>VE1664</t>
  </si>
  <si>
    <t>SARVAIYA ROHITKUMAR HAKABHAI</t>
  </si>
  <si>
    <t>HAKABHAI</t>
  </si>
  <si>
    <t>8200241444 9879918577</t>
  </si>
  <si>
    <t>NPXPS3740L</t>
  </si>
  <si>
    <t>517946708864</t>
  </si>
  <si>
    <t>39919609943</t>
  </si>
  <si>
    <t>SBIN0060104</t>
  </si>
  <si>
    <t>RESHAMIYA, SURENDRA NAGAR 363520</t>
  </si>
  <si>
    <t>sarvaiyarohit38@gmail.com</t>
  </si>
  <si>
    <t>VE1665</t>
  </si>
  <si>
    <t>CHAUDHARY PRIYANKA SAMJIBHAI</t>
  </si>
  <si>
    <t>CHAUDHARY PRIYANKABEN SAMJIBHAI</t>
  </si>
  <si>
    <t>PRIYANKABEN</t>
  </si>
  <si>
    <t>SAMJIBHAI</t>
  </si>
  <si>
    <t>DCXPC1720F</t>
  </si>
  <si>
    <t>437112728104</t>
  </si>
  <si>
    <t>38005163436</t>
  </si>
  <si>
    <t>SBIN0002632</t>
  </si>
  <si>
    <t xml:space="preserve">UMIYANAGAR SOCIETY, MEGHANINAGAR, AHMEDABAD </t>
  </si>
  <si>
    <t>GALI NO.2, SHAKTINAGAR SOCIETY, BHABHAR NAVA, BANSKANTHA 385320</t>
  </si>
  <si>
    <t>pihuchaudhary36@gmail.com</t>
  </si>
  <si>
    <t>VE1666</t>
  </si>
  <si>
    <t>PRAJAPATI HITESH SEVNTIBHAI</t>
  </si>
  <si>
    <t xml:space="preserve">PRAJAPATI HITESHKUMAR </t>
  </si>
  <si>
    <t>SEVNTIBHAI</t>
  </si>
  <si>
    <t>BJMPH9845Q</t>
  </si>
  <si>
    <t>615319057994</t>
  </si>
  <si>
    <t>222310110007463</t>
  </si>
  <si>
    <t>BKID0002223</t>
  </si>
  <si>
    <t>PRABHUNAGAR SOCIETY, AHMEDABAD</t>
  </si>
  <si>
    <t>PRAJAPATI VAS, NEAR MAHADEV TEMPLE, RUGHNATHPURA, PATAN 384240</t>
  </si>
  <si>
    <t>hiteshpraja2102@gmail.com</t>
  </si>
  <si>
    <t>VE1667</t>
  </si>
  <si>
    <t>SAGAR HETAL KUBERBHAI</t>
  </si>
  <si>
    <t>SAGAR</t>
  </si>
  <si>
    <t>KUBERBHAI</t>
  </si>
  <si>
    <t>9328414869 8511403310</t>
  </si>
  <si>
    <t>NOIPS3643G</t>
  </si>
  <si>
    <t>478592415425</t>
  </si>
  <si>
    <t>201510500007462</t>
  </si>
  <si>
    <t>307-B-13, MANGAL PRABHAT SOCIETY, MILAN CINEMA ROAD, SARASPUR, AHMEDABAD 380018</t>
  </si>
  <si>
    <t>sagarhetal14@gmail.com</t>
  </si>
  <si>
    <t>VE1668</t>
  </si>
  <si>
    <t>BHASKAR ANJALI JETHABHAI</t>
  </si>
  <si>
    <t>BHASKAR ANJALI</t>
  </si>
  <si>
    <t>FJJPB1409K</t>
  </si>
  <si>
    <t>263915418175</t>
  </si>
  <si>
    <t>202510500005907</t>
  </si>
  <si>
    <t>64/19, JETHIBEN NI CHALI, RAJPUR POST OFFICE, GOMTIPUR, AHMEDABAD 380021</t>
  </si>
  <si>
    <t>anjali.bhaskar18@gmail.com</t>
  </si>
  <si>
    <t>HADIYEL HETALBEN ASHOKBHAI</t>
  </si>
  <si>
    <t>M.SC (IT)</t>
  </si>
  <si>
    <t>7046370395 9998282630</t>
  </si>
  <si>
    <t>DWAPA2211Q</t>
  </si>
  <si>
    <t>527131308741</t>
  </si>
  <si>
    <t>50100670415219</t>
  </si>
  <si>
    <t>HDFC0006988</t>
  </si>
  <si>
    <t>430, SHIV SHAKTINAGAR, AMBEDKARNAGAR, PREMNAGAR MEMCO, NARODA ROAD, AHMEDABAD 382345</t>
  </si>
  <si>
    <t>VE1669</t>
  </si>
  <si>
    <t>hetalhadiyel40@gmail.com</t>
  </si>
  <si>
    <t>VE1670</t>
  </si>
  <si>
    <t>PRACHI RAJESHBHAI DARJI</t>
  </si>
  <si>
    <t>DARJI PRACHI RAJESHBHAI</t>
  </si>
  <si>
    <t>PRACHI</t>
  </si>
  <si>
    <t>7434985885 9712022386</t>
  </si>
  <si>
    <t>GVQPD1821K</t>
  </si>
  <si>
    <t>461537740045</t>
  </si>
  <si>
    <t>75470100028164</t>
  </si>
  <si>
    <t>BARB0DBODHA</t>
  </si>
  <si>
    <t>3 SAHVAS TENAMENT, OPP BALIYADEV PARTIPLOT,ODHAV, AHMEDABAD 382415</t>
  </si>
  <si>
    <t>prachidarji0912@gmail.com</t>
  </si>
  <si>
    <t>VE1671</t>
  </si>
  <si>
    <t>VE1672</t>
  </si>
  <si>
    <t>VE1673</t>
  </si>
  <si>
    <t>VE1674</t>
  </si>
  <si>
    <t>VE1675</t>
  </si>
  <si>
    <t>CHAUDHARY VINA VALJIBHAI</t>
  </si>
  <si>
    <t>KENIL ROHITKUMAR MODI</t>
  </si>
  <si>
    <t>KENIL</t>
  </si>
  <si>
    <t>MHM</t>
  </si>
  <si>
    <t>8469342775 9726031801</t>
  </si>
  <si>
    <t>FNUPM1897P</t>
  </si>
  <si>
    <t>952550307440</t>
  </si>
  <si>
    <t>2969421650</t>
  </si>
  <si>
    <t>CBIN0280470</t>
  </si>
  <si>
    <t>MODI NI SHERI, PINDARIYA VADO, PATAN 384265</t>
  </si>
  <si>
    <t>kenilmodi3739@gmail.com</t>
  </si>
  <si>
    <t>UTSAV SUBHASHBHAI DESAI</t>
  </si>
  <si>
    <t>DESAI</t>
  </si>
  <si>
    <t>SUBHASHBHAI</t>
  </si>
  <si>
    <t>9664678036 8469342775</t>
  </si>
  <si>
    <t>HYHPD2877L</t>
  </si>
  <si>
    <t>527953710280</t>
  </si>
  <si>
    <t>20352929328</t>
  </si>
  <si>
    <t>SBIN0011032</t>
  </si>
  <si>
    <t>DHANAHERA SOCIETY, NEAR BUS STAND SHIHORI, BANASKANTHA 385550</t>
  </si>
  <si>
    <t>utsavdesai890@gmail.com</t>
  </si>
  <si>
    <t>VINABEN VALJIBHAI CHAUDHARI</t>
  </si>
  <si>
    <t>VINABEN</t>
  </si>
  <si>
    <t>VALJIBHAI</t>
  </si>
  <si>
    <t>9313844293 9512904457</t>
  </si>
  <si>
    <t>496459653972</t>
  </si>
  <si>
    <t>7248114230</t>
  </si>
  <si>
    <t>KKBK0000810</t>
  </si>
  <si>
    <t>CHAUDHARIVAS, NAVI NAGRI, BANASKANTHA 385421</t>
  </si>
  <si>
    <t>cviniben@gmail.com</t>
  </si>
  <si>
    <t>PITHIYA DEVANG JAGMALBHAI</t>
  </si>
  <si>
    <t>PITHIYA</t>
  </si>
  <si>
    <t>DEVANG</t>
  </si>
  <si>
    <t>JAGMALBHAI</t>
  </si>
  <si>
    <t>9714846495 6355432276</t>
  </si>
  <si>
    <t>FZPPP9947G</t>
  </si>
  <si>
    <t>758029908396</t>
  </si>
  <si>
    <t>SGBA0000309</t>
  </si>
  <si>
    <t>78009653600</t>
  </si>
  <si>
    <t>GAM VISTAR, BAMANVADA, JUNAGADH 362240</t>
  </si>
  <si>
    <t>pithiyadevang1908@gmail.com</t>
  </si>
  <si>
    <t>BAJAG DARGABHAI ISHVARBHAI</t>
  </si>
  <si>
    <t>DARGABHAI ISHVARBHAI BAJAG</t>
  </si>
  <si>
    <t>DARGABHAI</t>
  </si>
  <si>
    <t>8154966060 9726598902</t>
  </si>
  <si>
    <t>248907434664</t>
  </si>
  <si>
    <t>20449568780</t>
  </si>
  <si>
    <t>GOLA, BANASKANTHA 385310</t>
  </si>
  <si>
    <t>dargeshbajag7807@gmail.com</t>
  </si>
  <si>
    <t>VE1676</t>
  </si>
  <si>
    <t>PATEL KRISHNABEN UPENDRABHAI</t>
  </si>
  <si>
    <t>PATEL KRISHNABEN</t>
  </si>
  <si>
    <t>KRISHNABEN</t>
  </si>
  <si>
    <t>UPENDRABHAI</t>
  </si>
  <si>
    <t>GQAPP5607Q</t>
  </si>
  <si>
    <t>261411384417</t>
  </si>
  <si>
    <t>922010065975178</t>
  </si>
  <si>
    <t>UTIB0002118</t>
  </si>
  <si>
    <t>A-26, JAGATNAGAR BLOCK 2 BAPUNAGAR, AHMEDABAD</t>
  </si>
  <si>
    <t>PATEL FALIYU,SARKARI DAIRY, SABARKANTHA</t>
  </si>
  <si>
    <t>patelkrishna628@gmail.com</t>
  </si>
  <si>
    <t>VE1677</t>
  </si>
  <si>
    <t xml:space="preserve">LAGDHIR UMANG RAMBHAI </t>
  </si>
  <si>
    <t>LAGDHIR</t>
  </si>
  <si>
    <t>UMANG</t>
  </si>
  <si>
    <t>RAMBHAI</t>
  </si>
  <si>
    <t>8320327331 7802883615</t>
  </si>
  <si>
    <t>ANDPL5236F</t>
  </si>
  <si>
    <t>322013056962</t>
  </si>
  <si>
    <t>0213358370</t>
  </si>
  <si>
    <t>148/4, ASHOK MIL NI JUNI CHALI, OPP ANILSTARCH, BAPUNAGAR, AHMEDABAD 380024</t>
  </si>
  <si>
    <t>lagdhirumang02@gmail.com</t>
  </si>
  <si>
    <t>VE1678</t>
  </si>
  <si>
    <t>ANSARI ARHAMA MUSTAKAHMED</t>
  </si>
  <si>
    <t>ANSARI ARHAMA</t>
  </si>
  <si>
    <t>ARHAMA</t>
  </si>
  <si>
    <t>MUSTAKAHMED</t>
  </si>
  <si>
    <t>8690382679 6354425421</t>
  </si>
  <si>
    <t>FJOPA4804G</t>
  </si>
  <si>
    <t>990755019501</t>
  </si>
  <si>
    <t>106/282, MANILAL NI CHALI, NR. PANNA ESTET, RAKHIAL, AHMEDABAD 380023</t>
  </si>
  <si>
    <t>202510500005621</t>
  </si>
  <si>
    <t>VE1679</t>
  </si>
  <si>
    <t>PRAJAPATI KESAR RAMESHBHAI</t>
  </si>
  <si>
    <t>KESAR</t>
  </si>
  <si>
    <t>6353797629 9687459307</t>
  </si>
  <si>
    <t>GNOPP6187E</t>
  </si>
  <si>
    <t>934603300302</t>
  </si>
  <si>
    <t>5167935948</t>
  </si>
  <si>
    <t>40, CHHAGANJI NI CHALI, NEAR LAST BUS STAND, MEGHANINAGAR, AHMEDABAD 380016</t>
  </si>
  <si>
    <t>karanprajapati1610@gmail.com</t>
  </si>
  <si>
    <t>VE1680</t>
  </si>
  <si>
    <t>VE1681</t>
  </si>
  <si>
    <t>VE1682</t>
  </si>
  <si>
    <t>NINAMA DENISH GEORGEBHAI</t>
  </si>
  <si>
    <t>DENISH</t>
  </si>
  <si>
    <t>GEORGEBHAI</t>
  </si>
  <si>
    <t>9974407996 8200304530</t>
  </si>
  <si>
    <t>BBRPN0180M</t>
  </si>
  <si>
    <t>406247497181</t>
  </si>
  <si>
    <t>50100665454652</t>
  </si>
  <si>
    <t>HDFC0000958</t>
  </si>
  <si>
    <t xml:space="preserve">5, BALAJI INFOTECH, BUNGLOW AREA, KUBER NAGAR, AHMEDABAD </t>
  </si>
  <si>
    <t>ASHAPURA SOCIETY, MANKRODA, BHILODA, ARVALLI 383245</t>
  </si>
  <si>
    <t>ninamadenish295@gmail.com</t>
  </si>
  <si>
    <t>SOLANKI HETALBEN VASANTBHAI</t>
  </si>
  <si>
    <t>GURPS6838H</t>
  </si>
  <si>
    <t>592531947189</t>
  </si>
  <si>
    <t>32425567913</t>
  </si>
  <si>
    <t>NAVI VASAHAT, KHODIYARNAGAR PART-1, KUBERNAGAR, AHMEDABAD 382340</t>
  </si>
  <si>
    <t>jigisolanki3@gmail.com</t>
  </si>
  <si>
    <t>ARBINA MANSURI</t>
  </si>
  <si>
    <t>MANSURI ARBINA</t>
  </si>
  <si>
    <t>ARBINA</t>
  </si>
  <si>
    <t>MOHMMADABRAR</t>
  </si>
  <si>
    <t>8780645242 9924394571</t>
  </si>
  <si>
    <t>FZYPM0781C</t>
  </si>
  <si>
    <t>669533901594</t>
  </si>
  <si>
    <t>33293210087</t>
  </si>
  <si>
    <t>SBIN0000429</t>
  </si>
  <si>
    <t>ZAIN APPARTMENT, KHANPUR, AHMEDABAD</t>
  </si>
  <si>
    <t>129, SAHARA SOCIETY, DUGHARVADA ROAD, MODASA, SABARKANTHA 383315</t>
  </si>
  <si>
    <t>arbinaabrarali1221@gmail.com</t>
  </si>
  <si>
    <t>VE1683</t>
  </si>
  <si>
    <t>HADIYEL MITESHKUMAR RAJESHBHAI</t>
  </si>
  <si>
    <t>HADIYEL MITESH KUMAR</t>
  </si>
  <si>
    <t>MITESH KUMAR</t>
  </si>
  <si>
    <t>227906126167</t>
  </si>
  <si>
    <t>24/562 SONARIYA BLOCK SLUM QUARTERS, OPP SETH C L HIGH SCHOOL, BAPUNAGAR, A'BAD 380024</t>
  </si>
  <si>
    <t>themiteshhadiyel@gmail.com</t>
  </si>
  <si>
    <t>84620100003660</t>
  </si>
  <si>
    <t>VE1684</t>
  </si>
  <si>
    <t>NIMISHABEN VAJESINHBHAI CHAUDHARY</t>
  </si>
  <si>
    <t>NIMISHABEN</t>
  </si>
  <si>
    <t>VAJESINHBHAI</t>
  </si>
  <si>
    <t>9023533686 9909967088</t>
  </si>
  <si>
    <t>BYJPC4548R</t>
  </si>
  <si>
    <t>740705240755</t>
  </si>
  <si>
    <t>118005637545</t>
  </si>
  <si>
    <t>GSCB0BKD001</t>
  </si>
  <si>
    <t>BANASKANTHA DIST CENTRAL COOPERATIVE BANK</t>
  </si>
  <si>
    <t>CHANDRAPURI SOCIETY, B-4 VASTRAPUR, AHMEDABAD</t>
  </si>
  <si>
    <t>LALANIVAS, TETODA, BANASKANTHA 385535</t>
  </si>
  <si>
    <t>nimishachaudhary2000@gmail.com</t>
  </si>
  <si>
    <t>VE1685</t>
  </si>
  <si>
    <t>ROHIT SANJAYKUMAR VINUBHAI</t>
  </si>
  <si>
    <t>ROHIT SANJAYKUMAR</t>
  </si>
  <si>
    <t>ROHIT</t>
  </si>
  <si>
    <t>ERNPR4154J</t>
  </si>
  <si>
    <t>467270515134</t>
  </si>
  <si>
    <t>35215771551</t>
  </si>
  <si>
    <t>AMBIKANAGAR, OPP PRABHAKAR TENAMENT, SAIJPURBOGHA, A'BAD 382345</t>
  </si>
  <si>
    <t>sanjurona.2602@gmail.com</t>
  </si>
  <si>
    <t>VE1686</t>
  </si>
  <si>
    <t>PARMAR SHERON SEMSONBHAI</t>
  </si>
  <si>
    <t>SHERON</t>
  </si>
  <si>
    <t>SEMSONBHAI</t>
  </si>
  <si>
    <t>6351466884 9974920803</t>
  </si>
  <si>
    <t>QTKPS6237Q</t>
  </si>
  <si>
    <t>362597093989</t>
  </si>
  <si>
    <t>50100598082308</t>
  </si>
  <si>
    <t>HDFC0000183</t>
  </si>
  <si>
    <t>BEHIND METHODIST CHURCH, NADIAD-1</t>
  </si>
  <si>
    <t>sheronparmar9974@gmail.com</t>
  </si>
  <si>
    <t>VE1687</t>
  </si>
  <si>
    <t>DONGA BRIJ PRAKASHBHAI</t>
  </si>
  <si>
    <t>DONGA</t>
  </si>
  <si>
    <t>BRIJ</t>
  </si>
  <si>
    <t>GVIPD4178P</t>
  </si>
  <si>
    <t>337978183237</t>
  </si>
  <si>
    <t>38786843886</t>
  </si>
  <si>
    <t>SBIN0060075</t>
  </si>
  <si>
    <t>DHANK GARI, NEAR SHISHU MANDIR SCHOOL, UPLETA, RAJKOT 360490</t>
  </si>
  <si>
    <t>brijdonga2001@gmail.com</t>
  </si>
  <si>
    <t>VE1688</t>
  </si>
  <si>
    <t>MANSURI SUJANBEN YASINBHAI</t>
  </si>
  <si>
    <t>SUJANBEN</t>
  </si>
  <si>
    <t>YASINBHAI</t>
  </si>
  <si>
    <t>7041351920 9998727815</t>
  </si>
  <si>
    <t>GEFPM6652K</t>
  </si>
  <si>
    <t>891658557357</t>
  </si>
  <si>
    <t>01808100009090</t>
  </si>
  <si>
    <t>BARB0TALODX</t>
  </si>
  <si>
    <t>3562, DENA BANK NI SAME, TRIKAMAL VENICHAND NI CHALI, TALOD, SABARKANTHA 383215</t>
  </si>
  <si>
    <t>sujanmansuri01@gmail.com</t>
  </si>
  <si>
    <t>VE1689</t>
  </si>
  <si>
    <t>VE1690</t>
  </si>
  <si>
    <t>PATEL VINITAKUMARI VINAYKUMAR</t>
  </si>
  <si>
    <t>VINITAKUMARI</t>
  </si>
  <si>
    <t>VINAYKUMAR</t>
  </si>
  <si>
    <t>6353470527 9664858192</t>
  </si>
  <si>
    <t>FKTPP8042P</t>
  </si>
  <si>
    <t>210731732588</t>
  </si>
  <si>
    <t>50590100006556</t>
  </si>
  <si>
    <t>BARB0RAMAHM</t>
  </si>
  <si>
    <t>C-13, MUKTANAND PARK, JAMFALWADI, RAMOL ROAD, RAMOL, A'BAD 382449</t>
  </si>
  <si>
    <t>vinitapatel857@gmail.com</t>
  </si>
  <si>
    <t>VAGADIYA ANITABEN JAGDISHBHAI</t>
  </si>
  <si>
    <t>VAGADIYA</t>
  </si>
  <si>
    <t>ANITABEN</t>
  </si>
  <si>
    <t>8141722039 9978049486</t>
  </si>
  <si>
    <t>DYCPA3721H</t>
  </si>
  <si>
    <t>226061929311</t>
  </si>
  <si>
    <t>24680100016214</t>
  </si>
  <si>
    <t>BARB0DIWADA</t>
  </si>
  <si>
    <t>31-1, NISHAL FALIYU, VAGHADIYANI ANDHARI, MAHISAGAR 389240</t>
  </si>
  <si>
    <t>anitamontu723@gmail.com</t>
  </si>
  <si>
    <t>VE1691</t>
  </si>
  <si>
    <t>PATEL HETUBEN GANPATBHAI</t>
  </si>
  <si>
    <t>HETU GANPATBHAI PATEL</t>
  </si>
  <si>
    <t>HETU</t>
  </si>
  <si>
    <t>9924837762 6354373323</t>
  </si>
  <si>
    <t>IEFPP1934F</t>
  </si>
  <si>
    <t>891852315433</t>
  </si>
  <si>
    <t>44918100001260</t>
  </si>
  <si>
    <t>UMIYAPARU, TAVADIA, SIDDPUR, PATAN 384151</t>
  </si>
  <si>
    <t>patelhetu624@gmail.com</t>
  </si>
  <si>
    <t>VE1692</t>
  </si>
  <si>
    <t>PATNI PAYAL KANTIBHAI</t>
  </si>
  <si>
    <t>PATNI PAYALBEN KANTIBHAI</t>
  </si>
  <si>
    <t>PAYALBEN</t>
  </si>
  <si>
    <t>B.SC, M.SC, MLT</t>
  </si>
  <si>
    <t>548606640774</t>
  </si>
  <si>
    <t>139/3314/2 GHB COLONY, HINGALAJ DUDH GHAR, MEGHANI NAGAR, AHMEDABAD 380016</t>
  </si>
  <si>
    <t>pppatani109@gmail.com</t>
  </si>
  <si>
    <t>03300100032264</t>
  </si>
  <si>
    <t>VE1693</t>
  </si>
  <si>
    <t>VE1694</t>
  </si>
  <si>
    <t>VE1695</t>
  </si>
  <si>
    <t>VE1696</t>
  </si>
  <si>
    <t>VE1697</t>
  </si>
  <si>
    <t>VE1698</t>
  </si>
  <si>
    <t>VE1699</t>
  </si>
  <si>
    <t>VE1700</t>
  </si>
  <si>
    <t>HADIYAL PRIYANSHI NAVENDUBHAI</t>
  </si>
  <si>
    <t>PRIYANSHI</t>
  </si>
  <si>
    <t>NAVENDUBHAI</t>
  </si>
  <si>
    <t>826019494871</t>
  </si>
  <si>
    <t>UCBA0001026</t>
  </si>
  <si>
    <t>10260110016534</t>
  </si>
  <si>
    <t>35-274, GHB, KALAPINAGAR, AHMEDABAD 380016</t>
  </si>
  <si>
    <t>priyashihadiyal6@gmail.com</t>
  </si>
  <si>
    <t>VADHWANI LATA MOHANBHAI</t>
  </si>
  <si>
    <t>VADHWANI</t>
  </si>
  <si>
    <t>MOHANBHAI</t>
  </si>
  <si>
    <t>729783565557</t>
  </si>
  <si>
    <t>366402010517521</t>
  </si>
  <si>
    <t>A-301, SHRINATHJI AVENUE, OPP. SUDAMA HOMES, NANA CHILODA, AHMEDABAD 382330</t>
  </si>
  <si>
    <t>latavadhvani5@gmail.com</t>
  </si>
  <si>
    <t>RATHOD BHAVNA NAGINBHAI</t>
  </si>
  <si>
    <t>BHAVNABEN RATHOD</t>
  </si>
  <si>
    <t>BHAVNABEN</t>
  </si>
  <si>
    <t>761490727946</t>
  </si>
  <si>
    <t>75840100006976</t>
  </si>
  <si>
    <t>26/678, C COLONY, NARODA ROAD, OPP. ASHOK MILL, AHMEDABAD 382345</t>
  </si>
  <si>
    <t>KAPADIYA DUSHYANT PUNITBHAI</t>
  </si>
  <si>
    <t>KAPDIYA DUSHYANT</t>
  </si>
  <si>
    <t>KAPDIYA</t>
  </si>
  <si>
    <t>DUSHYANT</t>
  </si>
  <si>
    <t>PUNITBHAI</t>
  </si>
  <si>
    <t>FLVPK3574C</t>
  </si>
  <si>
    <t>603257461306</t>
  </si>
  <si>
    <t>40376820868</t>
  </si>
  <si>
    <t>SBIN0061408</t>
  </si>
  <si>
    <t>40, RABIYABIBI NI CHALI, NEAR SANTOSHINAGAR, AMRAIWADI, AHMEDABAD 380026</t>
  </si>
  <si>
    <t>kapadiyadushyant65@gmail.com</t>
  </si>
  <si>
    <t>PATEL SAKSHI</t>
  </si>
  <si>
    <t>SAKSHI</t>
  </si>
  <si>
    <t>FYAPP7496G</t>
  </si>
  <si>
    <t>293843249880</t>
  </si>
  <si>
    <t>108001569036</t>
  </si>
  <si>
    <t>GSC BANK</t>
  </si>
  <si>
    <t>809, JANTANAGAR, RAMOL, DASKROI, AHMEDABAD 382449</t>
  </si>
  <si>
    <t>sakshipatel7801@gmail.com</t>
  </si>
  <si>
    <t>PARMAR  SAVERABEN KISHORBHAI</t>
  </si>
  <si>
    <t>SAVERABEN</t>
  </si>
  <si>
    <t>EOMPP0244H</t>
  </si>
  <si>
    <t>600391917262</t>
  </si>
  <si>
    <t>38289552756</t>
  </si>
  <si>
    <t>SBIN0060246</t>
  </si>
  <si>
    <t>PRABHUNAGAR SOCIETY, ASARWA, AHMEDABAD 380016</t>
  </si>
  <si>
    <t>PARMAR VAS, DAGAVADIYA, KUKARWADA, MAHESANA 382830</t>
  </si>
  <si>
    <t>saveraparmar2203@gmail.com</t>
  </si>
  <si>
    <t>PATEL BIJALBEN NATUBHAI</t>
  </si>
  <si>
    <t>PATEL BIJALBEN</t>
  </si>
  <si>
    <t>BIJALBEN</t>
  </si>
  <si>
    <t>NATUBHAI</t>
  </si>
  <si>
    <t>HZSPB2991F</t>
  </si>
  <si>
    <t>306548711989</t>
  </si>
  <si>
    <t>40010219488</t>
  </si>
  <si>
    <t>SBIN0060372</t>
  </si>
  <si>
    <t>VIRA NA MUVADA, NARODA, MAHISAGAR, KHANPUR 389230</t>
  </si>
  <si>
    <t>bijalp158@gmail.com</t>
  </si>
  <si>
    <t>RAJGOR LAKSHMI NANGSHIBHAI</t>
  </si>
  <si>
    <t>RAJGOR LAKSHMI NANGASHIBHAI</t>
  </si>
  <si>
    <t>RAJGOR</t>
  </si>
  <si>
    <t>LAKSHMI</t>
  </si>
  <si>
    <t>NANGASHIBHAI</t>
  </si>
  <si>
    <t>FJJPR1135J</t>
  </si>
  <si>
    <t>658529267672</t>
  </si>
  <si>
    <t>203718210000144</t>
  </si>
  <si>
    <t>MOHAN CINEMA CHAR RASTA, SAHIBAG SOCIETY, ASARWA, AHMEDABAD 380016</t>
  </si>
  <si>
    <t>BHADTHAR, JAMNAGAR 361306</t>
  </si>
  <si>
    <t>lakshmirajgor@gmail.com</t>
  </si>
  <si>
    <t>VE1701</t>
  </si>
  <si>
    <t>VE1702</t>
  </si>
  <si>
    <t>VE1703</t>
  </si>
  <si>
    <t>VE1704</t>
  </si>
  <si>
    <t>VE1705</t>
  </si>
  <si>
    <t>VE1706</t>
  </si>
  <si>
    <t>VE1707</t>
  </si>
  <si>
    <t>RIZOIS RAJESHBHAI CHRISTIAN</t>
  </si>
  <si>
    <t>CHRISTIAN RIJOIS</t>
  </si>
  <si>
    <t>RIJOIS</t>
  </si>
  <si>
    <t>9067067783 9574633639</t>
  </si>
  <si>
    <t>BPDPC8535H</t>
  </si>
  <si>
    <t>692308342592</t>
  </si>
  <si>
    <t>31940100027519</t>
  </si>
  <si>
    <t>21/2, ANAND FLAT, BAPUNAGAR POLICE STATION, AHMEDABAD 380024</t>
  </si>
  <si>
    <t>sunnychristian512@gmail.com</t>
  </si>
  <si>
    <t>MAKWANA ZEEL UMESHBHAI</t>
  </si>
  <si>
    <t>MAKWANA ZEEL</t>
  </si>
  <si>
    <t>ZEEL</t>
  </si>
  <si>
    <t>6354706277 9925430107</t>
  </si>
  <si>
    <t>GKNPM0332J</t>
  </si>
  <si>
    <t>773647992770</t>
  </si>
  <si>
    <t>84620100015546</t>
  </si>
  <si>
    <t>26/19, MANAJI BHIL NI CHAWL, B/H VIKRAM MILLS, BAPUNAGAR, AHMEDBAD 380024</t>
  </si>
  <si>
    <t>zeelmakwana11@gmail.com</t>
  </si>
  <si>
    <t>SADARIYA JEETKUMAR VALLABHDAS</t>
  </si>
  <si>
    <t>SADARIYA</t>
  </si>
  <si>
    <t>JEETKUMAR</t>
  </si>
  <si>
    <t>VALLABHDAS</t>
  </si>
  <si>
    <t>6352541807 7046740252</t>
  </si>
  <si>
    <t>PZFPS8821E</t>
  </si>
  <si>
    <t>379093844344</t>
  </si>
  <si>
    <t>57390100011560</t>
  </si>
  <si>
    <t>BARB0JUNAGA</t>
  </si>
  <si>
    <t>BALIYA LIMDI, ASARWA, AHMEDBAD 380016</t>
  </si>
  <si>
    <t>HIGHSCHOOL NI BAJUMA, KHORASA, GIR, JUNAGADH 362255</t>
  </si>
  <si>
    <t>jeet21032002@gmail.com</t>
  </si>
  <si>
    <t>JOSHI DHRUV HARESHKUMAR</t>
  </si>
  <si>
    <t>HARESHKUMAR</t>
  </si>
  <si>
    <t>7874727760 8511561621</t>
  </si>
  <si>
    <t>CDEPJ7807F</t>
  </si>
  <si>
    <t>758693354632</t>
  </si>
  <si>
    <t>42784803763</t>
  </si>
  <si>
    <t>SBIN0005529</t>
  </si>
  <si>
    <t>VASANT VADI, MANINAGAR, AHMEDABAD</t>
  </si>
  <si>
    <t>JOSHI NIVAS, MUNAI, BHILODA, SABARKANTHA 383450</t>
  </si>
  <si>
    <t>dhruvj817@gmail.com</t>
  </si>
  <si>
    <t>DABHI BHAVESHKUMAR ASHOKBHAI</t>
  </si>
  <si>
    <t>HHRPD5401F</t>
  </si>
  <si>
    <t>737150682326</t>
  </si>
  <si>
    <t>49130100002908</t>
  </si>
  <si>
    <t>BARB0DANTIW</t>
  </si>
  <si>
    <t>NEAR AMBAJI TEMPLE, DANTIWADA, BANASKANTHA 385505</t>
  </si>
  <si>
    <t>darji8309@gmail.com</t>
  </si>
  <si>
    <t>MAKWANA MITESH MUKESHBHAI</t>
  </si>
  <si>
    <t>MAKWANA MITESHKUMAR</t>
  </si>
  <si>
    <t>MITESHKUMAR</t>
  </si>
  <si>
    <t>GTXPM2027K</t>
  </si>
  <si>
    <t>971854429118</t>
  </si>
  <si>
    <t>miteshmakwana1443@gmail.com</t>
  </si>
  <si>
    <t>NAYAK POOJAKUMAREE SHRAVANDAS</t>
  </si>
  <si>
    <t>NAYAK</t>
  </si>
  <si>
    <t>POOJAKUMAREE</t>
  </si>
  <si>
    <t>SHRAVANDAS</t>
  </si>
  <si>
    <t>CEOPN2280P</t>
  </si>
  <si>
    <t>501928289785</t>
  </si>
  <si>
    <t>210110110017969</t>
  </si>
  <si>
    <t>KABIR ASHRAM, OPP PALLAV SOCIETY, NARODA, AHMEDABAD 382330</t>
  </si>
  <si>
    <t>poojanayak932@gmail.com</t>
  </si>
  <si>
    <t>50100587533669</t>
  </si>
  <si>
    <t>VE1708</t>
  </si>
  <si>
    <t>VE1709</t>
  </si>
  <si>
    <t>VE1710</t>
  </si>
  <si>
    <t>VE1711</t>
  </si>
  <si>
    <t>VE1712</t>
  </si>
  <si>
    <t>MARDIYA DARSHNA MADHUSUDANBHAI</t>
  </si>
  <si>
    <t>DARSHNA MADHUSUDANBHAI MARADIYA</t>
  </si>
  <si>
    <t>MARADIYA</t>
  </si>
  <si>
    <t>DARSHNA</t>
  </si>
  <si>
    <t>MADHUSUDANBHAI</t>
  </si>
  <si>
    <t>GIBPM8791M</t>
  </si>
  <si>
    <t>299207905355</t>
  </si>
  <si>
    <t>84440100003271</t>
  </si>
  <si>
    <t>BARB0DBNKOL</t>
  </si>
  <si>
    <t>18, NARAYANPARK, SUNDARVAN NI BAJUMA, NIKOL NEW NARODA, AHMEDABAD 382350</t>
  </si>
  <si>
    <t>PACHORI BHUMI RAJENDRASINGH</t>
  </si>
  <si>
    <t>PACHORI</t>
  </si>
  <si>
    <t>RAJENDRASINGH</t>
  </si>
  <si>
    <t>HAHPR1869E</t>
  </si>
  <si>
    <t>680515464127</t>
  </si>
  <si>
    <t>PARNKUNJ SOCIETY PART 1, MEGHANINAGAR, AHMEDABAD 380016</t>
  </si>
  <si>
    <t>PATEL VIDHATABEN SHAILESHKUMAR</t>
  </si>
  <si>
    <t>VIDHATABEN</t>
  </si>
  <si>
    <t>HQFPP2422B</t>
  </si>
  <si>
    <t>489432770171</t>
  </si>
  <si>
    <t>03300100038249</t>
  </si>
  <si>
    <t>B-501, DIVIT HILLS, OPP VED VIHAR BUNGLOW B/H UDAYGREEN PARTY PLOT, NARODA NIKOL, A'BAD  382350</t>
  </si>
  <si>
    <t>vidhata22042002@gmail.com</t>
  </si>
  <si>
    <t>KHARADI SONAL BEN</t>
  </si>
  <si>
    <t>KHARADI</t>
  </si>
  <si>
    <t>SONAL BEN</t>
  </si>
  <si>
    <t>BINDUBHAI</t>
  </si>
  <si>
    <t>937012307 9456528398</t>
  </si>
  <si>
    <t>429828230351</t>
  </si>
  <si>
    <t>41505927243</t>
  </si>
  <si>
    <t>SBIN0007345</t>
  </si>
  <si>
    <t>KHARADI BINDU BHAI, SIYASAN, SABARKANTHA, IDAR 383450</t>
  </si>
  <si>
    <t>sonalkharadi1609@gmail.com</t>
  </si>
  <si>
    <t>VE1713</t>
  </si>
  <si>
    <t>PADHIYAR SALONI PRAKASHBHAI</t>
  </si>
  <si>
    <t>SALONIBEN PADHIYAR</t>
  </si>
  <si>
    <t>PADHIYAR</t>
  </si>
  <si>
    <t>SALONIBEN</t>
  </si>
  <si>
    <t>IBOPP7212J</t>
  </si>
  <si>
    <t>416752372711</t>
  </si>
  <si>
    <t>08580100016508</t>
  </si>
  <si>
    <t>NIRMAL PUR SOCIETY, SARASPUR SHAHER KOTDA, AHMEDABAD 380018</t>
  </si>
  <si>
    <t>padhiyarsaloni2003@gmail.com</t>
  </si>
  <si>
    <t>VE1714</t>
  </si>
  <si>
    <t>VANKAR DHARMIK DINESHBHAI</t>
  </si>
  <si>
    <t>DHARMIKBHAI</t>
  </si>
  <si>
    <t>7285883559 9904125213</t>
  </si>
  <si>
    <t>GWHPD4940R</t>
  </si>
  <si>
    <t>486991225174</t>
  </si>
  <si>
    <t>178622120001846</t>
  </si>
  <si>
    <t>UBIN0917869</t>
  </si>
  <si>
    <t>00, LIMDA FALIYU, KACHHEL, CHOTA UDEPUR 391165</t>
  </si>
  <si>
    <t>dharmikvankar3066@gmail.com</t>
  </si>
  <si>
    <t>VARSHABEN SANJAYKUMAR THAKOR</t>
  </si>
  <si>
    <t>DMLT</t>
  </si>
  <si>
    <t>CODPT5198D</t>
  </si>
  <si>
    <t>314230312271</t>
  </si>
  <si>
    <t>42747363962</t>
  </si>
  <si>
    <t>SBIN0016026</t>
  </si>
  <si>
    <t>9999, INDIRA NAGAR, SHAHWADI GAM, OPP VISHWABHARTI SCHOOL, NAROL, A'BAD 382405</t>
  </si>
  <si>
    <t>rathodvarsha979@gmail.com</t>
  </si>
  <si>
    <t>VANKAR DHARMIKBHAI</t>
  </si>
  <si>
    <t>03260100036040</t>
  </si>
  <si>
    <t>VE1715</t>
  </si>
  <si>
    <t>KAPATIYAWALA HIRALBEN KANTILAL</t>
  </si>
  <si>
    <t>KAPATIYAWALA</t>
  </si>
  <si>
    <t>6354794543 8511402092</t>
  </si>
  <si>
    <t>FOQPK2214P</t>
  </si>
  <si>
    <t>574561359258</t>
  </si>
  <si>
    <t>03300100027759</t>
  </si>
  <si>
    <t>139/3314, G.H.B, GOVERNMENT COLONY, MEGHANINAGAR, ASARVA, AHMEDABAD 380016</t>
  </si>
  <si>
    <t>hkapatiyawala@gmail.com</t>
  </si>
  <si>
    <t>VE1716</t>
  </si>
  <si>
    <t>VE1717</t>
  </si>
  <si>
    <t>VE1718</t>
  </si>
  <si>
    <t>KHUMAN BHARATBHAI MOHANBHAI</t>
  </si>
  <si>
    <t>KHUMAN</t>
  </si>
  <si>
    <t>334666469632</t>
  </si>
  <si>
    <t>33126569301</t>
  </si>
  <si>
    <t>KERALA, JOGANI, AMRELI, LATHI</t>
  </si>
  <si>
    <t>khumanbharat33@gmail.com</t>
  </si>
  <si>
    <t>VAGHELA DIMPAL GAJENDRASINH</t>
  </si>
  <si>
    <t>VAGHELA DIMPLE</t>
  </si>
  <si>
    <t>DIMPLE</t>
  </si>
  <si>
    <t>GAJENDRASINH</t>
  </si>
  <si>
    <t>BPIPV2883N</t>
  </si>
  <si>
    <t>378312292863</t>
  </si>
  <si>
    <t>03300100038058</t>
  </si>
  <si>
    <t>90/2141, GUJARAT HOUSING BOARD, MEGHANINAGAR, A'BAD 380016</t>
  </si>
  <si>
    <t>dimpalv468|@gmail.com</t>
  </si>
  <si>
    <t>CHAVDA RUTU</t>
  </si>
  <si>
    <t>RUTU</t>
  </si>
  <si>
    <t>CVNPC3014G</t>
  </si>
  <si>
    <t>288887294175</t>
  </si>
  <si>
    <t>204310110004924</t>
  </si>
  <si>
    <t>BKID0002043</t>
  </si>
  <si>
    <t>H-2, INDIRA NAGAR, MOTERA STADIUM ROAD, AHMEDABAD 380005</t>
  </si>
  <si>
    <t>chavdarutu261@gmail.com</t>
  </si>
  <si>
    <t>VE1719</t>
  </si>
  <si>
    <t>DRASHTI CHAUHAN</t>
  </si>
  <si>
    <t>DRASHTI</t>
  </si>
  <si>
    <t>831826391685</t>
  </si>
  <si>
    <t>03300100038002</t>
  </si>
  <si>
    <t>30, OTAMBA SOCIETY, KHODIYARNAGAR, BAPUNAGAR, AHMEDABAD</t>
  </si>
  <si>
    <t>PALITANA, NAVAGAM, BHAVNAGAR 364250</t>
  </si>
  <si>
    <t>drashtichauhan02@gmail.com</t>
  </si>
  <si>
    <t>VE1720</t>
  </si>
  <si>
    <t>MODIYA KRUNAL ISHVARBHAI</t>
  </si>
  <si>
    <t>MODIYA</t>
  </si>
  <si>
    <t>IIKPM1970H</t>
  </si>
  <si>
    <t>897442935681</t>
  </si>
  <si>
    <t>07210100101129</t>
  </si>
  <si>
    <t xml:space="preserve">SARTHI RESIDENCY, NEAR VITTHAL PLAZA, NAVA NARODA, A'BAD </t>
  </si>
  <si>
    <t>10, MODIYA FALIYU, KAMTHADIYA, VANSLI, ARVALLI 383245</t>
  </si>
  <si>
    <t>krunalmodiya009@gmail.com</t>
  </si>
  <si>
    <t>VE1721</t>
  </si>
  <si>
    <t>KUSHWAHA AARTI SATYENDRAPRASAD</t>
  </si>
  <si>
    <t>KUSHWAHA</t>
  </si>
  <si>
    <t>SATYENDRAPRASAD</t>
  </si>
  <si>
    <t>KISPK3204C</t>
  </si>
  <si>
    <t>295906304411</t>
  </si>
  <si>
    <t>157600551961</t>
  </si>
  <si>
    <t>INDUSLND BANK</t>
  </si>
  <si>
    <t>INDB0000678</t>
  </si>
  <si>
    <t>BLOCK NO. A/1, MARUTI RESIDENCY, NR. CHAMODAK RESIDENCY, B/H MADRASI MANDIR, VATVA, A'BAD 382440</t>
  </si>
  <si>
    <t>aartikushwaha011@gmail.com</t>
  </si>
  <si>
    <t>VE1722</t>
  </si>
  <si>
    <t>PATNI KAJAL</t>
  </si>
  <si>
    <t>12 +O.T TECH.</t>
  </si>
  <si>
    <t>O.T TECHNICIAN</t>
  </si>
  <si>
    <t>GBTPP6630R</t>
  </si>
  <si>
    <t>453257199529</t>
  </si>
  <si>
    <t>03300100033824</t>
  </si>
  <si>
    <t>B/8, 206 INDIABULS CENTRUM PARK, HIMANDRIMILLS COMPOUND, HARIBHAI GODANI CIRCLE, SARASPUR, A’BAD</t>
  </si>
  <si>
    <t>kajalpatni486@gmail.com</t>
  </si>
  <si>
    <t>VE1723</t>
  </si>
  <si>
    <t>VE1724</t>
  </si>
  <si>
    <t>GEDIYA KHUSHI HASMUKHBHAI</t>
  </si>
  <si>
    <t>GEDIYA</t>
  </si>
  <si>
    <t>EEMPG6232L</t>
  </si>
  <si>
    <t>381122443472</t>
  </si>
  <si>
    <t>266910100002892</t>
  </si>
  <si>
    <t>UBIN0826693</t>
  </si>
  <si>
    <t>R/159, MANSAROVAR RO HOUSE, I O C ROAD, CHANDKHEDA, AHMEDABAD 382424</t>
  </si>
  <si>
    <t>khushigediya@gmail.com</t>
  </si>
  <si>
    <t>PATEL SAPNA RATILAL</t>
  </si>
  <si>
    <t>SAPNA</t>
  </si>
  <si>
    <t>BA ,MA</t>
  </si>
  <si>
    <t>EMVPP7683H</t>
  </si>
  <si>
    <t>440798225187</t>
  </si>
  <si>
    <t>10020100018478</t>
  </si>
  <si>
    <t>BARB0NEWCLO</t>
  </si>
  <si>
    <t>NAVROJI AND VAKIL NI CHALI, CHAMUNDA UNDER BRIDGE, CHAMANPURA, AHMEDABAD 16</t>
  </si>
  <si>
    <t>patelsapna120120@gmail.com</t>
  </si>
  <si>
    <t>VE1725</t>
  </si>
  <si>
    <t>PAWAR YASHSHVI ASHOKKUMAR</t>
  </si>
  <si>
    <t>YASHSHVI ASHOKKUMAR PAWAR</t>
  </si>
  <si>
    <t>PAWAR</t>
  </si>
  <si>
    <t>YASHSHVI</t>
  </si>
  <si>
    <t>ILJPP6816H</t>
  </si>
  <si>
    <t>279399829678</t>
  </si>
  <si>
    <t>5694477260</t>
  </si>
  <si>
    <t>2, DAMYANTI PARK SOC, NR.NALKUNJ SOC, CIVIL ROAD, SHAHIBAG, AHMEDABAD 380004</t>
  </si>
  <si>
    <t>yashshvipatel1017@gmail.com</t>
  </si>
  <si>
    <t>LALPARA SONALBEN CHANDRAVADAN</t>
  </si>
  <si>
    <t>VE1726</t>
  </si>
  <si>
    <t>MOCHI KAMAL</t>
  </si>
  <si>
    <t>MOCHI</t>
  </si>
  <si>
    <t>KAMAL</t>
  </si>
  <si>
    <t>GENPM9105K</t>
  </si>
  <si>
    <t>466746648316</t>
  </si>
  <si>
    <t>75840100019851</t>
  </si>
  <si>
    <t>202/240 CHHANAJI NI CHALI, KALAPINAGAR, MEGHANINAGAR, AHMEDABAD 16</t>
  </si>
  <si>
    <t>97 UPASHAK GAYATRINAGAR SOCIETY, RAMESHWAR ROAD, MEGHANINAGAR, A'BAD 16</t>
  </si>
  <si>
    <t>mochikamal4@gmail,com</t>
  </si>
  <si>
    <t>VE1727</t>
  </si>
  <si>
    <t>SHIVPALSINH SUBHASHCHANDRA VASAIYA</t>
  </si>
  <si>
    <t>VASAIYA</t>
  </si>
  <si>
    <t>SHIVPALSINH</t>
  </si>
  <si>
    <t>SUBHASHCHANDRA</t>
  </si>
  <si>
    <t>CIXPV3569E</t>
  </si>
  <si>
    <t>919768590980</t>
  </si>
  <si>
    <t>41125056638</t>
  </si>
  <si>
    <t>SBIN0061268</t>
  </si>
  <si>
    <t>14/17 D, MAKLESHVAR NAGAR 1, ANJAR, KACHCHH 370110</t>
  </si>
  <si>
    <t xml:space="preserve">SHANTIPURA MANUBHAI NI CHALI, ASARWA, A'BAD </t>
  </si>
  <si>
    <t>shivpalsinhvasaiya109@gmail.com</t>
  </si>
  <si>
    <t>VE1728</t>
  </si>
  <si>
    <t>CHAUHAN JAYDEEPSINH</t>
  </si>
  <si>
    <t>JAYDEEPSINH</t>
  </si>
  <si>
    <t>MAHENDRASINH</t>
  </si>
  <si>
    <t>BFGPC7029K</t>
  </si>
  <si>
    <t>552868250883</t>
  </si>
  <si>
    <t>8 CHAUHANVAS, GERITA, MAHESANA</t>
  </si>
  <si>
    <t>VE728</t>
  </si>
  <si>
    <t>jaydipsinh799@gmail.com</t>
  </si>
  <si>
    <t>VE1729</t>
  </si>
  <si>
    <t>KOTADIYA SNEHA JAGADISHBHAI</t>
  </si>
  <si>
    <t>SNEHA</t>
  </si>
  <si>
    <t>491875574684</t>
  </si>
  <si>
    <t>CXLPJ6147D</t>
  </si>
  <si>
    <t>BAPUNAGAR, HIRAWADI, AHMEDABAD</t>
  </si>
  <si>
    <t>gopipatel1102001@gmail.com</t>
  </si>
  <si>
    <t>VE1730</t>
  </si>
  <si>
    <t>VE1731</t>
  </si>
  <si>
    <t>PATEL NISHTHA KANUBHAI</t>
  </si>
  <si>
    <t>PATEL NISHTHABEN KANUBHAI</t>
  </si>
  <si>
    <t>NISHTHABEN</t>
  </si>
  <si>
    <t>731014467054</t>
  </si>
  <si>
    <t>KANTHRAVI, MAHESANA 384260</t>
  </si>
  <si>
    <t>patelnishtha@gmail.com</t>
  </si>
  <si>
    <t>710310050674</t>
  </si>
  <si>
    <t>36527063079</t>
  </si>
  <si>
    <t>3586387793</t>
  </si>
  <si>
    <t>VE1732</t>
  </si>
  <si>
    <t>VE1733</t>
  </si>
  <si>
    <t>VE1734</t>
  </si>
  <si>
    <t>VE1735</t>
  </si>
  <si>
    <t>VE1736</t>
  </si>
  <si>
    <t>VE1737</t>
  </si>
  <si>
    <t>BABARIYA BANSIKUMARI RAJESHBHAI</t>
  </si>
  <si>
    <t>BABARIYA BANSIKUMARI</t>
  </si>
  <si>
    <t>BANSIKUMARI</t>
  </si>
  <si>
    <t>EWZPB7231K</t>
  </si>
  <si>
    <t>344213011115</t>
  </si>
  <si>
    <t>03300100038246</t>
  </si>
  <si>
    <t>VIRATNAGAR, AHMEDABAD</t>
  </si>
  <si>
    <t>VINAY MANDRI PACHHAL, GANJIVADO, JAMNAGAR 360530</t>
  </si>
  <si>
    <t>babariyabansi04@gmail.com</t>
  </si>
  <si>
    <t>KARENA DHARMISHTHA MANOJBHAI</t>
  </si>
  <si>
    <t>KARENA</t>
  </si>
  <si>
    <t>LGUPK0644K</t>
  </si>
  <si>
    <t>967798299204</t>
  </si>
  <si>
    <t>03300100038247</t>
  </si>
  <si>
    <t>CTM CROSS ROAD, AHMEDABAD</t>
  </si>
  <si>
    <t>RUPAMORA, JAMNAGAR 360510</t>
  </si>
  <si>
    <t>karenadharmishtha@gmail,com</t>
  </si>
  <si>
    <t>CHRISTIAN DINALBEN SIMSONBHAI</t>
  </si>
  <si>
    <t>DINALBEN</t>
  </si>
  <si>
    <t>SIMSONBHAI</t>
  </si>
  <si>
    <t>BEZPC0636Q</t>
  </si>
  <si>
    <t>652543782410</t>
  </si>
  <si>
    <t>50100470175589</t>
  </si>
  <si>
    <t>SHANTIPUR, NEAR JETALPUR, DASKROI, AHMEDABAD 382427</t>
  </si>
  <si>
    <t>christiandinal30@gmail.com</t>
  </si>
  <si>
    <t>PANCHAL KAJALBEN BHARATBHAI</t>
  </si>
  <si>
    <t>FQAPP7996B</t>
  </si>
  <si>
    <t>818176918502</t>
  </si>
  <si>
    <t>39206750065</t>
  </si>
  <si>
    <t>SBIN0002674</t>
  </si>
  <si>
    <t xml:space="preserve">K 16, VISHVAS APPARTMENT, NEAR MARUTI PLAZA, KRISHNANAGAR, AHMEDABAD </t>
  </si>
  <si>
    <t>PANCHAL VAS, KANSA, PATAN 384265</t>
  </si>
  <si>
    <t>panchalkajal016@gmail.com</t>
  </si>
  <si>
    <t>VAGHELA SWETA AJAYSINH</t>
  </si>
  <si>
    <t>VAGHELA SWETA</t>
  </si>
  <si>
    <t>CAUPV2221A</t>
  </si>
  <si>
    <t>711802792560</t>
  </si>
  <si>
    <t>36107353574</t>
  </si>
  <si>
    <t>2, PARNKUNJ SOCIETY PART 3, MEGHANINAGAR, AHMEDABAD 380016</t>
  </si>
  <si>
    <t>swetavaghela3@gmail.com</t>
  </si>
  <si>
    <t>DAVE PINAL KAMLESHBHAI</t>
  </si>
  <si>
    <t>PINAL</t>
  </si>
  <si>
    <t>JTVPD4095K</t>
  </si>
  <si>
    <t>266056620700</t>
  </si>
  <si>
    <t>50100748549861</t>
  </si>
  <si>
    <t>35/414, AMRAPALI FLAT, BEHIND BHAKTINAGAR, AHMEDABAD 380024</t>
  </si>
  <si>
    <t>davepinal3@gmail.com</t>
  </si>
  <si>
    <t>VE1738</t>
  </si>
  <si>
    <t>VE1739</t>
  </si>
  <si>
    <t>VE1740</t>
  </si>
  <si>
    <t>VE1741</t>
  </si>
  <si>
    <t>VE1742</t>
  </si>
  <si>
    <t>VE1743</t>
  </si>
  <si>
    <t>VE1744</t>
  </si>
  <si>
    <t>BHIL DIMPAL GOVINDBHAI</t>
  </si>
  <si>
    <t>BHIL DIMPAL</t>
  </si>
  <si>
    <t>535573010731</t>
  </si>
  <si>
    <t>KUBERPURA BHILVAS, ASARVA PUL NICHE, AHMEDABAD 16</t>
  </si>
  <si>
    <t>VE1745</t>
  </si>
  <si>
    <t>VE1746</t>
  </si>
  <si>
    <t>VE1747</t>
  </si>
  <si>
    <t>VE1748</t>
  </si>
  <si>
    <t>VE1749</t>
  </si>
  <si>
    <t>JIGARKUMAR DALAPATBHAI PANDYA</t>
  </si>
  <si>
    <t>DALAPATBHAI</t>
  </si>
  <si>
    <t>FGHPP3329F</t>
  </si>
  <si>
    <t>379652327422</t>
  </si>
  <si>
    <t>38499128793</t>
  </si>
  <si>
    <t>SOLA BHAGWAT, AHMEDABAD</t>
  </si>
  <si>
    <t>VAJIRVAS, BANASKANTHA 385575</t>
  </si>
  <si>
    <t>pandyajigar5232@gmail.com</t>
  </si>
  <si>
    <t>RAJPUT SHIVANI D.</t>
  </si>
  <si>
    <t>SHIVANI DASHRATHSINH RAJPUT</t>
  </si>
  <si>
    <t xml:space="preserve">DASHRATHSINH </t>
  </si>
  <si>
    <t>GQTPR5039B</t>
  </si>
  <si>
    <t>689850537210</t>
  </si>
  <si>
    <t>557902010014135</t>
  </si>
  <si>
    <t>K-6 VISHWAS APPARTMENT, NEAR RANGSAGAR TENAMENT, SARDAR CHOWK, KRISHNANAGAR, AHMEDABAD 382345</t>
  </si>
  <si>
    <t>shiivanirajput2001@gmail.com</t>
  </si>
  <si>
    <t>DIVYABEN PATEL</t>
  </si>
  <si>
    <t>GAEPP1422B</t>
  </si>
  <si>
    <t>490272560447</t>
  </si>
  <si>
    <t>89930100009957</t>
  </si>
  <si>
    <t>K-14 VISHWAS APPARTMENT, NEAR RANGSAGAR TENAMENT, SARDAR CHOWK, KRISHNANAGAR, AHMEDABAD 382345</t>
  </si>
  <si>
    <t>divyapatel2001@gmail.com</t>
  </si>
  <si>
    <t>CHAVDA KIRANBA BHARATSINH</t>
  </si>
  <si>
    <t>KIRANBA</t>
  </si>
  <si>
    <t>BHARATSINH</t>
  </si>
  <si>
    <t>CKZPC8232P</t>
  </si>
  <si>
    <t>967685382885</t>
  </si>
  <si>
    <t>35265187918</t>
  </si>
  <si>
    <t>I/99/1726, GUJARAT HOSUING BOARD, KRUSHNANAGAR, NARODA ROAD, AHMEDABAD 382345</t>
  </si>
  <si>
    <t>kiranchavda2306@gmail.com</t>
  </si>
  <si>
    <t>URVASHI KISHAN PATEL</t>
  </si>
  <si>
    <t>KISHAN</t>
  </si>
  <si>
    <t>DLHPB0095P</t>
  </si>
  <si>
    <t>727517232849</t>
  </si>
  <si>
    <t>510000000124418</t>
  </si>
  <si>
    <t>13, NEW KAMDAR SOCIETY, RAJENDRA PARK ROAD, ODHAV, AHEMEDABAD 382415</t>
  </si>
  <si>
    <t>uruib26@gmail.com</t>
  </si>
  <si>
    <t>RAJPUT NANISHA</t>
  </si>
  <si>
    <t>NANISHA</t>
  </si>
  <si>
    <t>FSEPR0580M</t>
  </si>
  <si>
    <t>289050501748</t>
  </si>
  <si>
    <t>ROLI SAHEB NI CHALI, CHANDANNAGAR BHARGAV ROAD, KUBERNAGAR, AHMEDABAD 382340</t>
  </si>
  <si>
    <t>nanisharajput21@gmail.com</t>
  </si>
  <si>
    <t>CHAVADA RUTUBEN NAGENDRASINH</t>
  </si>
  <si>
    <t>RUTUBEN</t>
  </si>
  <si>
    <t>CAHPC6187R</t>
  </si>
  <si>
    <t>434921520211</t>
  </si>
  <si>
    <t>2401214362349854</t>
  </si>
  <si>
    <t>AU SMALL FINANCE BANK</t>
  </si>
  <si>
    <t>AUBL0002143</t>
  </si>
  <si>
    <t>1, JOITA, BANASKANTHA 385120</t>
  </si>
  <si>
    <t>rutuc254@gmail.com</t>
  </si>
  <si>
    <t>03210100013803</t>
  </si>
  <si>
    <t>PRJAPATI  RITU ARVINDBHAI</t>
  </si>
  <si>
    <t>RITU</t>
  </si>
  <si>
    <t>GBNPP6914E</t>
  </si>
  <si>
    <t>470826963287</t>
  </si>
  <si>
    <t>021101540000842</t>
  </si>
  <si>
    <t>NUTAN NAGARIK SAHAKARI BANK LTD.</t>
  </si>
  <si>
    <t>NNSB0128021</t>
  </si>
  <si>
    <t>F/406, VISHALA LENDMARK, NIKOL, AHMEDABAD</t>
  </si>
  <si>
    <t>580, RAMJIMANDIRNA KHACHAMA, KHADAL, KHEDA 387365</t>
  </si>
  <si>
    <t>rituprajapati561@gmail.com</t>
  </si>
  <si>
    <t>SHAHIWALA PALLAVI</t>
  </si>
  <si>
    <t>PALLAVI MUKESHBHAI SHAHIVALA</t>
  </si>
  <si>
    <t>SHAHIVALA</t>
  </si>
  <si>
    <t>PALLAVI</t>
  </si>
  <si>
    <t>625843368314</t>
  </si>
  <si>
    <t>39559655817</t>
  </si>
  <si>
    <t>SBIN0000302</t>
  </si>
  <si>
    <t>LAXMICHAND GHANCHINI CHALI, DARIYAPUR DARWAJA BAHAR DARIYAPUR, AHMEDABAD 380016</t>
  </si>
  <si>
    <t>RANI TUSHAR BUDGUDE</t>
  </si>
  <si>
    <t>BUDGUDE RANI</t>
  </si>
  <si>
    <t>BUDGUDE</t>
  </si>
  <si>
    <t>RANI</t>
  </si>
  <si>
    <t>TUSHAR</t>
  </si>
  <si>
    <t>743394666957</t>
  </si>
  <si>
    <t>71840100018459</t>
  </si>
  <si>
    <t>BARB0DBMANE</t>
  </si>
  <si>
    <t>25, ANUPAM SOCIETY 15 C.T.M CROSS ROAD, AHMEDABAD 380026</t>
  </si>
  <si>
    <t>budgudetushar50@gmail.com</t>
  </si>
  <si>
    <t>CHAVDA KHIMA H.</t>
  </si>
  <si>
    <t>206818210000804</t>
  </si>
  <si>
    <t>VE1750</t>
  </si>
  <si>
    <t>VE1751</t>
  </si>
  <si>
    <t>VE1752</t>
  </si>
  <si>
    <t>VE1753</t>
  </si>
  <si>
    <t>VE1754</t>
  </si>
  <si>
    <t>VE1755</t>
  </si>
  <si>
    <t>PARMAR GAURAVBHAI BHIKHABHAI</t>
  </si>
  <si>
    <t>GAURAVBHAI</t>
  </si>
  <si>
    <t>GRAPB9955A</t>
  </si>
  <si>
    <t>522832202676</t>
  </si>
  <si>
    <t>222010110001583</t>
  </si>
  <si>
    <t>BKID0002220</t>
  </si>
  <si>
    <t>VIJAPUR, MAHESANA</t>
  </si>
  <si>
    <t>parmargaurav9523@gmail.com</t>
  </si>
  <si>
    <t>MOVADIYA CHIRAGKUMAR MUKESHBHAI</t>
  </si>
  <si>
    <t>MOVADIYA</t>
  </si>
  <si>
    <t>FXJPM7261J</t>
  </si>
  <si>
    <t>975573188195</t>
  </si>
  <si>
    <t>71350100027664</t>
  </si>
  <si>
    <t>BARB0DBSHAI</t>
  </si>
  <si>
    <t>198, MAKUBHAI NI CHALI, NEAR VASUDEV NAGAR, GIRDHAR NAGAR, AHMEDABAD 380016</t>
  </si>
  <si>
    <t>chiragmovadiya007@gmail.com</t>
  </si>
  <si>
    <t>NINAMA GAURAVKUMAR ASHVINBHAI</t>
  </si>
  <si>
    <t>GAURAVKUMAR</t>
  </si>
  <si>
    <t>EOOPA5674A</t>
  </si>
  <si>
    <t>785754027632</t>
  </si>
  <si>
    <t>753410052793</t>
  </si>
  <si>
    <t>JESINGPUR, SABARKANTHA</t>
  </si>
  <si>
    <t>RAFALIYA NEHABEN</t>
  </si>
  <si>
    <t>RAFALIYA NEHABEN HASMUKHBHAI</t>
  </si>
  <si>
    <t>RAFALIYA</t>
  </si>
  <si>
    <t>NEHABEN</t>
  </si>
  <si>
    <t>FGDPR4551K</t>
  </si>
  <si>
    <t>483580236844</t>
  </si>
  <si>
    <t>33126869430</t>
  </si>
  <si>
    <t>SBIN0002634</t>
  </si>
  <si>
    <t xml:space="preserve">B-14, KRISHNADHAM SOCIETY, NIKOL, AHMEDABAD </t>
  </si>
  <si>
    <t>BHADER, AMRELI</t>
  </si>
  <si>
    <t>VE1756</t>
  </si>
  <si>
    <t>VE1757</t>
  </si>
  <si>
    <t>VE1758</t>
  </si>
  <si>
    <t>VE1759</t>
  </si>
  <si>
    <t>PARMAR NILESHWARIBEN RAMESHBHAI</t>
  </si>
  <si>
    <t>PARMAR NILESHVARI</t>
  </si>
  <si>
    <t>NILESHVARI</t>
  </si>
  <si>
    <t>CPFPN2686M</t>
  </si>
  <si>
    <t>309269946876</t>
  </si>
  <si>
    <t>474602010028869</t>
  </si>
  <si>
    <t>UBIN0547468</t>
  </si>
  <si>
    <t>MAHESHVARI SOCIETY, NAVA NARODA, AHMEDABAD</t>
  </si>
  <si>
    <t>01, ADOR FALIYA, PADEDI, MAHISAGAR</t>
  </si>
  <si>
    <t>nilup353@gmail.com</t>
  </si>
  <si>
    <t>RATHOD KAJALBEN JETHABHAI</t>
  </si>
  <si>
    <t>304283986432</t>
  </si>
  <si>
    <t>33333878766</t>
  </si>
  <si>
    <t>K-16 VISHWAS APPARTMENT, SARDAR CHOWK, KRISHNANAGAR, AHMEDABAD</t>
  </si>
  <si>
    <t>VANAKAR VAS, VADGAM, SURENDRANAGAR</t>
  </si>
  <si>
    <t>kr638570@gmail.com</t>
  </si>
  <si>
    <t>MITTAL TRIKAMBHAI SOLANKI</t>
  </si>
  <si>
    <t>SOLANKI MITALBEN TRIKAMBHAI</t>
  </si>
  <si>
    <t>TRIKAMBHAI</t>
  </si>
  <si>
    <t>CPFPT1243G</t>
  </si>
  <si>
    <t>728028471573</t>
  </si>
  <si>
    <t>557902010014137</t>
  </si>
  <si>
    <t>MANGALAM FLATS, BAPUNAGAR, AHMEDABAD</t>
  </si>
  <si>
    <t>HANUMAN VAS, DASADA, SURENDRANAGAR</t>
  </si>
  <si>
    <t>mittalsolanki999@gmail.com</t>
  </si>
  <si>
    <t>CHAUDHARI NEHALBEN SOMABHAI</t>
  </si>
  <si>
    <t>CLZPC9395J</t>
  </si>
  <si>
    <t>504822823118</t>
  </si>
  <si>
    <t>50100609884061</t>
  </si>
  <si>
    <t>HALPATIVAS, VIRPOR, TAPI</t>
  </si>
  <si>
    <t>chaudharinehal2104@gmail.com</t>
  </si>
  <si>
    <t>KAJALBEN ZALA</t>
  </si>
  <si>
    <t>DOLATSINH</t>
  </si>
  <si>
    <t>AEXPZ6478C</t>
  </si>
  <si>
    <t>739859021141</t>
  </si>
  <si>
    <t>2965883529</t>
  </si>
  <si>
    <t>CBIN0280530</t>
  </si>
  <si>
    <t>305, BERI BAS, JUNAUNTRADA, BAYAD, ARVALLI</t>
  </si>
  <si>
    <t>CHAVDA KHIMA HEMATBHAI</t>
  </si>
  <si>
    <t>KHIMA</t>
  </si>
  <si>
    <t>HEMATBHAI</t>
  </si>
  <si>
    <t>CKJPC7260H</t>
  </si>
  <si>
    <t>922053805723</t>
  </si>
  <si>
    <t>20371547621</t>
  </si>
  <si>
    <t>SBIN0060346</t>
  </si>
  <si>
    <t>SHAHIBAUG SOCIETY, ASARWA, AHMEDABAD</t>
  </si>
  <si>
    <t>MANIPUR HABARDI, DEVBHUMI DWARKA</t>
  </si>
  <si>
    <t>VE1760</t>
  </si>
  <si>
    <t>VE1761</t>
  </si>
  <si>
    <t>VE1762</t>
  </si>
  <si>
    <t>PAWAR NIKITA BHARATBHAI</t>
  </si>
  <si>
    <t>PAVAR NIKITA</t>
  </si>
  <si>
    <t>PAVAR</t>
  </si>
  <si>
    <t>NIKITA</t>
  </si>
  <si>
    <t>312732360779</t>
  </si>
  <si>
    <t>75840100014294</t>
  </si>
  <si>
    <t>124/962, G.H.BOARD, ASARVA, KALAPINAGAR, AHMEDABAD 16</t>
  </si>
  <si>
    <t>TANK KRISHNA HSAMUKHBHAI</t>
  </si>
  <si>
    <t>TANK</t>
  </si>
  <si>
    <t>HSAMUKHBHAI</t>
  </si>
  <si>
    <t>CQVPT7456G</t>
  </si>
  <si>
    <t>712920748474</t>
  </si>
  <si>
    <t>110114618140</t>
  </si>
  <si>
    <t>CNRB0003577</t>
  </si>
  <si>
    <t>DOLINO PAT, AMRELI</t>
  </si>
  <si>
    <t>RATHOD JAHANVI</t>
  </si>
  <si>
    <t>FGAPR8781L</t>
  </si>
  <si>
    <t>813661802135</t>
  </si>
  <si>
    <t>40590341153</t>
  </si>
  <si>
    <t>F-22, JAYRAJ COMPLEX, SONINI CHALI, ODHAV, AHMEDABAD 382415</t>
  </si>
  <si>
    <t>jahanvir492@gmail.com</t>
  </si>
  <si>
    <t>BHAMBHI GAURAV KUMAR D.</t>
  </si>
  <si>
    <t>BHAMBHI GAURAVKUMAR DAHYABHAI</t>
  </si>
  <si>
    <t>DAHYABHAI</t>
  </si>
  <si>
    <t>FJJPB0996R</t>
  </si>
  <si>
    <t>688992194816</t>
  </si>
  <si>
    <t>01810100009330</t>
  </si>
  <si>
    <t>BARB0VADALI</t>
  </si>
  <si>
    <t>0, BHAMBHI VAS BUS STATION PACHHAL, VADALI, SABARKANTHA</t>
  </si>
  <si>
    <t>bhambhigaurav141094@gmail.com</t>
  </si>
  <si>
    <t>VE1763</t>
  </si>
  <si>
    <t>VE1764</t>
  </si>
  <si>
    <t>VE1765</t>
  </si>
  <si>
    <t>VE1766</t>
  </si>
  <si>
    <t>SAHILKUMAR RAMESHBHAI ASARI</t>
  </si>
  <si>
    <t>SAHILKUMAR</t>
  </si>
  <si>
    <t>EEZPA5809A</t>
  </si>
  <si>
    <t>843739887213</t>
  </si>
  <si>
    <t>67500100006924</t>
  </si>
  <si>
    <t>1/159 BHATELA, MODRI BHILODA, SABARKANTHA</t>
  </si>
  <si>
    <t>MALVIYA ANKITKUMAR VIRAMBHAI</t>
  </si>
  <si>
    <t>MALVIYA</t>
  </si>
  <si>
    <t>ANKITKUMAR</t>
  </si>
  <si>
    <t>VIRAMBHAI</t>
  </si>
  <si>
    <t>GSHPM6947K</t>
  </si>
  <si>
    <t>419439150069</t>
  </si>
  <si>
    <t>67060100023964</t>
  </si>
  <si>
    <t>BARB0DBISAR</t>
  </si>
  <si>
    <t>GHORVADA, ARVALLI</t>
  </si>
  <si>
    <t>ankiimalviya7448@gmail.com</t>
  </si>
  <si>
    <t>VE1767</t>
  </si>
  <si>
    <t>DESAI JAYDEEP NAGAJIBHAI</t>
  </si>
  <si>
    <t>JAYDEEP</t>
  </si>
  <si>
    <t>NAGAJIBHAI</t>
  </si>
  <si>
    <t>CEHPN6165C</t>
  </si>
  <si>
    <t>235362763070</t>
  </si>
  <si>
    <t>356302010023981</t>
  </si>
  <si>
    <t>UBIN0535630</t>
  </si>
  <si>
    <t>B/99, GOPALNAGAR, KALOL, BORISANA, GANDHINAGAR</t>
  </si>
  <si>
    <t>desaijaydeep4900@gmail.com</t>
  </si>
  <si>
    <t>PATNI NEHA ASHOBHAI</t>
  </si>
  <si>
    <t>PATNI NEHA</t>
  </si>
  <si>
    <t>B.A, ECG</t>
  </si>
  <si>
    <t>632522509840</t>
  </si>
  <si>
    <t>152, MANGAL PARBHAT SOCIETY, SARASPUR, AHMEDABAD 18</t>
  </si>
  <si>
    <t>nehapatni1110@gmail.com</t>
  </si>
  <si>
    <t>NAISARGI PAREKH</t>
  </si>
  <si>
    <t>PAREKH NAISARGI MANISHKUMAR</t>
  </si>
  <si>
    <t>NAISARGI</t>
  </si>
  <si>
    <t>PGDHM</t>
  </si>
  <si>
    <t>EVBPP3311K</t>
  </si>
  <si>
    <t>898867508840</t>
  </si>
  <si>
    <t>20105210284</t>
  </si>
  <si>
    <t>SBIN0013753</t>
  </si>
  <si>
    <t>43, AMIT PARK SOCIETY, OPP. VISHAL NAGAR NR. SHYAM KRUSHNA HALL, ISANPUR, AHMEDABAD 382443</t>
  </si>
  <si>
    <t>naisargi.parekh01@gmail.com</t>
  </si>
  <si>
    <t>78100100008623</t>
  </si>
  <si>
    <t>HDFC0001708</t>
  </si>
  <si>
    <t>VE1768</t>
  </si>
  <si>
    <t>VE1769</t>
  </si>
  <si>
    <t>VE1770</t>
  </si>
  <si>
    <t>VE1771</t>
  </si>
  <si>
    <t>VE1772</t>
  </si>
  <si>
    <t>VE1773</t>
  </si>
  <si>
    <t>MAKWANA SANGITA RAJENDRAKUMAR</t>
  </si>
  <si>
    <t>MAKWANA SANGITA</t>
  </si>
  <si>
    <t>FQZPM2067K</t>
  </si>
  <si>
    <t>979663528757</t>
  </si>
  <si>
    <t>75840100013323</t>
  </si>
  <si>
    <t>6/379, C/COLONY, BLOCK 1-11, NARODA ROAD, OPP ASHOK MILL, AHMEDABAD 382345</t>
  </si>
  <si>
    <t>sangitamakwana0@gmail.com</t>
  </si>
  <si>
    <t>RAJPUT ARCHANABEN DILIPSINH</t>
  </si>
  <si>
    <t>FQHPR9221J</t>
  </si>
  <si>
    <t>939247979916</t>
  </si>
  <si>
    <t>09332191018573</t>
  </si>
  <si>
    <t>PUNB0093310</t>
  </si>
  <si>
    <t>PLOT NO 652/2, FIRST FLOOR, SECTOR-5 B, GANDHINAGAR</t>
  </si>
  <si>
    <t>radharajput111111111@gmail.com</t>
  </si>
  <si>
    <t>MAHERIYA ZALAK NAVINBHAI</t>
  </si>
  <si>
    <t>MAHERIYA</t>
  </si>
  <si>
    <t>NAVINBHAI</t>
  </si>
  <si>
    <t>754942367343</t>
  </si>
  <si>
    <t>01910116307</t>
  </si>
  <si>
    <t>KALUPUR BANK</t>
  </si>
  <si>
    <t>KCCB0ISP019</t>
  </si>
  <si>
    <t>9, SHAKTI SUNDARAM NAGAR SOCIETY, BEHIND PRABHU NAGAR, SHAHWADI, AHMEDABAD</t>
  </si>
  <si>
    <t>zalakmaheriya28@gmail.com</t>
  </si>
  <si>
    <t xml:space="preserve">PAREKH DHRUVISHA </t>
  </si>
  <si>
    <t>DHRUVISHA</t>
  </si>
  <si>
    <t>IEAPP4581M</t>
  </si>
  <si>
    <t>763182208808</t>
  </si>
  <si>
    <t>39957037456</t>
  </si>
  <si>
    <t>SBIN0010865</t>
  </si>
  <si>
    <t>104 OM RESIDENCY, BEHIND SANIDHYA ARCADE, S P RING ROAD, VASTRAL, AHMEDABAD 382418</t>
  </si>
  <si>
    <t>dhruvishaparekh1210@gmail.com</t>
  </si>
  <si>
    <t>SOLANKI YOGITA MOHANBHAI</t>
  </si>
  <si>
    <t>SOLANKI YOGITABEN</t>
  </si>
  <si>
    <t>YOGITABEN</t>
  </si>
  <si>
    <t>997768196900</t>
  </si>
  <si>
    <t>18/554, AMBEDKAR AVAS YOJANA, NEAR MAN MOHAN PARK, NIKOL ROAD, ODHAV , AHMEDABAD</t>
  </si>
  <si>
    <t>solankiyogita1499@gmail.com</t>
  </si>
  <si>
    <t>GOHIL MAMTABEN HIRABHAI</t>
  </si>
  <si>
    <t>MAMTABEN</t>
  </si>
  <si>
    <t>BJOPH1484H</t>
  </si>
  <si>
    <t>727146343745</t>
  </si>
  <si>
    <t>17750100022110</t>
  </si>
  <si>
    <t>BARB0KATHLA</t>
  </si>
  <si>
    <t>230, NAVA VANKARVAS, DAMPAT, KHEDA</t>
  </si>
  <si>
    <t xml:space="preserve">C-16, ASHAPURA TENAMENT, ANIL STARCH, BAPUNAGAR, AHMEDABAD </t>
  </si>
  <si>
    <t>mamtagohil7727@gmail.com</t>
  </si>
  <si>
    <t>VE1774</t>
  </si>
  <si>
    <t>VE1775</t>
  </si>
  <si>
    <t>PATEL KRISHNA YOGESHBHAI</t>
  </si>
  <si>
    <t>YOGESHBHAI</t>
  </si>
  <si>
    <t>472500771052</t>
  </si>
  <si>
    <t>75840100007712</t>
  </si>
  <si>
    <t>SHAKTINAGAR LINE NO-2, AMBEDKARNAGAR, RELVELINENI PASE, MEMKO, AHMEDABAD 382345</t>
  </si>
  <si>
    <t>hadiyelkrishna691@gmail.com</t>
  </si>
  <si>
    <t>MARVADI ALKA RAJUBHAI</t>
  </si>
  <si>
    <t>MARVADI ALKA</t>
  </si>
  <si>
    <t>MAVADI</t>
  </si>
  <si>
    <t>ALKA</t>
  </si>
  <si>
    <t>FOLPM7104F</t>
  </si>
  <si>
    <t>524817496391</t>
  </si>
  <si>
    <t>75848100001813</t>
  </si>
  <si>
    <t>113/882 GUJARAT HOSUING BOARD, KALAPINAGAR, AHMEDABAD</t>
  </si>
  <si>
    <t>alkachauhan0674@gmail.com</t>
  </si>
  <si>
    <t>VE1776</t>
  </si>
  <si>
    <t>VE1777</t>
  </si>
  <si>
    <t>VE1778</t>
  </si>
  <si>
    <t>VE1779</t>
  </si>
  <si>
    <t>VE1780</t>
  </si>
  <si>
    <t>VE1781</t>
  </si>
  <si>
    <t>VE1782</t>
  </si>
  <si>
    <t>VE1783</t>
  </si>
  <si>
    <t>VE1784</t>
  </si>
  <si>
    <t>VE1785</t>
  </si>
  <si>
    <t>GOHEL KOMAL BABUBHAI</t>
  </si>
  <si>
    <t>GOHEL KOMAL</t>
  </si>
  <si>
    <t>BXCPG8649H</t>
  </si>
  <si>
    <t>623848912173</t>
  </si>
  <si>
    <t>203110510007511</t>
  </si>
  <si>
    <t>BKID0002031</t>
  </si>
  <si>
    <t>ROHIT VAS, PASUNJ, AHMEDABAD</t>
  </si>
  <si>
    <t>gohelkomal613@gmail.com</t>
  </si>
  <si>
    <t>RATHOD UTSAV MUKESHBHAI</t>
  </si>
  <si>
    <t>UTSAV MUKESHBHAI RATHOD</t>
  </si>
  <si>
    <t>FIJPR4828D</t>
  </si>
  <si>
    <t>398579077579</t>
  </si>
  <si>
    <t>38524058079</t>
  </si>
  <si>
    <t>SBIN0060453</t>
  </si>
  <si>
    <t>A-1, NEW BHUMIKA APARTMENT, K.K NAGAR ROAD, GHATLODIA, AHMEDABAD</t>
  </si>
  <si>
    <t>utsavrathod910@gmail.com</t>
  </si>
  <si>
    <t>PARMAR DIPAKKUMAR PANKAJBHAI</t>
  </si>
  <si>
    <t>PANKAJBHAI</t>
  </si>
  <si>
    <t>GITPP8166H</t>
  </si>
  <si>
    <t>441136136944</t>
  </si>
  <si>
    <t>211510510001067</t>
  </si>
  <si>
    <t>BKID0002115</t>
  </si>
  <si>
    <t>C-4, RADHE BUNGLOWS, FATEHPURA ROAD, MANSA</t>
  </si>
  <si>
    <t>rebeldipak1@gmail.com</t>
  </si>
  <si>
    <t>MISTRY PRACHI BHARATBHAI</t>
  </si>
  <si>
    <t>MISTRY PRACHI</t>
  </si>
  <si>
    <t>MISTRY</t>
  </si>
  <si>
    <t>GJJPM9565C</t>
  </si>
  <si>
    <t>263788575669</t>
  </si>
  <si>
    <t>31940100009003</t>
  </si>
  <si>
    <t>A-3, AMBICANAGAR, UTTAMNAGAR, NIKOL, AHMEDABAD</t>
  </si>
  <si>
    <t>CHAREL MANISHABEN DINESHBHAI</t>
  </si>
  <si>
    <t>CHAREL</t>
  </si>
  <si>
    <t>DDMPC2233P</t>
  </si>
  <si>
    <t>747629516093</t>
  </si>
  <si>
    <t>FATEHPURA, DAHOD</t>
  </si>
  <si>
    <t>SANKHALA AARTI MANOJBHAI</t>
  </si>
  <si>
    <t>SANKHLA AARTI</t>
  </si>
  <si>
    <t>SANKHLA</t>
  </si>
  <si>
    <t>640806377156</t>
  </si>
  <si>
    <t>13/1018, GUJARAT HOUSING BOARD, KALAPINAGAR, AHMEDABAD</t>
  </si>
  <si>
    <t>aartisankhala22@gmail.com</t>
  </si>
  <si>
    <t>RANA SURAJ</t>
  </si>
  <si>
    <t>RANA SURAJ RAMESHBHAI</t>
  </si>
  <si>
    <t>CDXPR7008H</t>
  </si>
  <si>
    <t>700749953532</t>
  </si>
  <si>
    <t>146/6, AMBALAL HIRALAL NI CHALI, OPP V.S HOSPITAL, ELLISEBRIDGE, AHMEDABAD 380006</t>
  </si>
  <si>
    <t>ranasuraj699@gmail.com</t>
  </si>
  <si>
    <t>BHAMAT PINALBEN BABUBHAI</t>
  </si>
  <si>
    <t>BHAMAT PINALBEN</t>
  </si>
  <si>
    <t>BHAMAT</t>
  </si>
  <si>
    <t>PINALBEN</t>
  </si>
  <si>
    <t>EODPB7568P</t>
  </si>
  <si>
    <t>911350796577</t>
  </si>
  <si>
    <t>46010100002289</t>
  </si>
  <si>
    <t>BARB0BATAKW</t>
  </si>
  <si>
    <t>BATAKWADA, PANCHMAHALS</t>
  </si>
  <si>
    <t>bhamatpinal2001@gmail.com</t>
  </si>
  <si>
    <t>SHARMA SHYAM ASHVINKUMAR</t>
  </si>
  <si>
    <t>SHYAM</t>
  </si>
  <si>
    <t>KAUPS0557N</t>
  </si>
  <si>
    <t>810338093730</t>
  </si>
  <si>
    <t>50100467181015</t>
  </si>
  <si>
    <t>84, YOGINAGAR SOCIETY-1, DAKOR ROAD, KAPADVANJ, KHEDA</t>
  </si>
  <si>
    <t>sharmashyam3005@gmail.com</t>
  </si>
  <si>
    <t>MAULIK BABUBHAI MAKWANA</t>
  </si>
  <si>
    <t>MAULIK</t>
  </si>
  <si>
    <t>EICPM6414C</t>
  </si>
  <si>
    <t>374573182782</t>
  </si>
  <si>
    <t>917010075305633</t>
  </si>
  <si>
    <t>VANKARVAS, NANDOL, GANDHINAGAR</t>
  </si>
  <si>
    <t>maulikmak2271@gmail.com</t>
  </si>
  <si>
    <t>VE1786</t>
  </si>
  <si>
    <t>PARIYA HIRAL ARJANBHAI</t>
  </si>
  <si>
    <t>PARIYA</t>
  </si>
  <si>
    <t>GUWPP7394Q</t>
  </si>
  <si>
    <t>467780892126</t>
  </si>
  <si>
    <t>33699412415</t>
  </si>
  <si>
    <t>SBIN0060090</t>
  </si>
  <si>
    <t>UDHYOGNAGAR, OKHA, JAMNAGAR</t>
  </si>
  <si>
    <t>hiralpariya@gmail.com</t>
  </si>
  <si>
    <t>VE1787</t>
  </si>
  <si>
    <t>VE1788</t>
  </si>
  <si>
    <t>SOLANKI JANKI DHIRUBHAI</t>
  </si>
  <si>
    <t>JANKI</t>
  </si>
  <si>
    <t>PJRPS6343K</t>
  </si>
  <si>
    <t>529693845569</t>
  </si>
  <si>
    <t>50100660597011</t>
  </si>
  <si>
    <t>ABDULMIYAS CHALI, NARODA ROAD, AMDUPURA, AHMEDABAD 382345</t>
  </si>
  <si>
    <t>jankisolanki4820@gmail.com</t>
  </si>
  <si>
    <t>MAHERIYA YAMINIBEN BALDEVABHAI</t>
  </si>
  <si>
    <t>IKXPM0994J</t>
  </si>
  <si>
    <t>449849641038</t>
  </si>
  <si>
    <t>01540100044010</t>
  </si>
  <si>
    <t>BARB0VISNAG</t>
  </si>
  <si>
    <t>CHAMARVAS, GOTHVA, MEHSANA</t>
  </si>
  <si>
    <t>yaminimaheriya@gmail.com</t>
  </si>
  <si>
    <t>VE1789</t>
  </si>
  <si>
    <t>SHAH ARTI HARDIKKUMAR</t>
  </si>
  <si>
    <t>SHAH</t>
  </si>
  <si>
    <t>HARDIKKUMAR</t>
  </si>
  <si>
    <t>BSDPG1311C</t>
  </si>
  <si>
    <t>669744665617</t>
  </si>
  <si>
    <t>10087639702</t>
  </si>
  <si>
    <t>D-702, SUKH SAHITYA HEIGHTS, OPP. MEVADA GREEN PARTY PLOT, NAVA NARODA ROAD, AHMEDABAD</t>
  </si>
  <si>
    <t>shahaarti002@gmail.com</t>
  </si>
  <si>
    <t>BACHELOR ENGINEERING</t>
  </si>
  <si>
    <t>VE1790</t>
  </si>
  <si>
    <t>CHAUHAN NISHITA</t>
  </si>
  <si>
    <t>VE1791</t>
  </si>
  <si>
    <t>VE1792</t>
  </si>
  <si>
    <t>VE1793</t>
  </si>
  <si>
    <t>VE1794</t>
  </si>
  <si>
    <t>VE1795</t>
  </si>
  <si>
    <t>VE1796</t>
  </si>
  <si>
    <t>NISHITA</t>
  </si>
  <si>
    <t>HIMATSINGH</t>
  </si>
  <si>
    <t>B.SC, COPA</t>
  </si>
  <si>
    <t>CIOPC3482N</t>
  </si>
  <si>
    <t>398972430325</t>
  </si>
  <si>
    <t>35006220169</t>
  </si>
  <si>
    <t>349/1802, GUJ. HOUSING BOARD, BAPUNAGAR, AHMEDABAD 380024</t>
  </si>
  <si>
    <t>nishitachauhan494@gmail.com</t>
  </si>
  <si>
    <t>SAKSHI PARESHBHAI VANZA</t>
  </si>
  <si>
    <t>VANZA SAKSHI</t>
  </si>
  <si>
    <t>VANZA</t>
  </si>
  <si>
    <t>PARESHBHAI</t>
  </si>
  <si>
    <t>BOXPV5184C</t>
  </si>
  <si>
    <t>740641673905</t>
  </si>
  <si>
    <t>75840100014351</t>
  </si>
  <si>
    <t>116, GAYTRINAGAR, OPP. NETAJINAGAR, MEGHANINAGAR, AHMEDABAD 16</t>
  </si>
  <si>
    <t>PARMAR KARINABEN LALABHAI</t>
  </si>
  <si>
    <t>PARMAR KARINABEN</t>
  </si>
  <si>
    <t>KARINABEN</t>
  </si>
  <si>
    <t>GHFPP1669N</t>
  </si>
  <si>
    <t>771156278040</t>
  </si>
  <si>
    <t>07200100014425</t>
  </si>
  <si>
    <t>BARB0MALVAN</t>
  </si>
  <si>
    <t>VANKAR FALIYA, MALVAN, PANCHMAHALS</t>
  </si>
  <si>
    <t>karinaparmar33@gmail.com</t>
  </si>
  <si>
    <t>MAKWANA RUTVI ROHITBHAI</t>
  </si>
  <si>
    <t>RUTVI</t>
  </si>
  <si>
    <t>ROHITBHAI</t>
  </si>
  <si>
    <t>GJDPM7053K</t>
  </si>
  <si>
    <t>569879851634</t>
  </si>
  <si>
    <t>603, P.I.U. QUARTER, KALUBHA ROAD, BHAVNAGAR</t>
  </si>
  <si>
    <t>rutvimakwana2001@gmail.com</t>
  </si>
  <si>
    <t>PRAJAPATI HITANSHI NATUBHAI</t>
  </si>
  <si>
    <t>PRJAPATI HITANSHIBEN</t>
  </si>
  <si>
    <t>HITANSHIBEN</t>
  </si>
  <si>
    <t>BXNPH6860C</t>
  </si>
  <si>
    <t>810820294538</t>
  </si>
  <si>
    <t>40105539693</t>
  </si>
  <si>
    <t>SBIN0018862</t>
  </si>
  <si>
    <t>540, PRAJAPATI NIVAS, TARAPUR, ANAND</t>
  </si>
  <si>
    <t>prajapatihitanshi20@gmail.com</t>
  </si>
  <si>
    <t>RIDDHI VINODBHAI SUMESARA</t>
  </si>
  <si>
    <t>RIDHDHI VINODBHAI SUMESARA</t>
  </si>
  <si>
    <t>RIDHDHI</t>
  </si>
  <si>
    <t>442959486551</t>
  </si>
  <si>
    <t>84620100004026</t>
  </si>
  <si>
    <t>61/2 ANAND FLAT, BAPUNAGAR, AHMEDABAD 380024</t>
  </si>
  <si>
    <t>riddhivinodbhai@gmail.com</t>
  </si>
  <si>
    <t>PRAJAPATI MOHINIKUMARI</t>
  </si>
  <si>
    <t>MOHINIKUMARI</t>
  </si>
  <si>
    <t>RAMBAHADURBHAI</t>
  </si>
  <si>
    <t>FWMPP0208Q</t>
  </si>
  <si>
    <t>813191324180</t>
  </si>
  <si>
    <t>THAKORVAS, KRUSHN KANAIYA FLETNI SAME, HANSOL GAM, AHMEDABAD 382475</t>
  </si>
  <si>
    <t>prajapatimohini734@gmail.com</t>
  </si>
  <si>
    <t>VE1797</t>
  </si>
  <si>
    <t>DAMOR ANJANA DINESHBHAI</t>
  </si>
  <si>
    <t>DAMOR ANJANA</t>
  </si>
  <si>
    <t>ANJANA</t>
  </si>
  <si>
    <t>EZKPA3046M</t>
  </si>
  <si>
    <t>971420551717</t>
  </si>
  <si>
    <t>33300968090</t>
  </si>
  <si>
    <t>SBIN0060417</t>
  </si>
  <si>
    <t>337/1, GSECL COLONY, SIKKA, JAMNAGAR</t>
  </si>
  <si>
    <t>anjalidamor1186@gmail.com</t>
  </si>
  <si>
    <t>VE1798</t>
  </si>
  <si>
    <t>HADIYAL HEMANSHREE PRAHLADBHAI</t>
  </si>
  <si>
    <t>HEMANSHREE</t>
  </si>
  <si>
    <t>PRAHLADBHAI</t>
  </si>
  <si>
    <t>BEOPH2234E</t>
  </si>
  <si>
    <t>945987275998</t>
  </si>
  <si>
    <t>3254101003979</t>
  </si>
  <si>
    <t>CNRB0017184</t>
  </si>
  <si>
    <t>SATVARA PARA MAHAJAN PANJRA POL, WADHWAN, SURENDRANAGAR</t>
  </si>
  <si>
    <t>hemanshreehadiyal@gmail.com</t>
  </si>
  <si>
    <t>barb0dbwank</t>
  </si>
  <si>
    <t>50100751820956</t>
  </si>
  <si>
    <t>10920100047511</t>
  </si>
  <si>
    <t>BARB0SUKHSA</t>
  </si>
  <si>
    <t>VE1799</t>
  </si>
  <si>
    <t>GUSAI MEERA SAMBHUGIRI</t>
  </si>
  <si>
    <t>GUSAI</t>
  </si>
  <si>
    <t>SAMBHUGIRI</t>
  </si>
  <si>
    <t>896172110433</t>
  </si>
  <si>
    <t>380010110010723</t>
  </si>
  <si>
    <t>BKID0003800</t>
  </si>
  <si>
    <t>MOTAPIR ROAD, SANJOGNAGAR, BHUJ</t>
  </si>
  <si>
    <t>goswamimeerameera204@gmail.com</t>
  </si>
  <si>
    <t>VE1800</t>
  </si>
  <si>
    <t>VE1801</t>
  </si>
  <si>
    <t>RAVAT PUJABEN</t>
  </si>
  <si>
    <t>PUJABEN</t>
  </si>
  <si>
    <t>RAVAT PUJA JASVANTBHAI</t>
  </si>
  <si>
    <t>GYHPR2562D</t>
  </si>
  <si>
    <t>595145496064</t>
  </si>
  <si>
    <t>01530100054111</t>
  </si>
  <si>
    <t>KADIYANAKU, DARIYAPUR, AHMEDABAD</t>
  </si>
  <si>
    <t>SENAMAVAS, DETHALI ROAD, PATAN</t>
  </si>
  <si>
    <t>poojaravat6419@gmail.com</t>
  </si>
  <si>
    <t>PARMAR KINNARIBEN JAYANTIBHAI</t>
  </si>
  <si>
    <t>PARMAR KINNARIBEN</t>
  </si>
  <si>
    <t>KINNARIBEN</t>
  </si>
  <si>
    <t>INQPP9371A</t>
  </si>
  <si>
    <t>402791198492</t>
  </si>
  <si>
    <t>902020001009579</t>
  </si>
  <si>
    <t>THE KAIRA DIST CENTRAL CO.OP BANK</t>
  </si>
  <si>
    <t>ICIC00KAIRA</t>
  </si>
  <si>
    <t>VASTANA, KHEDA</t>
  </si>
  <si>
    <t>kinnariparmar4@gmail.com</t>
  </si>
  <si>
    <t>VE1802</t>
  </si>
  <si>
    <t>VE1803</t>
  </si>
  <si>
    <t>VE1804</t>
  </si>
  <si>
    <t>URVISHABEN BHARATBHAI PANDOR</t>
  </si>
  <si>
    <t>PANDOR</t>
  </si>
  <si>
    <t>HILPP4111F</t>
  </si>
  <si>
    <t>891723817693</t>
  </si>
  <si>
    <t>714002010008007</t>
  </si>
  <si>
    <t>UBIN0571407</t>
  </si>
  <si>
    <t>17, PANDOR FALIYU, KANADAR, SABARKANTHA</t>
  </si>
  <si>
    <t>pandorurvisha5@gmail.com</t>
  </si>
  <si>
    <t>PATEL PREKSHABEN JAGDISHBHAI</t>
  </si>
  <si>
    <t>PREKSHABEN</t>
  </si>
  <si>
    <t>HJKPP0870F</t>
  </si>
  <si>
    <t>426571649247</t>
  </si>
  <si>
    <t>222310110006677</t>
  </si>
  <si>
    <t>NAVINPARU, TAVADIA, PATAN</t>
  </si>
  <si>
    <t>prekshapatel13879@gmail.com</t>
  </si>
  <si>
    <t>PAYALBEN CHANDRAKANTBHAI CHAUHAN</t>
  </si>
  <si>
    <t>CLBPC5525J</t>
  </si>
  <si>
    <t>869887667305</t>
  </si>
  <si>
    <t>206810110019706</t>
  </si>
  <si>
    <t>78/1860, GUJARAT HOU. BOARD, MEGHANINAGAR,AHMEDABAD 16</t>
  </si>
  <si>
    <t>chauhanpayal@gmail.com</t>
  </si>
  <si>
    <t>20288293146</t>
  </si>
  <si>
    <t>SBIN0016029</t>
  </si>
  <si>
    <t>25980100016443</t>
  </si>
  <si>
    <t>BARB0SSIBHA</t>
  </si>
  <si>
    <t>75848100001164</t>
  </si>
  <si>
    <t>520101263014669</t>
  </si>
  <si>
    <t>UBIN0904601</t>
  </si>
  <si>
    <t>VE1805</t>
  </si>
  <si>
    <t>VE1806</t>
  </si>
  <si>
    <t>VE1807</t>
  </si>
  <si>
    <t>VE1808</t>
  </si>
  <si>
    <t>VE1809</t>
  </si>
  <si>
    <t>BARIYA MITALBEN RAVINDRABHAI</t>
  </si>
  <si>
    <t>BARIYA</t>
  </si>
  <si>
    <t>B.TECH, D. ENG.</t>
  </si>
  <si>
    <t>CYDPB6470L</t>
  </si>
  <si>
    <t>714543827084</t>
  </si>
  <si>
    <t>PRIYA SAGAR MUDALIAR</t>
  </si>
  <si>
    <t>MUDALIAR</t>
  </si>
  <si>
    <t>EZMPM3674K</t>
  </si>
  <si>
    <t>274586929299</t>
  </si>
  <si>
    <t>41533367093</t>
  </si>
  <si>
    <t>SBIN0018813</t>
  </si>
  <si>
    <t>17/266, OPP PLETINUM PARK, SAIBABA APPARTMENT, DASKROI, AHMEDABAD 382445</t>
  </si>
  <si>
    <t>mudaliarpriya79@gmail.com</t>
  </si>
  <si>
    <t>DIVYA GOVINDBHAI CHAUHAN</t>
  </si>
  <si>
    <t>CHAUHAN DIVYABEN GOVINDBHAI</t>
  </si>
  <si>
    <t>ELLPG4490N</t>
  </si>
  <si>
    <t>728778879879</t>
  </si>
  <si>
    <t>31453283764</t>
  </si>
  <si>
    <t>SBIN0060215</t>
  </si>
  <si>
    <t>HADMATIYA, AMRELI, DUNGAR</t>
  </si>
  <si>
    <t>DIVYACHAUHAN0209@GMAIL.COM</t>
  </si>
  <si>
    <t>MITALBEN DINESHBHAI PRAJAPATI</t>
  </si>
  <si>
    <t>HFCPP1139B</t>
  </si>
  <si>
    <t>925606284590</t>
  </si>
  <si>
    <t>40655371187</t>
  </si>
  <si>
    <t>SBIN0001210</t>
  </si>
  <si>
    <t>NAVAVAS, KOTDA FORNA, BANASKANTHA</t>
  </si>
  <si>
    <t>MITTALPRAJAPATI1712@GMAIL.COM</t>
  </si>
  <si>
    <t>PARMAR APEKSHAKUMARI RAJESHKUMAR</t>
  </si>
  <si>
    <t>APEKSHAKUMARI</t>
  </si>
  <si>
    <t>BCOM, MCOM</t>
  </si>
  <si>
    <t>HWDPP1503H</t>
  </si>
  <si>
    <t>878302128497</t>
  </si>
  <si>
    <t>03300100024423</t>
  </si>
  <si>
    <t>1 MAHAVIR SHUKTI SOCIETY, OPP GAJANAND SOCIETY, GIRDHARNAGAR, AHMEDABAD</t>
  </si>
  <si>
    <t>276810110002910</t>
  </si>
  <si>
    <t>BKID0002768</t>
  </si>
  <si>
    <t>352, KUKAN FALIYU, KAKADKUVA, VALSAD</t>
  </si>
  <si>
    <t>VE1810</t>
  </si>
  <si>
    <t>PARMAR SEEMABEN NARSINHBHAI</t>
  </si>
  <si>
    <t>SEEMABEN</t>
  </si>
  <si>
    <t>HQUPP8308F</t>
  </si>
  <si>
    <t>312449990793</t>
  </si>
  <si>
    <t>342702010101973</t>
  </si>
  <si>
    <t>UBIN0534277</t>
  </si>
  <si>
    <t>ODHAV, AHMEDABAD</t>
  </si>
  <si>
    <t>NANDOTARA, BANASKANTHA</t>
  </si>
  <si>
    <t>VE1811</t>
  </si>
  <si>
    <t>PRANALI JATINKUMAR MANDANKA</t>
  </si>
  <si>
    <t>MANDANKA</t>
  </si>
  <si>
    <t>VE1812</t>
  </si>
  <si>
    <t>SUTARIYA DIVYANGANI NARENDRAKUMAR</t>
  </si>
  <si>
    <t>SUTARIYA</t>
  </si>
  <si>
    <t>DIVYANGANI</t>
  </si>
  <si>
    <t>KUWPS9868A</t>
  </si>
  <si>
    <t>383594222072</t>
  </si>
  <si>
    <t>38010510043</t>
  </si>
  <si>
    <t>SBIN0000319</t>
  </si>
  <si>
    <t>B-156, GOKULESH SOCIETY, NEAR PLUS POINT, BALASINOR, MAHISAGAR</t>
  </si>
  <si>
    <t>108 GVK ROAD SHYAM KUTIR 1, HANSPURA, VASANT VIHAR 2, NAVA NARODA, AHMEDABAD</t>
  </si>
  <si>
    <t>VE1813</t>
  </si>
  <si>
    <t>PATEL MIHIR KAMALESHKUMAR</t>
  </si>
  <si>
    <t>MIHIR</t>
  </si>
  <si>
    <t>KAMALESHKUMAR</t>
  </si>
  <si>
    <t>BSC, MHM</t>
  </si>
  <si>
    <t>FVSPP6875G</t>
  </si>
  <si>
    <t>539381378863</t>
  </si>
  <si>
    <t>20, GHANSHYAM PARK SOCIETY, PATAN</t>
  </si>
  <si>
    <t>VE1814</t>
  </si>
  <si>
    <t>PATANI VIPULBHAI HARESHBHAI</t>
  </si>
  <si>
    <t>PATNI VIPULBHAI</t>
  </si>
  <si>
    <t>HARESHBHAI</t>
  </si>
  <si>
    <t>BZBPV0142D</t>
  </si>
  <si>
    <t>538008553498</t>
  </si>
  <si>
    <t>3283889129</t>
  </si>
  <si>
    <t>42-18, GABHAJI MANGAJI NI CHALI, CIVIL HOSPITAL, ASARWA, AHMEDABAD</t>
  </si>
  <si>
    <t>POOJA RAMNJI THAKARDA</t>
  </si>
  <si>
    <t>VE1815</t>
  </si>
  <si>
    <t>DHARMISHTHA MAKWANA</t>
  </si>
  <si>
    <t>JCXPM8233D</t>
  </si>
  <si>
    <t>935863361737</t>
  </si>
  <si>
    <t>09330100020556</t>
  </si>
  <si>
    <t xml:space="preserve">C-130, SEJAL PARK, G.D SCHOOL ROAD, SAIJPUR BOGHA, AHMEDABAD </t>
  </si>
  <si>
    <t>36322148221</t>
  </si>
  <si>
    <t>VE1816</t>
  </si>
  <si>
    <t>VE1817</t>
  </si>
  <si>
    <t>VE1818</t>
  </si>
  <si>
    <t>VE1819</t>
  </si>
  <si>
    <t>VE1820</t>
  </si>
  <si>
    <t>VE1821</t>
  </si>
  <si>
    <t>PRITIBEN HIRABHAI BHAGORA</t>
  </si>
  <si>
    <t>CJMPB4221R</t>
  </si>
  <si>
    <t>297898495795</t>
  </si>
  <si>
    <t>41753277889</t>
  </si>
  <si>
    <t>SBIN0011798</t>
  </si>
  <si>
    <t>UTTPAL SOCIETY, NARODA BETHAK, AHMEDABAD</t>
  </si>
  <si>
    <t>6666, BHAGORA FALIYU, SABARKANTHA</t>
  </si>
  <si>
    <t>VADHEL PAYAL NAGJIBHAI</t>
  </si>
  <si>
    <t>VADHEL</t>
  </si>
  <si>
    <t>446867594157</t>
  </si>
  <si>
    <t>924010017711845</t>
  </si>
  <si>
    <t>MUKTIDHAM, NARODA, AHMEDABAD</t>
  </si>
  <si>
    <t>VANKAR VAS, JUNAGADH</t>
  </si>
  <si>
    <t>RUTESHBHAI GUNVANTBHAI DAVADA</t>
  </si>
  <si>
    <t>DAVADA</t>
  </si>
  <si>
    <t>RUTESHBHAI</t>
  </si>
  <si>
    <t>JGTPD8102E</t>
  </si>
  <si>
    <t>368943956968</t>
  </si>
  <si>
    <t>200910110016051</t>
  </si>
  <si>
    <t>PATADIYA, SABARKANTHA</t>
  </si>
  <si>
    <t>PARMAR VAISHALIBEN RAJESHBHAI</t>
  </si>
  <si>
    <t>HAUPR0070J</t>
  </si>
  <si>
    <t>541813022388</t>
  </si>
  <si>
    <t>35906586053</t>
  </si>
  <si>
    <t>TORDA, SABARKANTHA</t>
  </si>
  <si>
    <t>PANCHAL GOPI KALPESHKUMAR</t>
  </si>
  <si>
    <t>KALPESHKUMAR</t>
  </si>
  <si>
    <t>OPVPK2198B</t>
  </si>
  <si>
    <t>668144365607</t>
  </si>
  <si>
    <t>02950100034093</t>
  </si>
  <si>
    <t>BARB0KAPADW</t>
  </si>
  <si>
    <t>KAPADVANJ, KHEDA</t>
  </si>
  <si>
    <t>HARIDARSHAN CROSS ROAD, NARODA, AHMEDABAD</t>
  </si>
  <si>
    <t>PATEL DIYA</t>
  </si>
  <si>
    <t>DIYA</t>
  </si>
  <si>
    <t>PARESHKUMAR</t>
  </si>
  <si>
    <t>JGLPD0638H</t>
  </si>
  <si>
    <t>465416702932</t>
  </si>
  <si>
    <t>42439965174</t>
  </si>
  <si>
    <t>KADANA, PANCHMAHALS</t>
  </si>
  <si>
    <t>VE1822</t>
  </si>
  <si>
    <t>PATNI PUSHPA BABUBHAI</t>
  </si>
  <si>
    <t>PUSHPA</t>
  </si>
  <si>
    <t>GUQPP0650H</t>
  </si>
  <si>
    <t>630677144877</t>
  </si>
  <si>
    <t>206810110016488</t>
  </si>
  <si>
    <t>A-34, KUMBHAR NI CHALI, NR.ARVINDNAGAR, BHARGAV ROAD, MEGHANINAGAR, AHMEDABAD</t>
  </si>
  <si>
    <t>VE1823</t>
  </si>
  <si>
    <t>ZEEL MOHANBHAI VADGAMA</t>
  </si>
  <si>
    <t>VADGAMA</t>
  </si>
  <si>
    <t>CKNPV9582K</t>
  </si>
  <si>
    <t>280290850903</t>
  </si>
  <si>
    <t>01770100025654</t>
  </si>
  <si>
    <t>BARB0VADGAM</t>
  </si>
  <si>
    <t>AMBEDKAR NAGAR, VADGAM, BANASKANTHA</t>
  </si>
  <si>
    <t>VE1824</t>
  </si>
  <si>
    <t>PARMAR KHUSHBUBEN DHARMENDRABHAI</t>
  </si>
  <si>
    <t>KHUSHBUBEN</t>
  </si>
  <si>
    <t>FUJPP6024B</t>
  </si>
  <si>
    <t>458311536736</t>
  </si>
  <si>
    <t>03000100038867</t>
  </si>
  <si>
    <t>BARB0THASRA</t>
  </si>
  <si>
    <t>DABHALI, KHEDA</t>
  </si>
  <si>
    <t>BIO-MEDICAL ENGINEER</t>
  </si>
</sst>
</file>

<file path=xl/styles.xml><?xml version="1.0" encoding="utf-8"?>
<styleSheet xmlns="http://schemas.openxmlformats.org/spreadsheetml/2006/main">
  <numFmts count="5">
    <numFmt numFmtId="164" formatCode="[$-409]d\-mmm\-yy;@"/>
    <numFmt numFmtId="165" formatCode="dd/mm/yyyy;@"/>
    <numFmt numFmtId="166" formatCode="dd\.mm\.yyyy;@"/>
    <numFmt numFmtId="167" formatCode="yyyy\-mm\-dd;@"/>
    <numFmt numFmtId="168" formatCode="0;[Red]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2"/>
      <color theme="1"/>
      <name val="Cambria"/>
      <family val="2"/>
    </font>
    <font>
      <b/>
      <sz val="12"/>
      <color theme="1"/>
      <name val="Arial Black"/>
      <family val="2"/>
    </font>
    <font>
      <sz val="10"/>
      <color theme="1"/>
      <name val="Book Antiqua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7.5"/>
      <color theme="10"/>
      <name val="Calibri"/>
      <family val="2"/>
    </font>
    <font>
      <u/>
      <sz val="10"/>
      <color theme="10"/>
      <name val="Calibri"/>
      <family val="2"/>
    </font>
    <font>
      <b/>
      <sz val="8"/>
      <color rgb="FF008000"/>
      <name val="Arial"/>
      <family val="2"/>
    </font>
    <font>
      <b/>
      <sz val="11"/>
      <color rgb="FF008000"/>
      <name val="Arial"/>
      <family val="2"/>
    </font>
    <font>
      <sz val="11"/>
      <color theme="1"/>
      <name val="Book Antiqua"/>
      <family val="1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rgb="FF424242"/>
      <name val="Cambria"/>
      <family val="1"/>
      <scheme val="major"/>
    </font>
    <font>
      <b/>
      <u/>
      <sz val="11"/>
      <color theme="10"/>
      <name val="Cambria"/>
      <family val="1"/>
      <scheme val="major"/>
    </font>
    <font>
      <b/>
      <sz val="11"/>
      <color rgb="FFFF0000"/>
      <name val="Cambria"/>
      <family val="1"/>
      <scheme val="major"/>
    </font>
    <font>
      <sz val="11"/>
      <color rgb="FF9C0006"/>
      <name val="Cambria"/>
      <family val="1"/>
      <scheme val="major"/>
    </font>
    <font>
      <sz val="11"/>
      <color rgb="FFFF0000"/>
      <name val="Cambria"/>
      <family val="1"/>
      <scheme val="major"/>
    </font>
    <font>
      <sz val="11"/>
      <name val="Cambria"/>
      <family val="1"/>
      <scheme val="major"/>
    </font>
    <font>
      <u/>
      <sz val="11"/>
      <color theme="10"/>
      <name val="Cambria"/>
      <family val="1"/>
      <scheme val="major"/>
    </font>
    <font>
      <sz val="11"/>
      <color rgb="FF1F1F1F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u/>
      <sz val="11"/>
      <color theme="10"/>
      <name val="Calibri"/>
      <family val="2"/>
    </font>
    <font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49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/>
    </xf>
    <xf numFmtId="0" fontId="9" fillId="0" borderId="4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8" fillId="0" borderId="7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68" fontId="12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14" fontId="11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center" vertical="top"/>
    </xf>
    <xf numFmtId="1" fontId="11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" fontId="0" fillId="0" borderId="1" xfId="0" quotePrefix="1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6" fillId="0" borderId="5" xfId="0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3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5" fillId="0" borderId="1" xfId="7" applyFont="1" applyBorder="1" applyAlignment="1" applyProtection="1">
      <alignment horizontal="center" vertical="center"/>
    </xf>
    <xf numFmtId="0" fontId="15" fillId="0" borderId="1" xfId="7" applyFont="1" applyBorder="1" applyAlignment="1" applyProtection="1">
      <alignment horizontal="left"/>
    </xf>
    <xf numFmtId="0" fontId="15" fillId="0" borderId="1" xfId="7" applyFont="1" applyBorder="1" applyAlignment="1" applyProtection="1">
      <alignment horizontal="center"/>
    </xf>
    <xf numFmtId="0" fontId="13" fillId="0" borderId="1" xfId="0" applyFont="1" applyBorder="1" applyAlignment="1">
      <alignment horizontal="center"/>
    </xf>
    <xf numFmtId="0" fontId="15" fillId="0" borderId="1" xfId="7" applyFont="1" applyBorder="1" applyAlignment="1" applyProtection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wrapText="1"/>
    </xf>
    <xf numFmtId="49" fontId="0" fillId="0" borderId="1" xfId="0" quotePrefix="1" applyNumberFormat="1" applyBorder="1" applyAlignment="1">
      <alignment horizontal="center" wrapText="1"/>
    </xf>
    <xf numFmtId="49" fontId="0" fillId="0" borderId="1" xfId="0" quotePrefix="1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8" fillId="0" borderId="1" xfId="6" applyFont="1" applyBorder="1" applyAlignment="1">
      <alignment horizontal="center" vertical="top" wrapText="1"/>
    </xf>
    <xf numFmtId="2" fontId="17" fillId="0" borderId="0" xfId="0" applyNumberFormat="1" applyFont="1"/>
    <xf numFmtId="49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top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1" fontId="20" fillId="3" borderId="1" xfId="0" applyNumberFormat="1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20" fillId="3" borderId="1" xfId="2" quotePrefix="1" applyNumberFormat="1" applyFont="1" applyFill="1" applyBorder="1" applyAlignment="1">
      <alignment horizontal="center" vertical="center"/>
    </xf>
    <xf numFmtId="49" fontId="20" fillId="3" borderId="1" xfId="2" quotePrefix="1" applyNumberFormat="1" applyFont="1" applyFill="1" applyBorder="1" applyAlignment="1">
      <alignment horizontal="center" vertical="center"/>
    </xf>
    <xf numFmtId="49" fontId="20" fillId="3" borderId="1" xfId="2" applyNumberFormat="1" applyFont="1" applyFill="1" applyBorder="1" applyAlignment="1">
      <alignment horizontal="center" vertical="center"/>
    </xf>
    <xf numFmtId="165" fontId="20" fillId="0" borderId="5" xfId="0" applyNumberFormat="1" applyFont="1" applyBorder="1" applyAlignment="1">
      <alignment horizontal="center" vertical="center"/>
    </xf>
    <xf numFmtId="1" fontId="20" fillId="3" borderId="1" xfId="0" quotePrefix="1" applyNumberFormat="1" applyFont="1" applyFill="1" applyBorder="1" applyAlignment="1">
      <alignment horizontal="center" vertical="center"/>
    </xf>
    <xf numFmtId="49" fontId="20" fillId="3" borderId="1" xfId="0" quotePrefix="1" applyNumberFormat="1" applyFont="1" applyFill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/>
    <xf numFmtId="0" fontId="20" fillId="0" borderId="1" xfId="0" applyFont="1" applyBorder="1"/>
    <xf numFmtId="0" fontId="20" fillId="3" borderId="1" xfId="0" applyNumberFormat="1" applyFont="1" applyFill="1" applyBorder="1" applyAlignment="1">
      <alignment horizontal="center" vertical="center"/>
    </xf>
    <xf numFmtId="167" fontId="20" fillId="0" borderId="5" xfId="0" quotePrefix="1" applyNumberFormat="1" applyFont="1" applyBorder="1" applyAlignment="1">
      <alignment horizontal="center" vertical="center"/>
    </xf>
    <xf numFmtId="1" fontId="20" fillId="3" borderId="1" xfId="3" quotePrefix="1" applyNumberFormat="1" applyFont="1" applyFill="1" applyBorder="1" applyAlignment="1">
      <alignment horizontal="center" vertical="center"/>
    </xf>
    <xf numFmtId="1" fontId="20" fillId="3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12" fontId="20" fillId="0" borderId="1" xfId="0" applyNumberFormat="1" applyFont="1" applyBorder="1" applyAlignment="1">
      <alignment vertical="center"/>
    </xf>
    <xf numFmtId="12" fontId="20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2" fontId="20" fillId="0" borderId="0" xfId="0" applyNumberFormat="1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14" fontId="20" fillId="3" borderId="1" xfId="0" applyNumberFormat="1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 vertical="center" wrapText="1"/>
    </xf>
    <xf numFmtId="49" fontId="24" fillId="3" borderId="1" xfId="7" applyNumberFormat="1" applyFont="1" applyFill="1" applyBorder="1" applyAlignment="1" applyProtection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49" fontId="27" fillId="3" borderId="1" xfId="0" quotePrefix="1" applyNumberFormat="1" applyFont="1" applyFill="1" applyBorder="1" applyAlignment="1">
      <alignment horizontal="center" vertical="center"/>
    </xf>
    <xf numFmtId="49" fontId="27" fillId="3" borderId="1" xfId="0" applyNumberFormat="1" applyFont="1" applyFill="1" applyBorder="1" applyAlignment="1">
      <alignment horizontal="center" vertical="center"/>
    </xf>
    <xf numFmtId="49" fontId="26" fillId="3" borderId="1" xfId="1" applyNumberFormat="1" applyFont="1" applyFill="1" applyBorder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 wrapText="1"/>
    </xf>
    <xf numFmtId="49" fontId="26" fillId="3" borderId="1" xfId="1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/>
    </xf>
    <xf numFmtId="0" fontId="20" fillId="3" borderId="1" xfId="0" quotePrefix="1" applyFont="1" applyFill="1" applyBorder="1" applyAlignment="1">
      <alignment horizontal="center" vertical="center" wrapText="1"/>
    </xf>
    <xf numFmtId="49" fontId="26" fillId="3" borderId="1" xfId="1" quotePrefix="1" applyNumberFormat="1" applyFont="1" applyFill="1" applyBorder="1" applyAlignment="1">
      <alignment horizontal="center" vertical="center"/>
    </xf>
    <xf numFmtId="14" fontId="20" fillId="3" borderId="1" xfId="0" applyNumberFormat="1" applyFont="1" applyFill="1" applyBorder="1" applyAlignment="1">
      <alignment horizontal="center" vertical="center" wrapText="1"/>
    </xf>
    <xf numFmtId="166" fontId="20" fillId="3" borderId="1" xfId="0" applyNumberFormat="1" applyFont="1" applyFill="1" applyBorder="1" applyAlignment="1">
      <alignment horizontal="center" vertical="center"/>
    </xf>
    <xf numFmtId="49" fontId="20" fillId="5" borderId="1" xfId="0" quotePrefix="1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67" fontId="20" fillId="3" borderId="1" xfId="0" quotePrefix="1" applyNumberFormat="1" applyFont="1" applyFill="1" applyBorder="1" applyAlignment="1">
      <alignment horizontal="center" vertical="center"/>
    </xf>
    <xf numFmtId="0" fontId="24" fillId="0" borderId="0" xfId="7" applyFont="1" applyAlignment="1" applyProtection="1">
      <alignment horizontal="center" vertical="center"/>
    </xf>
    <xf numFmtId="49" fontId="24" fillId="0" borderId="1" xfId="7" applyNumberFormat="1" applyFont="1" applyBorder="1" applyAlignment="1" applyProtection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/>
    </xf>
    <xf numFmtId="49" fontId="24" fillId="0" borderId="10" xfId="7" applyNumberFormat="1" applyFont="1" applyBorder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4" fillId="0" borderId="1" xfId="7" applyFont="1" applyBorder="1" applyAlignment="1" applyProtection="1">
      <alignment vertical="center"/>
    </xf>
    <xf numFmtId="0" fontId="19" fillId="0" borderId="1" xfId="0" applyFont="1" applyFill="1" applyBorder="1" applyAlignment="1">
      <alignment horizontal="center" vertical="center"/>
    </xf>
    <xf numFmtId="0" fontId="29" fillId="0" borderId="1" xfId="7" applyFont="1" applyBorder="1" applyAlignment="1" applyProtection="1">
      <alignment vertical="center"/>
    </xf>
    <xf numFmtId="0" fontId="20" fillId="3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4" fillId="0" borderId="1" xfId="7" applyFont="1" applyBorder="1" applyAlignment="1" applyProtection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 wrapText="1"/>
    </xf>
    <xf numFmtId="0" fontId="24" fillId="0" borderId="12" xfId="7" applyFont="1" applyFill="1" applyBorder="1" applyAlignment="1" applyProtection="1">
      <alignment horizontal="left" vertical="center"/>
    </xf>
    <xf numFmtId="0" fontId="29" fillId="0" borderId="0" xfId="7" applyFont="1" applyAlignment="1" applyProtection="1">
      <alignment horizontal="center" vertical="center"/>
    </xf>
    <xf numFmtId="0" fontId="29" fillId="0" borderId="1" xfId="7" applyFont="1" applyBorder="1" applyAlignment="1" applyProtection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24" fillId="0" borderId="1" xfId="7" applyFont="1" applyBorder="1" applyAlignment="1" applyProtection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24" fillId="0" borderId="0" xfId="7" applyFont="1" applyAlignment="1" applyProtection="1">
      <alignment vertical="center"/>
    </xf>
    <xf numFmtId="0" fontId="32" fillId="0" borderId="1" xfId="7" applyFont="1" applyBorder="1" applyAlignment="1" applyProtection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2" fontId="20" fillId="0" borderId="1" xfId="0" applyNumberFormat="1" applyFont="1" applyBorder="1" applyAlignment="1">
      <alignment horizontal="center" vertical="center" wrapText="1"/>
    </xf>
    <xf numFmtId="49" fontId="20" fillId="3" borderId="6" xfId="0" applyNumberFormat="1" applyFont="1" applyFill="1" applyBorder="1" applyAlignment="1">
      <alignment horizontal="center" vertical="center"/>
    </xf>
    <xf numFmtId="0" fontId="24" fillId="0" borderId="1" xfId="7" applyFont="1" applyBorder="1" applyAlignment="1" applyProtection="1">
      <alignment vertical="center"/>
    </xf>
    <xf numFmtId="0" fontId="19" fillId="0" borderId="1" xfId="0" applyFont="1" applyBorder="1" applyAlignment="1"/>
    <xf numFmtId="0" fontId="19" fillId="0" borderId="5" xfId="0" applyFont="1" applyBorder="1" applyAlignment="1">
      <alignment horizontal="center" vertical="center"/>
    </xf>
    <xf numFmtId="0" fontId="20" fillId="0" borderId="7" xfId="0" applyFont="1" applyBorder="1"/>
    <xf numFmtId="0" fontId="20" fillId="0" borderId="6" xfId="0" applyFont="1" applyBorder="1"/>
    <xf numFmtId="0" fontId="19" fillId="0" borderId="5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24" fillId="0" borderId="5" xfId="7" applyFont="1" applyBorder="1" applyAlignment="1" applyProtection="1">
      <alignment vertical="center"/>
    </xf>
    <xf numFmtId="0" fontId="24" fillId="0" borderId="7" xfId="7" applyFont="1" applyBorder="1" applyAlignment="1" applyProtection="1">
      <alignment vertical="center"/>
    </xf>
    <xf numFmtId="0" fontId="24" fillId="0" borderId="6" xfId="7" applyFont="1" applyBorder="1" applyAlignment="1" applyProtection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8">
    <cellStyle name="Bad" xfId="1" builtinId="27"/>
    <cellStyle name="Hyperlink" xfId="7" builtinId="8"/>
    <cellStyle name="Normal" xfId="0" builtinId="0"/>
    <cellStyle name="Normal 2" xfId="2"/>
    <cellStyle name="Normal 2 2" xfId="3"/>
    <cellStyle name="Normal 3" xfId="4"/>
    <cellStyle name="Normal 3 2" xfId="5"/>
    <cellStyle name="Normal 4" xfId="6"/>
  </cellStyles>
  <dxfs count="23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ary%20Slip\1%20GCRI%20S.N.%20ABAD%20-%20OCTOBER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ary%20Slip\3%20GCRI%20CLINICAL%20ABAD%20-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ary%20Slip\2%20GCRI%20NONCLINICAL%20ABAD%20-%20OCTOBER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center%20date%20upto%20June%202022\GCRI%20AHMEDABAD\GCRI%20BILL\APRIL%202023\GCRI%20APRIL%202023%20SALARY%20SHEET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JAY/Downloads/Telegram%20Desktop/GCRI%20NEW%20EMPLOYEE%20EPF%20&amp;%20ESIC%20NO.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ILL CLINI"/>
      <sheetName val="SN ATTEND"/>
      <sheetName val="SN Salary Sheet"/>
      <sheetName val="WAGES CLI-ABAD"/>
      <sheetName val="PAY SLIP-clinical"/>
      <sheetName val="NEW Rate Calculation"/>
    </sheetNames>
    <sheetDataSet>
      <sheetData sheetId="0" refreshError="1"/>
      <sheetData sheetId="1" refreshError="1"/>
      <sheetData sheetId="2" refreshError="1">
        <row r="4">
          <cell r="A4" t="str">
            <v>VE1104</v>
          </cell>
          <cell r="B4">
            <v>101545045190</v>
          </cell>
          <cell r="C4" t="str">
            <v>3713236752</v>
          </cell>
          <cell r="D4">
            <v>28039</v>
          </cell>
        </row>
        <row r="5">
          <cell r="A5" t="str">
            <v>VE1227</v>
          </cell>
          <cell r="B5">
            <v>101568411941</v>
          </cell>
          <cell r="C5" t="str">
            <v>3713338877</v>
          </cell>
          <cell r="D5">
            <v>28151</v>
          </cell>
        </row>
        <row r="6">
          <cell r="A6" t="str">
            <v>VE1297</v>
          </cell>
          <cell r="B6">
            <v>101491105237</v>
          </cell>
          <cell r="C6" t="str">
            <v>3713082757</v>
          </cell>
          <cell r="D6">
            <v>28041</v>
          </cell>
        </row>
        <row r="7">
          <cell r="A7" t="str">
            <v>VE1144</v>
          </cell>
          <cell r="B7">
            <v>101640966510</v>
          </cell>
          <cell r="C7" t="str">
            <v>3713236832</v>
          </cell>
          <cell r="D7">
            <v>28153</v>
          </cell>
        </row>
        <row r="8">
          <cell r="A8" t="str">
            <v>VE1299</v>
          </cell>
          <cell r="B8">
            <v>101413352361</v>
          </cell>
          <cell r="C8" t="str">
            <v>3712893461</v>
          </cell>
          <cell r="D8">
            <v>28110</v>
          </cell>
        </row>
        <row r="9">
          <cell r="A9" t="str">
            <v>VE1101</v>
          </cell>
          <cell r="B9">
            <v>101545405085</v>
          </cell>
          <cell r="C9" t="str">
            <v>3713278257</v>
          </cell>
          <cell r="D9">
            <v>28054</v>
          </cell>
        </row>
        <row r="10">
          <cell r="A10" t="str">
            <v>VE1126</v>
          </cell>
          <cell r="B10">
            <v>101545045126</v>
          </cell>
          <cell r="C10" t="str">
            <v>3713236449</v>
          </cell>
          <cell r="D10">
            <v>28112</v>
          </cell>
        </row>
        <row r="11">
          <cell r="A11" t="str">
            <v>VE1120</v>
          </cell>
          <cell r="B11">
            <v>101370080028</v>
          </cell>
          <cell r="C11" t="str">
            <v>3712661339</v>
          </cell>
          <cell r="D11">
            <v>28176</v>
          </cell>
        </row>
        <row r="12">
          <cell r="A12" t="str">
            <v>VE1237</v>
          </cell>
          <cell r="B12">
            <v>101317331501</v>
          </cell>
          <cell r="C12" t="str">
            <v>3712893495</v>
          </cell>
          <cell r="D12">
            <v>28175</v>
          </cell>
        </row>
        <row r="13">
          <cell r="A13" t="str">
            <v>VE1301</v>
          </cell>
          <cell r="B13">
            <v>101208804914</v>
          </cell>
          <cell r="C13" t="str">
            <v>3712212158</v>
          </cell>
          <cell r="D13">
            <v>28142</v>
          </cell>
        </row>
        <row r="14">
          <cell r="A14" t="str">
            <v>VE1091</v>
          </cell>
          <cell r="B14">
            <v>101544533509</v>
          </cell>
          <cell r="C14" t="str">
            <v>3713278125</v>
          </cell>
          <cell r="D14">
            <v>28178</v>
          </cell>
        </row>
        <row r="15">
          <cell r="A15" t="str">
            <v>VE1273</v>
          </cell>
          <cell r="B15">
            <v>101258607119</v>
          </cell>
          <cell r="C15" t="str">
            <v>3713236492</v>
          </cell>
          <cell r="D15">
            <v>28107</v>
          </cell>
        </row>
        <row r="16">
          <cell r="A16" t="str">
            <v>VE1119</v>
          </cell>
          <cell r="B16">
            <v>101503402019</v>
          </cell>
          <cell r="C16" t="str">
            <v>3713120051</v>
          </cell>
          <cell r="D16">
            <v>28108</v>
          </cell>
        </row>
        <row r="17">
          <cell r="A17" t="str">
            <v>VE1090</v>
          </cell>
          <cell r="B17">
            <v>101370154252</v>
          </cell>
          <cell r="C17" t="str">
            <v>3712661336</v>
          </cell>
          <cell r="D17">
            <v>28109</v>
          </cell>
        </row>
        <row r="18">
          <cell r="A18" t="str">
            <v>VE1178</v>
          </cell>
          <cell r="B18">
            <v>101491105244</v>
          </cell>
          <cell r="C18" t="str">
            <v>3713082769</v>
          </cell>
          <cell r="D18">
            <v>28179</v>
          </cell>
        </row>
        <row r="19">
          <cell r="A19" t="str">
            <v>VE1097</v>
          </cell>
          <cell r="B19">
            <v>101296955207</v>
          </cell>
          <cell r="C19" t="str">
            <v>3712454766</v>
          </cell>
          <cell r="D19">
            <v>28145</v>
          </cell>
        </row>
        <row r="20">
          <cell r="A20" t="str">
            <v>VE1216</v>
          </cell>
          <cell r="B20">
            <v>101545405059</v>
          </cell>
          <cell r="C20" t="str">
            <v>3713236443</v>
          </cell>
          <cell r="D20">
            <v>28146</v>
          </cell>
        </row>
        <row r="21">
          <cell r="A21" t="str">
            <v>VE1201</v>
          </cell>
          <cell r="B21">
            <v>101545045334</v>
          </cell>
          <cell r="C21" t="str">
            <v>3713278211</v>
          </cell>
          <cell r="D21">
            <v>28125</v>
          </cell>
        </row>
        <row r="22">
          <cell r="A22" t="str">
            <v>VE1228</v>
          </cell>
          <cell r="B22">
            <v>101282529829</v>
          </cell>
          <cell r="C22" t="str">
            <v>3712407495</v>
          </cell>
          <cell r="D22">
            <v>27920</v>
          </cell>
        </row>
        <row r="23">
          <cell r="A23" t="str">
            <v>VE1121</v>
          </cell>
          <cell r="B23">
            <v>101457996853</v>
          </cell>
          <cell r="C23" t="str">
            <v>3713073319</v>
          </cell>
          <cell r="D23">
            <v>28124</v>
          </cell>
        </row>
        <row r="24">
          <cell r="A24" t="str">
            <v>VE1278</v>
          </cell>
          <cell r="B24">
            <v>101415495014</v>
          </cell>
          <cell r="C24" t="str">
            <v>3712893486</v>
          </cell>
          <cell r="D24">
            <v>28100</v>
          </cell>
        </row>
        <row r="25">
          <cell r="A25" t="str">
            <v>VE1306</v>
          </cell>
          <cell r="B25">
            <v>101583533975</v>
          </cell>
          <cell r="C25" t="str">
            <v>3713381185</v>
          </cell>
          <cell r="D25">
            <v>28129</v>
          </cell>
        </row>
        <row r="26">
          <cell r="A26" t="str">
            <v>VE1280</v>
          </cell>
          <cell r="B26">
            <v>101586820533</v>
          </cell>
          <cell r="C26" t="str">
            <v>3713405214</v>
          </cell>
          <cell r="D26">
            <v>28130</v>
          </cell>
        </row>
        <row r="27">
          <cell r="A27" t="str">
            <v>VE1238</v>
          </cell>
          <cell r="B27">
            <v>101406845895</v>
          </cell>
          <cell r="C27" t="str">
            <v>3714194849</v>
          </cell>
          <cell r="D27">
            <v>28127</v>
          </cell>
        </row>
        <row r="28">
          <cell r="A28" t="str">
            <v>VE1254</v>
          </cell>
          <cell r="B28">
            <v>101596227768</v>
          </cell>
          <cell r="C28" t="str">
            <v>3713454255</v>
          </cell>
          <cell r="D28">
            <v>28128</v>
          </cell>
        </row>
        <row r="29">
          <cell r="A29" t="str">
            <v>VE1137</v>
          </cell>
          <cell r="B29">
            <v>101368969073</v>
          </cell>
          <cell r="C29" t="str">
            <v>3713073309</v>
          </cell>
          <cell r="D29">
            <v>28166</v>
          </cell>
        </row>
        <row r="30">
          <cell r="A30" t="str">
            <v>VE1191</v>
          </cell>
          <cell r="B30">
            <v>101402181438</v>
          </cell>
          <cell r="C30" t="str">
            <v>3713082778</v>
          </cell>
          <cell r="D30">
            <v>28143</v>
          </cell>
        </row>
        <row r="31">
          <cell r="A31" t="str">
            <v>VE1307</v>
          </cell>
          <cell r="B31">
            <v>101650923389</v>
          </cell>
          <cell r="C31" t="str">
            <v>3713635179</v>
          </cell>
          <cell r="D31">
            <v>28101</v>
          </cell>
        </row>
        <row r="32">
          <cell r="A32" t="str">
            <v>VE1127</v>
          </cell>
          <cell r="B32">
            <v>101667735135</v>
          </cell>
          <cell r="C32" t="str">
            <v>3713747097</v>
          </cell>
          <cell r="D32">
            <v>28156</v>
          </cell>
        </row>
        <row r="33">
          <cell r="A33" t="str">
            <v>VE1128</v>
          </cell>
          <cell r="B33">
            <v>101680836899</v>
          </cell>
          <cell r="C33" t="str">
            <v>3713746898</v>
          </cell>
          <cell r="D33">
            <v>28118</v>
          </cell>
        </row>
        <row r="34">
          <cell r="A34" t="str">
            <v>VE1310</v>
          </cell>
          <cell r="B34">
            <v>100769892238</v>
          </cell>
          <cell r="C34" t="str">
            <v>3713773496</v>
          </cell>
          <cell r="D34">
            <v>28119</v>
          </cell>
        </row>
        <row r="35">
          <cell r="A35" t="str">
            <v>VE1277</v>
          </cell>
          <cell r="B35">
            <v>101698114672</v>
          </cell>
          <cell r="C35" t="str">
            <v>3713818634</v>
          </cell>
          <cell r="D35">
            <v>28121</v>
          </cell>
        </row>
        <row r="36">
          <cell r="A36" t="str">
            <v>VE1168</v>
          </cell>
          <cell r="B36">
            <v>101488864561</v>
          </cell>
          <cell r="C36" t="str">
            <v>3713888507</v>
          </cell>
          <cell r="D36">
            <v>28265</v>
          </cell>
        </row>
        <row r="37">
          <cell r="A37" t="str">
            <v>VE1089</v>
          </cell>
          <cell r="B37">
            <v>101616505397</v>
          </cell>
          <cell r="C37" t="str">
            <v>3713930222</v>
          </cell>
          <cell r="D37">
            <v>28155</v>
          </cell>
        </row>
        <row r="38">
          <cell r="A38" t="str">
            <v>VE1270</v>
          </cell>
          <cell r="B38">
            <v>101677771368</v>
          </cell>
          <cell r="C38" t="str">
            <v>3713930136</v>
          </cell>
          <cell r="D38">
            <v>28264</v>
          </cell>
        </row>
        <row r="39">
          <cell r="A39" t="str">
            <v>VE1242</v>
          </cell>
          <cell r="B39">
            <v>101437556441</v>
          </cell>
          <cell r="C39" t="str">
            <v>3713099985</v>
          </cell>
          <cell r="D39">
            <v>28266</v>
          </cell>
        </row>
        <row r="40">
          <cell r="A40" t="str">
            <v>VE1094</v>
          </cell>
          <cell r="B40">
            <v>101572778951</v>
          </cell>
          <cell r="C40" t="str">
            <v>3713970743</v>
          </cell>
          <cell r="D40">
            <v>28122</v>
          </cell>
        </row>
        <row r="41">
          <cell r="A41" t="str">
            <v>VE1136</v>
          </cell>
          <cell r="B41">
            <v>101315453950</v>
          </cell>
          <cell r="C41" t="str">
            <v>3714194858</v>
          </cell>
          <cell r="D41">
            <v>28017</v>
          </cell>
        </row>
        <row r="42">
          <cell r="A42" t="str">
            <v>VE1167</v>
          </cell>
          <cell r="B42">
            <v>101692509161</v>
          </cell>
          <cell r="C42" t="str">
            <v>3713803444</v>
          </cell>
          <cell r="D42">
            <v>28296</v>
          </cell>
        </row>
        <row r="43">
          <cell r="A43" t="str">
            <v>VE1092</v>
          </cell>
          <cell r="B43">
            <v>101753281136</v>
          </cell>
          <cell r="C43" t="str">
            <v>3714049321</v>
          </cell>
          <cell r="D43">
            <v>28237</v>
          </cell>
        </row>
        <row r="44">
          <cell r="A44" t="str">
            <v>VE1264</v>
          </cell>
          <cell r="B44">
            <v>101342160627</v>
          </cell>
          <cell r="C44" t="str">
            <v>3713501254</v>
          </cell>
          <cell r="D44">
            <v>28294</v>
          </cell>
        </row>
        <row r="45">
          <cell r="A45" t="str">
            <v>VE1240</v>
          </cell>
          <cell r="B45">
            <v>101549900861</v>
          </cell>
          <cell r="C45" t="str">
            <v>3713667308</v>
          </cell>
          <cell r="D45">
            <v>28216</v>
          </cell>
        </row>
        <row r="46">
          <cell r="A46" t="str">
            <v>VE1151</v>
          </cell>
          <cell r="B46">
            <v>101765542297</v>
          </cell>
          <cell r="C46" t="str">
            <v>3714129384</v>
          </cell>
          <cell r="D46">
            <v>28021</v>
          </cell>
        </row>
        <row r="47">
          <cell r="A47" t="str">
            <v>VE1147</v>
          </cell>
          <cell r="B47">
            <v>101616505384</v>
          </cell>
          <cell r="C47" t="str">
            <v>3714194975</v>
          </cell>
          <cell r="D47">
            <v>28298</v>
          </cell>
        </row>
        <row r="48">
          <cell r="A48" t="str">
            <v>VE1194</v>
          </cell>
          <cell r="B48">
            <v>101688174679</v>
          </cell>
          <cell r="C48" t="str">
            <v>3714147132</v>
          </cell>
          <cell r="D48">
            <v>28299</v>
          </cell>
        </row>
        <row r="49">
          <cell r="A49" t="str">
            <v>VE1188</v>
          </cell>
          <cell r="B49">
            <v>101784791972</v>
          </cell>
          <cell r="C49" t="str">
            <v>3714146690</v>
          </cell>
          <cell r="D49">
            <v>28297</v>
          </cell>
        </row>
        <row r="50">
          <cell r="A50" t="str">
            <v>VE1131</v>
          </cell>
          <cell r="B50">
            <v>101784791940</v>
          </cell>
          <cell r="C50" t="str">
            <v>3714146600</v>
          </cell>
          <cell r="D50">
            <v>28300</v>
          </cell>
        </row>
        <row r="51">
          <cell r="A51" t="str">
            <v>VE1095</v>
          </cell>
          <cell r="B51">
            <v>101585604680</v>
          </cell>
          <cell r="C51" t="str">
            <v>3713403959</v>
          </cell>
          <cell r="D51">
            <v>28022</v>
          </cell>
        </row>
        <row r="52">
          <cell r="A52" t="str">
            <v>VE1138</v>
          </cell>
          <cell r="B52">
            <v>101779406306</v>
          </cell>
          <cell r="C52" t="str">
            <v>3714194793</v>
          </cell>
          <cell r="D52">
            <v>28046</v>
          </cell>
        </row>
        <row r="53">
          <cell r="A53" t="str">
            <v>VE1315</v>
          </cell>
          <cell r="B53">
            <v>101379459290</v>
          </cell>
          <cell r="C53" t="str">
            <v>3713016545</v>
          </cell>
          <cell r="D53">
            <v>18877</v>
          </cell>
        </row>
        <row r="54">
          <cell r="A54" t="str">
            <v>VE1140</v>
          </cell>
          <cell r="B54">
            <v>101017309022</v>
          </cell>
          <cell r="C54" t="str">
            <v>3713015995</v>
          </cell>
          <cell r="D54">
            <v>28226</v>
          </cell>
        </row>
        <row r="55">
          <cell r="A55" t="str">
            <v>VE1193</v>
          </cell>
          <cell r="B55">
            <v>101446952694</v>
          </cell>
          <cell r="C55" t="str">
            <v>3713315260</v>
          </cell>
          <cell r="D55">
            <v>28301</v>
          </cell>
        </row>
        <row r="56">
          <cell r="A56" t="str">
            <v>VE1316</v>
          </cell>
          <cell r="B56">
            <v>101637889311</v>
          </cell>
          <cell r="C56" t="str">
            <v>3713665681</v>
          </cell>
          <cell r="D56">
            <v>28241</v>
          </cell>
        </row>
        <row r="57">
          <cell r="A57" t="str">
            <v>VE1265</v>
          </cell>
          <cell r="B57">
            <v>101698128303</v>
          </cell>
          <cell r="C57" t="str">
            <v>3714194838</v>
          </cell>
          <cell r="D57">
            <v>28047</v>
          </cell>
        </row>
        <row r="58">
          <cell r="A58" t="str">
            <v>VE1318</v>
          </cell>
          <cell r="B58">
            <v>101728998521</v>
          </cell>
          <cell r="C58" t="str">
            <v>3713930165</v>
          </cell>
          <cell r="D58">
            <v>28048</v>
          </cell>
        </row>
        <row r="59">
          <cell r="A59" t="str">
            <v>VE1241</v>
          </cell>
          <cell r="B59">
            <v>101803825839</v>
          </cell>
          <cell r="C59" t="str">
            <v>3714195039</v>
          </cell>
          <cell r="D59">
            <v>28236</v>
          </cell>
        </row>
        <row r="60">
          <cell r="A60" t="str">
            <v>VE1039</v>
          </cell>
          <cell r="B60">
            <v>101803825887</v>
          </cell>
          <cell r="C60" t="str">
            <v>3714195054</v>
          </cell>
          <cell r="D60">
            <v>28244</v>
          </cell>
        </row>
        <row r="61">
          <cell r="A61" t="str">
            <v>VE1320</v>
          </cell>
          <cell r="B61">
            <v>101814615805</v>
          </cell>
          <cell r="C61" t="str">
            <v>3714264320</v>
          </cell>
          <cell r="D61">
            <v>28230</v>
          </cell>
        </row>
        <row r="62">
          <cell r="A62" t="str">
            <v>VE1142</v>
          </cell>
          <cell r="B62">
            <v>101803825856</v>
          </cell>
          <cell r="C62" t="str">
            <v>3714264214</v>
          </cell>
          <cell r="D62">
            <v>28023</v>
          </cell>
        </row>
        <row r="63">
          <cell r="A63" t="str">
            <v>VE1197</v>
          </cell>
          <cell r="B63">
            <v>101772958486</v>
          </cell>
          <cell r="C63" t="str">
            <v>3714129390</v>
          </cell>
          <cell r="D63">
            <v>28231</v>
          </cell>
        </row>
        <row r="64">
          <cell r="A64" t="str">
            <v>VE1060</v>
          </cell>
          <cell r="B64">
            <v>101581654576</v>
          </cell>
          <cell r="C64" t="str">
            <v>3714264369</v>
          </cell>
          <cell r="D64">
            <v>28087</v>
          </cell>
        </row>
        <row r="65">
          <cell r="A65" t="str">
            <v>VE1054</v>
          </cell>
          <cell r="B65">
            <v>101581654548</v>
          </cell>
          <cell r="C65" t="str">
            <v>3713380195</v>
          </cell>
          <cell r="D65">
            <v>28140</v>
          </cell>
        </row>
        <row r="66">
          <cell r="A66" t="str">
            <v>VE1271</v>
          </cell>
          <cell r="B66">
            <v>101810408803</v>
          </cell>
          <cell r="C66" t="str">
            <v>3714248313</v>
          </cell>
          <cell r="D66">
            <v>28160</v>
          </cell>
        </row>
        <row r="67">
          <cell r="A67" t="str">
            <v>VE1139</v>
          </cell>
          <cell r="B67">
            <v>101814618428</v>
          </cell>
          <cell r="C67" t="str">
            <v>3714264490</v>
          </cell>
          <cell r="D67">
            <v>28104</v>
          </cell>
        </row>
        <row r="68">
          <cell r="A68" t="str">
            <v>VE1099</v>
          </cell>
          <cell r="B68">
            <v>101568139347</v>
          </cell>
          <cell r="C68" t="str">
            <v>3714307518</v>
          </cell>
          <cell r="D68">
            <v>28103</v>
          </cell>
        </row>
        <row r="69">
          <cell r="A69" t="str">
            <v>VE1158</v>
          </cell>
          <cell r="B69">
            <v>101824709793</v>
          </cell>
          <cell r="C69" t="str">
            <v>3714307501</v>
          </cell>
          <cell r="D69">
            <v>28282</v>
          </cell>
        </row>
        <row r="70">
          <cell r="A70" t="str">
            <v>VE1208</v>
          </cell>
          <cell r="B70">
            <v>101545045254</v>
          </cell>
          <cell r="C70" t="str">
            <v>3713236793</v>
          </cell>
          <cell r="D70">
            <v>28024</v>
          </cell>
        </row>
        <row r="71">
          <cell r="A71" t="str">
            <v>VE1190</v>
          </cell>
          <cell r="B71">
            <v>101853094111</v>
          </cell>
          <cell r="C71" t="str">
            <v>3714392081</v>
          </cell>
          <cell r="D71">
            <v>28245</v>
          </cell>
        </row>
        <row r="72">
          <cell r="A72" t="str">
            <v>VE1260</v>
          </cell>
          <cell r="B72">
            <v>101672860001</v>
          </cell>
          <cell r="C72" t="str">
            <v>3714392051</v>
          </cell>
          <cell r="D72">
            <v>28050</v>
          </cell>
        </row>
        <row r="73">
          <cell r="A73" t="str">
            <v>VE1102</v>
          </cell>
          <cell r="B73">
            <v>101843640120</v>
          </cell>
          <cell r="C73" t="str">
            <v>3714391716</v>
          </cell>
          <cell r="D73">
            <v>28025</v>
          </cell>
        </row>
        <row r="74">
          <cell r="A74" t="str">
            <v>VE1157</v>
          </cell>
          <cell r="B74">
            <v>101544641172</v>
          </cell>
          <cell r="C74" t="str">
            <v>3714391916</v>
          </cell>
          <cell r="D74">
            <v>28242</v>
          </cell>
        </row>
        <row r="75">
          <cell r="A75" t="str">
            <v>VE1235</v>
          </cell>
          <cell r="B75">
            <v>101395592979</v>
          </cell>
          <cell r="C75" t="str">
            <v>3714392043</v>
          </cell>
          <cell r="D75">
            <v>28026</v>
          </cell>
        </row>
        <row r="76">
          <cell r="A76" t="str">
            <v>VE1229</v>
          </cell>
          <cell r="B76">
            <v>101809249340</v>
          </cell>
          <cell r="C76" t="str">
            <v>3714386276</v>
          </cell>
          <cell r="D76">
            <v>28247</v>
          </cell>
        </row>
        <row r="77">
          <cell r="A77" t="str">
            <v>VE1267</v>
          </cell>
          <cell r="B77">
            <v>101652778220</v>
          </cell>
          <cell r="C77" t="str">
            <v>3714398576</v>
          </cell>
          <cell r="D77">
            <v>28027</v>
          </cell>
        </row>
        <row r="78">
          <cell r="A78" t="str">
            <v>VE1332</v>
          </cell>
          <cell r="B78">
            <v>101835226980</v>
          </cell>
          <cell r="C78" t="str">
            <v>3714391929</v>
          </cell>
          <cell r="D78">
            <v>28217</v>
          </cell>
        </row>
        <row r="79">
          <cell r="A79" t="str">
            <v>VE1255</v>
          </cell>
          <cell r="B79">
            <v>101825400643</v>
          </cell>
          <cell r="C79" t="str">
            <v>3714392032</v>
          </cell>
          <cell r="D79">
            <v>28305</v>
          </cell>
        </row>
        <row r="80">
          <cell r="A80" t="str">
            <v>VE1336</v>
          </cell>
          <cell r="B80">
            <v>101685015690</v>
          </cell>
          <cell r="C80" t="str">
            <v>3714391987</v>
          </cell>
          <cell r="D80">
            <v>28306</v>
          </cell>
        </row>
        <row r="81">
          <cell r="A81" t="str">
            <v>VE1253</v>
          </cell>
          <cell r="B81">
            <v>101843640067</v>
          </cell>
          <cell r="C81" t="str">
            <v>3714391993</v>
          </cell>
          <cell r="D81">
            <v>28220</v>
          </cell>
        </row>
        <row r="82">
          <cell r="A82" t="str">
            <v>VE1184</v>
          </cell>
          <cell r="B82">
            <v>101444511724</v>
          </cell>
          <cell r="C82" t="str">
            <v>3714391998</v>
          </cell>
          <cell r="D82">
            <v>28307</v>
          </cell>
        </row>
        <row r="83">
          <cell r="A83" t="str">
            <v>VE1262</v>
          </cell>
          <cell r="B83">
            <v>101844627411</v>
          </cell>
          <cell r="C83" t="str">
            <v>3714392085</v>
          </cell>
          <cell r="D83">
            <v>28016</v>
          </cell>
        </row>
        <row r="84">
          <cell r="A84" t="str">
            <v>VE1341</v>
          </cell>
          <cell r="B84">
            <v>101846165869</v>
          </cell>
          <cell r="C84" t="str">
            <v>3714391920</v>
          </cell>
          <cell r="D84">
            <v>28018</v>
          </cell>
        </row>
        <row r="85">
          <cell r="A85" t="str">
            <v>VE1059</v>
          </cell>
          <cell r="B85">
            <v>101829441851</v>
          </cell>
          <cell r="C85" t="str">
            <v>3714385008</v>
          </cell>
          <cell r="D85">
            <v>28308</v>
          </cell>
        </row>
        <row r="86">
          <cell r="A86" t="str">
            <v>VE1061</v>
          </cell>
          <cell r="B86">
            <v>101855818079</v>
          </cell>
          <cell r="C86" t="str">
            <v>3714430314</v>
          </cell>
          <cell r="D86">
            <v>28248</v>
          </cell>
        </row>
        <row r="87">
          <cell r="A87" t="str">
            <v>VE1062</v>
          </cell>
          <cell r="B87">
            <v>101250828110</v>
          </cell>
          <cell r="C87" t="str">
            <v>3713429825</v>
          </cell>
          <cell r="D87">
            <v>28019</v>
          </cell>
        </row>
        <row r="88">
          <cell r="A88" t="str">
            <v>VE1274</v>
          </cell>
          <cell r="B88">
            <v>101791440133</v>
          </cell>
          <cell r="C88" t="str">
            <v>3714430452</v>
          </cell>
          <cell r="D88">
            <v>28224</v>
          </cell>
        </row>
        <row r="89">
          <cell r="A89" t="str">
            <v>VE1180</v>
          </cell>
          <cell r="B89">
            <v>101210948254</v>
          </cell>
          <cell r="C89" t="str">
            <v>3712893481</v>
          </cell>
          <cell r="D89">
            <v>28111</v>
          </cell>
        </row>
        <row r="90">
          <cell r="A90" t="str">
            <v>VE1181</v>
          </cell>
          <cell r="B90">
            <v>101857701004</v>
          </cell>
          <cell r="C90" t="str">
            <v>3714438301</v>
          </cell>
          <cell r="D90">
            <v>28243</v>
          </cell>
        </row>
        <row r="91">
          <cell r="A91" t="str">
            <v>VE1068</v>
          </cell>
          <cell r="B91">
            <v>101855511818</v>
          </cell>
          <cell r="C91" t="str">
            <v>3714445455</v>
          </cell>
          <cell r="D91">
            <v>28250</v>
          </cell>
        </row>
        <row r="92">
          <cell r="A92" t="str">
            <v>VE1239</v>
          </cell>
          <cell r="B92">
            <v>101855510793</v>
          </cell>
          <cell r="C92" t="str">
            <v>3714445469</v>
          </cell>
          <cell r="D92">
            <v>28053</v>
          </cell>
        </row>
        <row r="93">
          <cell r="A93" t="str">
            <v>VE1182</v>
          </cell>
          <cell r="B93">
            <v>101859261098</v>
          </cell>
          <cell r="C93" t="str">
            <v>3714445480</v>
          </cell>
          <cell r="D93">
            <v>28029</v>
          </cell>
        </row>
        <row r="94">
          <cell r="A94" t="str">
            <v>VE1018</v>
          </cell>
          <cell r="B94">
            <v>101795609059</v>
          </cell>
          <cell r="C94" t="str">
            <v>3714445554</v>
          </cell>
          <cell r="D94">
            <v>28225</v>
          </cell>
        </row>
        <row r="95">
          <cell r="A95" t="str">
            <v>VE1111</v>
          </cell>
          <cell r="B95">
            <v>101604715930</v>
          </cell>
          <cell r="C95" t="str">
            <v>3714494306</v>
          </cell>
          <cell r="D95">
            <v>28252</v>
          </cell>
        </row>
        <row r="96">
          <cell r="A96" t="str">
            <v>VE1231</v>
          </cell>
          <cell r="B96">
            <v>101842523074</v>
          </cell>
          <cell r="C96" t="str">
            <v>3714493133</v>
          </cell>
          <cell r="D96">
            <v>27928</v>
          </cell>
        </row>
        <row r="97">
          <cell r="A97" t="str">
            <v>VE1189</v>
          </cell>
          <cell r="B97">
            <v>101544532881</v>
          </cell>
          <cell r="C97" t="str">
            <v>3714494282</v>
          </cell>
          <cell r="D97">
            <v>28058</v>
          </cell>
        </row>
        <row r="98">
          <cell r="A98" t="str">
            <v>VE1350</v>
          </cell>
          <cell r="B98">
            <v>101870675868</v>
          </cell>
          <cell r="C98" t="str">
            <v>3714491682</v>
          </cell>
          <cell r="D98">
            <v>28251</v>
          </cell>
        </row>
        <row r="99">
          <cell r="A99" t="str">
            <v>VE1057</v>
          </cell>
          <cell r="B99">
            <v>101795609248</v>
          </cell>
          <cell r="C99" t="str">
            <v>3714491760</v>
          </cell>
          <cell r="D99">
            <v>28032</v>
          </cell>
        </row>
        <row r="100">
          <cell r="A100" t="str">
            <v>VE1169</v>
          </cell>
          <cell r="B100">
            <v>101878158342</v>
          </cell>
          <cell r="C100" t="str">
            <v>3714520822</v>
          </cell>
          <cell r="D100">
            <v>28152</v>
          </cell>
        </row>
        <row r="101">
          <cell r="A101" t="str">
            <v>VE1103</v>
          </cell>
          <cell r="B101">
            <v>101770453290</v>
          </cell>
          <cell r="C101" t="str">
            <v>3714520842</v>
          </cell>
          <cell r="D101">
            <v>28083</v>
          </cell>
        </row>
        <row r="102">
          <cell r="A102" t="str">
            <v>VE1353</v>
          </cell>
          <cell r="B102">
            <v>101784054370</v>
          </cell>
          <cell r="C102" t="str">
            <v>3714520859</v>
          </cell>
          <cell r="D102">
            <v>28319</v>
          </cell>
        </row>
        <row r="103">
          <cell r="A103" t="str">
            <v>VE1064</v>
          </cell>
          <cell r="B103">
            <v>101866511600</v>
          </cell>
          <cell r="C103" t="str">
            <v>3714520873</v>
          </cell>
          <cell r="D103">
            <v>28215</v>
          </cell>
        </row>
        <row r="104">
          <cell r="A104" t="str">
            <v>VE1098</v>
          </cell>
          <cell r="B104">
            <v>101823376929</v>
          </cell>
          <cell r="C104" t="str">
            <v>3714520886</v>
          </cell>
          <cell r="D104">
            <v>28139</v>
          </cell>
        </row>
        <row r="105">
          <cell r="A105" t="str">
            <v>VE1146</v>
          </cell>
          <cell r="B105">
            <v>101878158361</v>
          </cell>
          <cell r="C105" t="str">
            <v>3714520898</v>
          </cell>
          <cell r="D105">
            <v>28085</v>
          </cell>
        </row>
        <row r="106">
          <cell r="A106" t="str">
            <v>VE1130</v>
          </cell>
          <cell r="B106">
            <v>101878158357</v>
          </cell>
          <cell r="C106" t="str">
            <v>3714520922</v>
          </cell>
          <cell r="D106">
            <v>28086</v>
          </cell>
        </row>
        <row r="107">
          <cell r="A107" t="str">
            <v>VE1263</v>
          </cell>
          <cell r="B107">
            <v>101864781624</v>
          </cell>
          <cell r="C107" t="str">
            <v>3714586469</v>
          </cell>
          <cell r="D107">
            <v>27939</v>
          </cell>
        </row>
        <row r="108">
          <cell r="A108" t="str">
            <v>VE1176</v>
          </cell>
          <cell r="B108">
            <v>101517196243</v>
          </cell>
          <cell r="C108" t="str">
            <v>3714589144</v>
          </cell>
          <cell r="D108">
            <v>27953</v>
          </cell>
        </row>
        <row r="109">
          <cell r="A109" t="str">
            <v>VE1072</v>
          </cell>
          <cell r="B109">
            <v>101545044278</v>
          </cell>
          <cell r="C109" t="str">
            <v>3714586479</v>
          </cell>
          <cell r="D109">
            <v>27940</v>
          </cell>
        </row>
        <row r="110">
          <cell r="A110" t="str">
            <v>VE1053</v>
          </cell>
          <cell r="B110">
            <v>101855554706</v>
          </cell>
          <cell r="C110" t="str">
            <v>3714586489</v>
          </cell>
          <cell r="D110">
            <v>27941</v>
          </cell>
        </row>
        <row r="111">
          <cell r="A111" t="str">
            <v>VE1071</v>
          </cell>
          <cell r="B111">
            <v>101329660872</v>
          </cell>
          <cell r="C111" t="str">
            <v>3713699806</v>
          </cell>
          <cell r="D111">
            <v>27954</v>
          </cell>
        </row>
        <row r="112">
          <cell r="A112" t="str">
            <v>VE1056</v>
          </cell>
          <cell r="B112">
            <v>101653248592</v>
          </cell>
          <cell r="C112" t="str">
            <v>3714583531</v>
          </cell>
          <cell r="D112">
            <v>27927</v>
          </cell>
        </row>
        <row r="113">
          <cell r="A113" t="str">
            <v>VE1069</v>
          </cell>
          <cell r="B113">
            <v>101872311352</v>
          </cell>
          <cell r="C113" t="str">
            <v>3714585591</v>
          </cell>
          <cell r="D113">
            <v>27933</v>
          </cell>
        </row>
        <row r="114">
          <cell r="A114" t="str">
            <v>VE1041</v>
          </cell>
          <cell r="B114">
            <v>101747376402</v>
          </cell>
          <cell r="C114" t="str">
            <v>3714586459</v>
          </cell>
          <cell r="D114">
            <v>27937</v>
          </cell>
        </row>
        <row r="115">
          <cell r="A115" t="str">
            <v>VE1351</v>
          </cell>
          <cell r="B115">
            <v>101689392730</v>
          </cell>
          <cell r="C115" t="str">
            <v>3713776024</v>
          </cell>
          <cell r="D115">
            <v>27931</v>
          </cell>
        </row>
        <row r="116">
          <cell r="A116" t="str">
            <v>VE1357</v>
          </cell>
          <cell r="B116">
            <v>101892061680</v>
          </cell>
          <cell r="C116" t="str">
            <v>3714586328</v>
          </cell>
          <cell r="D116">
            <v>27935</v>
          </cell>
        </row>
        <row r="117">
          <cell r="A117" t="str">
            <v>VE1369</v>
          </cell>
          <cell r="B117">
            <v>101676280554</v>
          </cell>
          <cell r="C117" t="str">
            <v>3714586464</v>
          </cell>
          <cell r="D117">
            <v>27938</v>
          </cell>
        </row>
        <row r="118">
          <cell r="A118" t="str">
            <v>VE1372</v>
          </cell>
          <cell r="B118">
            <v>101680675743</v>
          </cell>
          <cell r="C118" t="str">
            <v>3713785172</v>
          </cell>
          <cell r="D118">
            <v>28084</v>
          </cell>
        </row>
        <row r="119">
          <cell r="A119" t="str">
            <v>VE1373</v>
          </cell>
          <cell r="B119">
            <v>101877158337</v>
          </cell>
          <cell r="C119" t="str">
            <v>3714608880</v>
          </cell>
          <cell r="D119">
            <v>28131</v>
          </cell>
        </row>
        <row r="120">
          <cell r="A120" t="str">
            <v>VE1381</v>
          </cell>
          <cell r="B120">
            <v>101903229837</v>
          </cell>
          <cell r="C120" t="str">
            <v>3714638171</v>
          </cell>
          <cell r="D120">
            <v>28441</v>
          </cell>
        </row>
        <row r="121">
          <cell r="A121" t="str">
            <v>VE1382</v>
          </cell>
          <cell r="B121">
            <v>101650449964</v>
          </cell>
          <cell r="C121" t="str">
            <v>3714638142</v>
          </cell>
          <cell r="D121">
            <v>28440</v>
          </cell>
        </row>
        <row r="122">
          <cell r="A122" t="str">
            <v>VE1384</v>
          </cell>
          <cell r="B122">
            <v>101903213656</v>
          </cell>
          <cell r="C122" t="str">
            <v>3714638292</v>
          </cell>
          <cell r="D122">
            <v>28433</v>
          </cell>
        </row>
        <row r="123">
          <cell r="A123" t="str">
            <v>VE1386</v>
          </cell>
          <cell r="B123">
            <v>101844627578</v>
          </cell>
          <cell r="C123" t="str">
            <v>3714419308</v>
          </cell>
          <cell r="D123">
            <v>28430</v>
          </cell>
        </row>
        <row r="124">
          <cell r="A124" t="str">
            <v>VE1404</v>
          </cell>
          <cell r="B124">
            <v>101804338173</v>
          </cell>
          <cell r="C124" t="str">
            <v>3911284047</v>
          </cell>
          <cell r="D124">
            <v>28573</v>
          </cell>
        </row>
        <row r="125">
          <cell r="A125" t="str">
            <v>VE1406</v>
          </cell>
          <cell r="B125">
            <v>101913466565</v>
          </cell>
          <cell r="C125" t="str">
            <v>3911284050</v>
          </cell>
          <cell r="D125">
            <v>28696</v>
          </cell>
        </row>
        <row r="126">
          <cell r="A126" t="str">
            <v>VE1408</v>
          </cell>
          <cell r="B126">
            <v>101901303209</v>
          </cell>
          <cell r="C126" t="str">
            <v>3911284053</v>
          </cell>
          <cell r="D126">
            <v>28566</v>
          </cell>
        </row>
        <row r="127">
          <cell r="A127" t="str">
            <v>VE1412</v>
          </cell>
          <cell r="B127">
            <v>101737040290</v>
          </cell>
          <cell r="C127" t="str">
            <v>3911284062</v>
          </cell>
          <cell r="D127">
            <v>28575</v>
          </cell>
        </row>
        <row r="128">
          <cell r="A128" t="str">
            <v>VE1417</v>
          </cell>
          <cell r="B128">
            <v>101545045231</v>
          </cell>
          <cell r="C128" t="str">
            <v>3911284067</v>
          </cell>
          <cell r="D128">
            <v>28564</v>
          </cell>
        </row>
        <row r="129">
          <cell r="A129" t="str">
            <v>VE1415</v>
          </cell>
          <cell r="B129">
            <v>101909548541</v>
          </cell>
          <cell r="C129" t="str">
            <v>3911284064</v>
          </cell>
          <cell r="D129">
            <v>28563</v>
          </cell>
        </row>
        <row r="130">
          <cell r="A130" t="str">
            <v>VE1424</v>
          </cell>
          <cell r="B130">
            <v>101727217770</v>
          </cell>
          <cell r="C130" t="str">
            <v>3911284301</v>
          </cell>
          <cell r="D130">
            <v>28552</v>
          </cell>
        </row>
        <row r="131">
          <cell r="A131" t="str">
            <v>VE1426</v>
          </cell>
          <cell r="B131">
            <v>101682079696</v>
          </cell>
          <cell r="C131" t="str">
            <v>3911287160</v>
          </cell>
          <cell r="D131">
            <v>28587</v>
          </cell>
        </row>
        <row r="132">
          <cell r="A132" t="str">
            <v>VE1427</v>
          </cell>
          <cell r="B132">
            <v>101643399269</v>
          </cell>
          <cell r="C132" t="str">
            <v>3911287159</v>
          </cell>
          <cell r="D132">
            <v>28589</v>
          </cell>
        </row>
        <row r="133">
          <cell r="A133" t="str">
            <v>VE1430</v>
          </cell>
          <cell r="B133">
            <v>101276933982</v>
          </cell>
          <cell r="C133" t="str">
            <v>3712403028</v>
          </cell>
          <cell r="D133">
            <v>28785</v>
          </cell>
        </row>
        <row r="134">
          <cell r="A134" t="str">
            <v>VE1432</v>
          </cell>
          <cell r="B134">
            <v>101823378393</v>
          </cell>
          <cell r="C134" t="str">
            <v>3714703524</v>
          </cell>
          <cell r="D134">
            <v>28743</v>
          </cell>
        </row>
        <row r="135">
          <cell r="A135" t="str">
            <v>VE1433</v>
          </cell>
          <cell r="B135">
            <v>101919050874</v>
          </cell>
          <cell r="C135" t="str">
            <v>3714703536</v>
          </cell>
          <cell r="D135">
            <v>28737</v>
          </cell>
        </row>
        <row r="136">
          <cell r="A136" t="str">
            <v>VE1434</v>
          </cell>
          <cell r="B136">
            <v>101919050861</v>
          </cell>
          <cell r="C136" t="str">
            <v>3714702975</v>
          </cell>
          <cell r="D136">
            <v>28736</v>
          </cell>
        </row>
        <row r="137">
          <cell r="A137" t="str">
            <v>VE1435</v>
          </cell>
          <cell r="B137">
            <v>101919050888</v>
          </cell>
          <cell r="C137" t="str">
            <v>3714703543</v>
          </cell>
          <cell r="D137">
            <v>28738</v>
          </cell>
        </row>
        <row r="138">
          <cell r="A138" t="str">
            <v>VE1437</v>
          </cell>
          <cell r="B138">
            <v>101843015268</v>
          </cell>
          <cell r="C138" t="str">
            <v>3714703052</v>
          </cell>
          <cell r="D138">
            <v>28740</v>
          </cell>
        </row>
        <row r="139">
          <cell r="A139" t="str">
            <v>VE1444</v>
          </cell>
          <cell r="B139">
            <v>101919050900</v>
          </cell>
          <cell r="C139" t="str">
            <v>3714703229</v>
          </cell>
          <cell r="D139">
            <v>28741</v>
          </cell>
        </row>
        <row r="140">
          <cell r="A140" t="str">
            <v>VE1445</v>
          </cell>
          <cell r="B140">
            <v>101919050857</v>
          </cell>
          <cell r="C140" t="str">
            <v>3714703261</v>
          </cell>
          <cell r="D140">
            <v>28734</v>
          </cell>
        </row>
        <row r="141">
          <cell r="A141" t="str">
            <v>VE1446</v>
          </cell>
          <cell r="B141">
            <v>101817093809</v>
          </cell>
          <cell r="C141" t="str">
            <v>3714703295</v>
          </cell>
          <cell r="D141">
            <v>28735</v>
          </cell>
        </row>
        <row r="142">
          <cell r="A142" t="str">
            <v>VE1447</v>
          </cell>
          <cell r="B142">
            <v>101919050916</v>
          </cell>
          <cell r="C142" t="str">
            <v>3714703311</v>
          </cell>
          <cell r="D142">
            <v>28742</v>
          </cell>
        </row>
        <row r="143">
          <cell r="A143" t="str">
            <v>VE1448</v>
          </cell>
          <cell r="B143">
            <v>101875878884</v>
          </cell>
          <cell r="C143" t="str">
            <v>3714705748</v>
          </cell>
          <cell r="D143">
            <v>28771</v>
          </cell>
        </row>
        <row r="144">
          <cell r="A144" t="str">
            <v>VE1395</v>
          </cell>
          <cell r="B144">
            <v>101624578954</v>
          </cell>
          <cell r="C144" t="str">
            <v>3713525283</v>
          </cell>
          <cell r="D144">
            <v>28961</v>
          </cell>
        </row>
        <row r="145">
          <cell r="A145" t="str">
            <v>VE1468</v>
          </cell>
          <cell r="B145">
            <v>101731054227</v>
          </cell>
          <cell r="C145">
            <v>3713959545</v>
          </cell>
          <cell r="D145">
            <v>29000</v>
          </cell>
        </row>
        <row r="146">
          <cell r="A146" t="str">
            <v>VE1469</v>
          </cell>
          <cell r="B146">
            <v>101937182513</v>
          </cell>
          <cell r="C146">
            <v>3714802699</v>
          </cell>
          <cell r="D146">
            <v>29002</v>
          </cell>
        </row>
        <row r="147">
          <cell r="A147" t="str">
            <v>VE1470</v>
          </cell>
          <cell r="B147">
            <v>101937182521</v>
          </cell>
          <cell r="C147">
            <v>3714802719</v>
          </cell>
          <cell r="D147">
            <v>29003</v>
          </cell>
        </row>
        <row r="148">
          <cell r="A148" t="str">
            <v>VE1475</v>
          </cell>
          <cell r="B148">
            <v>101938302921</v>
          </cell>
          <cell r="C148">
            <v>3714812320</v>
          </cell>
          <cell r="D148">
            <v>29028</v>
          </cell>
        </row>
        <row r="149">
          <cell r="A149" t="str">
            <v>VE1476</v>
          </cell>
          <cell r="B149">
            <v>101875878878</v>
          </cell>
          <cell r="C149">
            <v>3714818175</v>
          </cell>
          <cell r="D149">
            <v>29039</v>
          </cell>
        </row>
        <row r="150">
          <cell r="A150" t="str">
            <v>VE1477</v>
          </cell>
          <cell r="B150">
            <v>101939282339</v>
          </cell>
          <cell r="C150">
            <v>3714818197</v>
          </cell>
          <cell r="D150">
            <v>29038</v>
          </cell>
        </row>
        <row r="151">
          <cell r="A151" t="str">
            <v>VE1479</v>
          </cell>
          <cell r="B151">
            <v>101939282325</v>
          </cell>
          <cell r="C151">
            <v>3714818259</v>
          </cell>
          <cell r="D151">
            <v>29037</v>
          </cell>
        </row>
        <row r="152">
          <cell r="A152" t="str">
            <v>VE1480</v>
          </cell>
          <cell r="B152">
            <v>101939282285</v>
          </cell>
          <cell r="C152">
            <v>3714818286</v>
          </cell>
          <cell r="D152">
            <v>29033</v>
          </cell>
        </row>
        <row r="153">
          <cell r="A153" t="str">
            <v>VE1483</v>
          </cell>
          <cell r="B153">
            <v>101939282318</v>
          </cell>
          <cell r="C153">
            <v>3714818370</v>
          </cell>
          <cell r="D153">
            <v>29036</v>
          </cell>
        </row>
        <row r="154">
          <cell r="A154" t="str">
            <v>VE1481</v>
          </cell>
          <cell r="B154">
            <v>101944315949</v>
          </cell>
          <cell r="C154">
            <v>3714818306</v>
          </cell>
          <cell r="D154">
            <v>29099</v>
          </cell>
        </row>
        <row r="155">
          <cell r="A155" t="str">
            <v>VE1482</v>
          </cell>
          <cell r="B155">
            <v>101935301533</v>
          </cell>
          <cell r="C155">
            <v>3714818355</v>
          </cell>
          <cell r="D155">
            <v>29098</v>
          </cell>
        </row>
        <row r="156">
          <cell r="A156" t="str">
            <v>VE1489</v>
          </cell>
          <cell r="B156">
            <v>101935301496</v>
          </cell>
          <cell r="C156">
            <v>3714852568</v>
          </cell>
          <cell r="D156">
            <v>29091</v>
          </cell>
        </row>
        <row r="157">
          <cell r="A157" t="str">
            <v>VE1490</v>
          </cell>
          <cell r="B157">
            <v>101944305610</v>
          </cell>
          <cell r="C157">
            <v>3714852603</v>
          </cell>
          <cell r="D157">
            <v>29096</v>
          </cell>
        </row>
        <row r="158">
          <cell r="A158" t="str">
            <v>VE1491</v>
          </cell>
          <cell r="B158">
            <v>101813966063</v>
          </cell>
          <cell r="C158">
            <v>3714852625</v>
          </cell>
          <cell r="D158">
            <v>29097</v>
          </cell>
        </row>
        <row r="159">
          <cell r="A159" t="str">
            <v>VE1492</v>
          </cell>
          <cell r="B159">
            <v>101864387697</v>
          </cell>
          <cell r="C159">
            <v>3714852658</v>
          </cell>
          <cell r="D159">
            <v>29094</v>
          </cell>
        </row>
        <row r="160">
          <cell r="A160" t="str">
            <v>VE1494</v>
          </cell>
          <cell r="B160">
            <v>101944302181</v>
          </cell>
          <cell r="C160">
            <v>3714852694</v>
          </cell>
          <cell r="D160">
            <v>29089</v>
          </cell>
        </row>
        <row r="161">
          <cell r="A161" t="str">
            <v>VE1495</v>
          </cell>
          <cell r="B161">
            <v>101952303624</v>
          </cell>
          <cell r="C161">
            <v>3714876381</v>
          </cell>
          <cell r="D161">
            <v>29174</v>
          </cell>
        </row>
        <row r="162">
          <cell r="A162" t="str">
            <v>VE1496</v>
          </cell>
          <cell r="B162">
            <v>101952303630</v>
          </cell>
          <cell r="C162">
            <v>3714876424</v>
          </cell>
          <cell r="D162">
            <v>29175</v>
          </cell>
        </row>
        <row r="163">
          <cell r="A163" t="str">
            <v>VE1497</v>
          </cell>
          <cell r="B163">
            <v>101936008161</v>
          </cell>
          <cell r="C163">
            <v>3714895813</v>
          </cell>
          <cell r="D163">
            <v>29185</v>
          </cell>
        </row>
        <row r="164">
          <cell r="A164" t="str">
            <v>VE1499</v>
          </cell>
          <cell r="B164">
            <v>101936008119</v>
          </cell>
          <cell r="C164">
            <v>3714876719</v>
          </cell>
          <cell r="D164">
            <v>29166</v>
          </cell>
        </row>
        <row r="165">
          <cell r="A165" t="str">
            <v>VE1501</v>
          </cell>
          <cell r="B165">
            <v>101952302560</v>
          </cell>
          <cell r="C165">
            <v>3714876832</v>
          </cell>
          <cell r="D165">
            <v>29163</v>
          </cell>
        </row>
        <row r="166">
          <cell r="A166" t="str">
            <v>VE1334</v>
          </cell>
          <cell r="B166">
            <v>101843640033</v>
          </cell>
          <cell r="C166">
            <v>3714385612</v>
          </cell>
          <cell r="D166">
            <v>29190</v>
          </cell>
        </row>
        <row r="167">
          <cell r="A167" t="str">
            <v>VE1504</v>
          </cell>
          <cell r="B167">
            <v>101952303695</v>
          </cell>
          <cell r="C167">
            <v>3714895852</v>
          </cell>
          <cell r="D167">
            <v>29187</v>
          </cell>
        </row>
        <row r="168">
          <cell r="A168" t="str">
            <v>VE1507</v>
          </cell>
          <cell r="B168">
            <v>101935301505</v>
          </cell>
          <cell r="C168">
            <v>3714877058</v>
          </cell>
          <cell r="D168">
            <v>29173</v>
          </cell>
        </row>
        <row r="169">
          <cell r="A169" t="str">
            <v>VE1508</v>
          </cell>
          <cell r="B169">
            <v>101952302556</v>
          </cell>
          <cell r="C169">
            <v>3714895874</v>
          </cell>
          <cell r="D169">
            <v>29161</v>
          </cell>
        </row>
        <row r="170">
          <cell r="A170" t="str">
            <v>VE1509</v>
          </cell>
          <cell r="B170">
            <v>101952303676</v>
          </cell>
          <cell r="C170">
            <v>3714895896</v>
          </cell>
          <cell r="D170">
            <v>29183</v>
          </cell>
        </row>
        <row r="171">
          <cell r="A171" t="str">
            <v>VE1510</v>
          </cell>
          <cell r="B171">
            <v>101952303703</v>
          </cell>
          <cell r="C171">
            <v>3714899222</v>
          </cell>
          <cell r="D171">
            <v>29188</v>
          </cell>
        </row>
        <row r="172">
          <cell r="A172" t="str">
            <v>VE1511</v>
          </cell>
          <cell r="B172">
            <v>101923575890</v>
          </cell>
          <cell r="C172">
            <v>3714895922</v>
          </cell>
          <cell r="D172">
            <v>29177</v>
          </cell>
        </row>
        <row r="173">
          <cell r="A173" t="str">
            <v>VE1516</v>
          </cell>
          <cell r="B173">
            <v>101952303719</v>
          </cell>
          <cell r="C173">
            <v>3714896060</v>
          </cell>
          <cell r="D173">
            <v>29189</v>
          </cell>
        </row>
        <row r="174">
          <cell r="A174" t="str">
            <v>VE1517</v>
          </cell>
          <cell r="B174">
            <v>101942586357</v>
          </cell>
          <cell r="C174">
            <v>3714896089</v>
          </cell>
          <cell r="D174">
            <v>29169</v>
          </cell>
        </row>
        <row r="175">
          <cell r="A175" t="str">
            <v>VE1519</v>
          </cell>
          <cell r="B175">
            <v>101354738850</v>
          </cell>
          <cell r="C175">
            <v>3714896118</v>
          </cell>
          <cell r="D175">
            <v>29178</v>
          </cell>
        </row>
        <row r="176">
          <cell r="A176" t="str">
            <v>VE1532</v>
          </cell>
          <cell r="B176">
            <v>101716991695</v>
          </cell>
          <cell r="C176">
            <v>3714943300</v>
          </cell>
          <cell r="D176">
            <v>29312</v>
          </cell>
        </row>
        <row r="177">
          <cell r="A177" t="str">
            <v>VE1213</v>
          </cell>
          <cell r="B177">
            <v>101379470057</v>
          </cell>
          <cell r="C177" t="str">
            <v>3712701501</v>
          </cell>
          <cell r="D177">
            <v>18925</v>
          </cell>
        </row>
        <row r="178">
          <cell r="A178" t="str">
            <v>VE1305</v>
          </cell>
          <cell r="B178">
            <v>101503402026</v>
          </cell>
          <cell r="C178" t="str">
            <v>3713120185</v>
          </cell>
          <cell r="D178">
            <v>28169</v>
          </cell>
        </row>
        <row r="179">
          <cell r="A179" t="str">
            <v>VE1534</v>
          </cell>
          <cell r="B179">
            <v>101454106978</v>
          </cell>
          <cell r="C179">
            <v>3714963775</v>
          </cell>
          <cell r="D179">
            <v>29360</v>
          </cell>
        </row>
        <row r="180">
          <cell r="A180" t="str">
            <v>VE1538</v>
          </cell>
          <cell r="B180">
            <v>101645209864</v>
          </cell>
          <cell r="C180" t="str">
            <v>3713714265</v>
          </cell>
          <cell r="D180">
            <v>29443</v>
          </cell>
        </row>
        <row r="181">
          <cell r="A181" t="str">
            <v>VE1541</v>
          </cell>
          <cell r="B181">
            <v>101936008093</v>
          </cell>
          <cell r="C181">
            <v>3715025695</v>
          </cell>
          <cell r="D181">
            <v>29528</v>
          </cell>
        </row>
        <row r="182">
          <cell r="A182" t="str">
            <v>VE1542</v>
          </cell>
          <cell r="B182">
            <v>101905734150</v>
          </cell>
          <cell r="C182">
            <v>3715033535</v>
          </cell>
          <cell r="D182">
            <v>29530</v>
          </cell>
        </row>
        <row r="183">
          <cell r="A183" t="str">
            <v>VE1544</v>
          </cell>
          <cell r="B183">
            <v>101806827123</v>
          </cell>
          <cell r="C183">
            <v>3715040338</v>
          </cell>
          <cell r="D183">
            <v>29529</v>
          </cell>
        </row>
        <row r="184">
          <cell r="A184" t="str">
            <v>VE1545</v>
          </cell>
          <cell r="B184">
            <v>101994020045</v>
          </cell>
          <cell r="C184">
            <v>3715040287</v>
          </cell>
          <cell r="D184">
            <v>29591</v>
          </cell>
        </row>
        <row r="185">
          <cell r="A185" t="str">
            <v>VE1063</v>
          </cell>
          <cell r="B185">
            <v>101283761043</v>
          </cell>
          <cell r="C185" t="str">
            <v>3714248269</v>
          </cell>
          <cell r="D185">
            <v>28283</v>
          </cell>
        </row>
        <row r="186">
          <cell r="A186" t="str">
            <v>VE1124</v>
          </cell>
          <cell r="B186">
            <v>101870675847</v>
          </cell>
          <cell r="C186" t="str">
            <v>3714491740</v>
          </cell>
          <cell r="D186">
            <v>28311</v>
          </cell>
        </row>
        <row r="187">
          <cell r="A187" t="str">
            <v>VE1206</v>
          </cell>
          <cell r="B187">
            <v>101843640014</v>
          </cell>
          <cell r="C187" t="str">
            <v>3714391738</v>
          </cell>
          <cell r="D187">
            <v>28303</v>
          </cell>
        </row>
        <row r="188">
          <cell r="A188" t="str">
            <v>VE1210</v>
          </cell>
          <cell r="B188">
            <v>101810409462</v>
          </cell>
          <cell r="C188" t="str">
            <v>3714248318</v>
          </cell>
          <cell r="D188">
            <v>28314</v>
          </cell>
        </row>
        <row r="189">
          <cell r="A189" t="str">
            <v>VE1233</v>
          </cell>
          <cell r="B189">
            <v>101892027180</v>
          </cell>
          <cell r="C189" t="str">
            <v>3714586070</v>
          </cell>
          <cell r="D189">
            <v>27932</v>
          </cell>
        </row>
        <row r="190">
          <cell r="A190" t="str">
            <v>VE1388</v>
          </cell>
          <cell r="B190">
            <v>101320500467</v>
          </cell>
          <cell r="C190" t="str">
            <v>3714638309</v>
          </cell>
          <cell r="D190">
            <v>28436</v>
          </cell>
        </row>
        <row r="191">
          <cell r="A191" t="str">
            <v>VE1520</v>
          </cell>
          <cell r="B191">
            <v>101952303682</v>
          </cell>
          <cell r="C191">
            <v>3714896138</v>
          </cell>
          <cell r="D191">
            <v>29184</v>
          </cell>
        </row>
        <row r="192">
          <cell r="A192" t="str">
            <v>VE1266</v>
          </cell>
          <cell r="B192">
            <v>101892034874</v>
          </cell>
          <cell r="C192" t="str">
            <v>3714586111</v>
          </cell>
          <cell r="D192">
            <v>27934</v>
          </cell>
        </row>
        <row r="193">
          <cell r="A193" t="str">
            <v>VE1298</v>
          </cell>
          <cell r="B193">
            <v>101434385626</v>
          </cell>
          <cell r="C193" t="str">
            <v>3713082777</v>
          </cell>
          <cell r="D193">
            <v>28105</v>
          </cell>
        </row>
        <row r="194">
          <cell r="A194" t="str">
            <v>VE1313</v>
          </cell>
          <cell r="B194">
            <v>101587163528</v>
          </cell>
          <cell r="C194" t="str">
            <v>3714194891</v>
          </cell>
          <cell r="D194">
            <v>28706</v>
          </cell>
        </row>
        <row r="195">
          <cell r="A195" t="str">
            <v>VE1387</v>
          </cell>
          <cell r="B195">
            <v>101843640203</v>
          </cell>
          <cell r="C195" t="str">
            <v>3714385625</v>
          </cell>
          <cell r="D195">
            <v>28432</v>
          </cell>
        </row>
        <row r="196">
          <cell r="A196" t="str">
            <v>VE1505</v>
          </cell>
          <cell r="B196">
            <v>101952303669</v>
          </cell>
          <cell r="C196">
            <v>3714896207</v>
          </cell>
          <cell r="D196">
            <v>29182</v>
          </cell>
        </row>
        <row r="197">
          <cell r="A197" t="str">
            <v>VE1547</v>
          </cell>
          <cell r="B197">
            <v>101996246401</v>
          </cell>
          <cell r="C197">
            <v>3715054042</v>
          </cell>
          <cell r="D197">
            <v>29617</v>
          </cell>
        </row>
        <row r="198">
          <cell r="A198" t="str">
            <v>VE1549</v>
          </cell>
          <cell r="B198">
            <v>101996246396</v>
          </cell>
          <cell r="C198">
            <v>3715068590</v>
          </cell>
          <cell r="D198">
            <v>29615</v>
          </cell>
        </row>
        <row r="199">
          <cell r="A199" t="str">
            <v>VE1550</v>
          </cell>
          <cell r="B199">
            <v>101847616251</v>
          </cell>
          <cell r="C199">
            <v>3715078860</v>
          </cell>
          <cell r="D199">
            <v>29613</v>
          </cell>
        </row>
        <row r="200">
          <cell r="A200" t="str">
            <v>VE1552</v>
          </cell>
          <cell r="B200">
            <v>101973148006</v>
          </cell>
          <cell r="C200">
            <v>3715078875</v>
          </cell>
          <cell r="D200">
            <v>29612</v>
          </cell>
        </row>
        <row r="201">
          <cell r="A201" t="str">
            <v>VE1553</v>
          </cell>
          <cell r="B201" t="str">
            <v>102005811417</v>
          </cell>
          <cell r="C201">
            <v>3715102380</v>
          </cell>
          <cell r="D201">
            <v>29689</v>
          </cell>
        </row>
        <row r="202">
          <cell r="A202" t="str">
            <v>VE1555</v>
          </cell>
          <cell r="B202" t="str">
            <v>101517232750</v>
          </cell>
          <cell r="C202">
            <v>3715119046</v>
          </cell>
          <cell r="D202">
            <v>29692</v>
          </cell>
        </row>
        <row r="203">
          <cell r="A203" t="str">
            <v>VE1558</v>
          </cell>
          <cell r="B203" t="str">
            <v>102005811429</v>
          </cell>
          <cell r="C203">
            <v>3715125556</v>
          </cell>
          <cell r="D203">
            <v>29690</v>
          </cell>
        </row>
        <row r="204">
          <cell r="A204" t="str">
            <v>VE1559</v>
          </cell>
          <cell r="B204">
            <v>102009004242</v>
          </cell>
          <cell r="C204">
            <v>3715132935</v>
          </cell>
          <cell r="D204">
            <v>29704</v>
          </cell>
        </row>
        <row r="205">
          <cell r="A205" t="str">
            <v>VE1560</v>
          </cell>
          <cell r="B205">
            <v>102009004257</v>
          </cell>
          <cell r="C205">
            <v>3715132953</v>
          </cell>
          <cell r="D205">
            <v>29705</v>
          </cell>
        </row>
        <row r="206">
          <cell r="A206" t="str">
            <v>VE1561</v>
          </cell>
          <cell r="B206">
            <v>101613310962</v>
          </cell>
          <cell r="C206">
            <v>3715132977</v>
          </cell>
          <cell r="D206">
            <v>29706</v>
          </cell>
        </row>
        <row r="207">
          <cell r="A207" t="str">
            <v>VE1308</v>
          </cell>
          <cell r="B207">
            <v>101660548232</v>
          </cell>
          <cell r="C207" t="str">
            <v>3713665258</v>
          </cell>
          <cell r="D207">
            <v>28165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 CLINI"/>
      <sheetName val="CLINICAL"/>
      <sheetName val="CL SAL SHEET"/>
      <sheetName val="WAGES CLI-ABAD"/>
      <sheetName val="PAY SLIP-clinical (2)"/>
      <sheetName val="NEW Rate Calculation"/>
    </sheetNames>
    <sheetDataSet>
      <sheetData sheetId="0" refreshError="1"/>
      <sheetData sheetId="1" refreshError="1"/>
      <sheetData sheetId="2">
        <row r="4">
          <cell r="A4" t="str">
            <v>VE1108</v>
          </cell>
          <cell r="B4">
            <v>101541307245</v>
          </cell>
          <cell r="C4" t="str">
            <v>3713337012</v>
          </cell>
          <cell r="D4">
            <v>28059</v>
          </cell>
        </row>
        <row r="5">
          <cell r="A5" t="str">
            <v>VE1106</v>
          </cell>
          <cell r="B5">
            <v>101545045157</v>
          </cell>
          <cell r="C5" t="str">
            <v>3713236362</v>
          </cell>
          <cell r="D5">
            <v>28313</v>
          </cell>
        </row>
        <row r="6">
          <cell r="A6" t="str">
            <v>VE1107</v>
          </cell>
          <cell r="B6">
            <v>101545045249</v>
          </cell>
          <cell r="C6" t="str">
            <v>3713236346</v>
          </cell>
          <cell r="D6">
            <v>28033</v>
          </cell>
        </row>
        <row r="7">
          <cell r="A7" t="str">
            <v>VE1076</v>
          </cell>
          <cell r="B7">
            <v>101523756419</v>
          </cell>
          <cell r="C7" t="str">
            <v>3713633263</v>
          </cell>
          <cell r="D7">
            <v>28229</v>
          </cell>
        </row>
        <row r="8">
          <cell r="A8" t="str">
            <v>VE1074</v>
          </cell>
          <cell r="B8">
            <v>101573647954</v>
          </cell>
          <cell r="C8" t="str">
            <v>3713347591</v>
          </cell>
          <cell r="D8">
            <v>28060</v>
          </cell>
        </row>
        <row r="9">
          <cell r="A9" t="str">
            <v>VE1077</v>
          </cell>
          <cell r="B9">
            <v>101753036565</v>
          </cell>
          <cell r="C9" t="str">
            <v>3714146590</v>
          </cell>
          <cell r="D9">
            <v>28253</v>
          </cell>
        </row>
        <row r="10">
          <cell r="A10" t="str">
            <v>VE1034</v>
          </cell>
          <cell r="B10">
            <v>101238512085</v>
          </cell>
          <cell r="C10" t="str">
            <v>3714146712</v>
          </cell>
          <cell r="D10">
            <v>28035</v>
          </cell>
        </row>
        <row r="11">
          <cell r="A11" t="str">
            <v>VE1275</v>
          </cell>
          <cell r="B11">
            <v>101416179677</v>
          </cell>
          <cell r="C11" t="str">
            <v>3711809201</v>
          </cell>
          <cell r="D11">
            <v>28037</v>
          </cell>
        </row>
        <row r="12">
          <cell r="A12" t="str">
            <v>VE1105</v>
          </cell>
          <cell r="B12">
            <v>101204332229</v>
          </cell>
          <cell r="C12" t="str">
            <v>3713714521</v>
          </cell>
          <cell r="D12">
            <v>28038</v>
          </cell>
        </row>
        <row r="13">
          <cell r="A13" t="str">
            <v>VE1082</v>
          </cell>
          <cell r="B13">
            <v>101545045220</v>
          </cell>
          <cell r="C13" t="str">
            <v>3713236612</v>
          </cell>
          <cell r="D13">
            <v>28061</v>
          </cell>
        </row>
        <row r="14">
          <cell r="A14" t="str">
            <v>VE1289</v>
          </cell>
          <cell r="B14">
            <v>101513957672</v>
          </cell>
          <cell r="C14" t="str">
            <v>3713278279</v>
          </cell>
          <cell r="D14">
            <v>28036</v>
          </cell>
        </row>
        <row r="15">
          <cell r="A15" t="str">
            <v>VE1221</v>
          </cell>
          <cell r="B15">
            <v>101240028395</v>
          </cell>
          <cell r="C15" t="str">
            <v>3712541705</v>
          </cell>
          <cell r="D15">
            <v>28284</v>
          </cell>
        </row>
        <row r="16">
          <cell r="A16" t="str">
            <v>VE1222</v>
          </cell>
          <cell r="B16">
            <v>101027277785</v>
          </cell>
          <cell r="C16" t="str">
            <v>3714195170</v>
          </cell>
          <cell r="D16">
            <v>28323</v>
          </cell>
        </row>
        <row r="17">
          <cell r="A17" t="str">
            <v>VE1223</v>
          </cell>
          <cell r="B17">
            <v>101805009129</v>
          </cell>
          <cell r="C17" t="str">
            <v>3714195193</v>
          </cell>
          <cell r="D17">
            <v>28320</v>
          </cell>
        </row>
        <row r="18">
          <cell r="A18" t="str">
            <v>VE1252</v>
          </cell>
          <cell r="B18">
            <v>101326833245</v>
          </cell>
          <cell r="C18" t="str">
            <v>3712541359</v>
          </cell>
          <cell r="D18">
            <v>28255</v>
          </cell>
        </row>
        <row r="19">
          <cell r="A19" t="str">
            <v>VE1133</v>
          </cell>
          <cell r="B19">
            <v>101774669310</v>
          </cell>
          <cell r="C19" t="str">
            <v>3714105479</v>
          </cell>
          <cell r="D19">
            <v>28333</v>
          </cell>
        </row>
        <row r="20">
          <cell r="A20" t="str">
            <v>VE1044</v>
          </cell>
          <cell r="B20">
            <v>101753281115</v>
          </cell>
          <cell r="C20" t="str">
            <v>3714195158</v>
          </cell>
          <cell r="D20">
            <v>28254</v>
          </cell>
        </row>
        <row r="21">
          <cell r="A21" t="str">
            <v>VE1066</v>
          </cell>
          <cell r="B21">
            <v>101812058189</v>
          </cell>
          <cell r="C21" t="str">
            <v>3714248732</v>
          </cell>
          <cell r="D21">
            <v>28207</v>
          </cell>
        </row>
        <row r="22">
          <cell r="A22" t="str">
            <v>VE1075</v>
          </cell>
          <cell r="B22">
            <v>101585672182</v>
          </cell>
          <cell r="C22" t="str">
            <v>3713714682</v>
          </cell>
          <cell r="D22">
            <v>28141</v>
          </cell>
        </row>
        <row r="23">
          <cell r="A23" t="str">
            <v>VE1132</v>
          </cell>
          <cell r="B23">
            <v>101672718338</v>
          </cell>
          <cell r="C23" t="str">
            <v>3714489070</v>
          </cell>
          <cell r="D23">
            <v>28256</v>
          </cell>
        </row>
        <row r="24">
          <cell r="A24" t="str">
            <v>VE1377</v>
          </cell>
          <cell r="B24">
            <v>101903275100</v>
          </cell>
          <cell r="C24" t="str">
            <v>3714637954</v>
          </cell>
          <cell r="D24">
            <v>28442</v>
          </cell>
        </row>
        <row r="25">
          <cell r="A25" t="str">
            <v>VE1398</v>
          </cell>
          <cell r="B25">
            <v>101909548539</v>
          </cell>
          <cell r="C25" t="str">
            <v>3911284040</v>
          </cell>
          <cell r="D25">
            <v>28558</v>
          </cell>
        </row>
        <row r="26">
          <cell r="A26" t="str">
            <v>VE1425</v>
          </cell>
          <cell r="B26">
            <v>101910638918</v>
          </cell>
          <cell r="C26" t="str">
            <v>3911287162</v>
          </cell>
          <cell r="D26">
            <v>28590</v>
          </cell>
        </row>
        <row r="27">
          <cell r="A27" t="str">
            <v>VE1078</v>
          </cell>
          <cell r="B27">
            <v>101885067128</v>
          </cell>
          <cell r="C27" t="str">
            <v>3714607818</v>
          </cell>
          <cell r="D27">
            <v>28183</v>
          </cell>
        </row>
        <row r="28">
          <cell r="A28" t="str">
            <v>VE1409</v>
          </cell>
          <cell r="B28">
            <v>101784791986</v>
          </cell>
          <cell r="C28" t="str">
            <v>3714146626</v>
          </cell>
          <cell r="D28">
            <v>28562</v>
          </cell>
        </row>
        <row r="29">
          <cell r="A29" t="str">
            <v>VE1442</v>
          </cell>
          <cell r="B29">
            <v>101876602651</v>
          </cell>
          <cell r="C29" t="str">
            <v>3714703546</v>
          </cell>
          <cell r="D29">
            <v>28730</v>
          </cell>
        </row>
        <row r="30">
          <cell r="A30" t="str">
            <v>VE1455</v>
          </cell>
          <cell r="B30">
            <v>101926593913</v>
          </cell>
          <cell r="C30">
            <v>3714733256</v>
          </cell>
          <cell r="D30">
            <v>28855</v>
          </cell>
        </row>
        <row r="31">
          <cell r="A31" t="str">
            <v>VE1462</v>
          </cell>
          <cell r="B31">
            <v>101929206456</v>
          </cell>
          <cell r="C31">
            <v>3714747714</v>
          </cell>
          <cell r="D31">
            <v>28934</v>
          </cell>
        </row>
        <row r="32">
          <cell r="A32" t="str">
            <v>VE1293</v>
          </cell>
          <cell r="B32">
            <v>101855818051</v>
          </cell>
          <cell r="C32">
            <v>3714430234</v>
          </cell>
          <cell r="D32">
            <v>28957</v>
          </cell>
        </row>
        <row r="33">
          <cell r="A33" t="str">
            <v>VE1466</v>
          </cell>
          <cell r="B33">
            <v>101925372764</v>
          </cell>
          <cell r="C33">
            <v>3714764281</v>
          </cell>
          <cell r="D33">
            <v>28956</v>
          </cell>
        </row>
        <row r="34">
          <cell r="A34" t="str">
            <v>VE1478</v>
          </cell>
          <cell r="B34">
            <v>101939282302</v>
          </cell>
          <cell r="C34">
            <v>3714818229</v>
          </cell>
          <cell r="D34">
            <v>29035</v>
          </cell>
        </row>
        <row r="35">
          <cell r="A35" t="str">
            <v>VE1484</v>
          </cell>
          <cell r="B35">
            <v>101939282292</v>
          </cell>
          <cell r="C35">
            <v>3714818405</v>
          </cell>
          <cell r="D35">
            <v>29034</v>
          </cell>
        </row>
        <row r="36">
          <cell r="A36" t="str">
            <v>VE1485</v>
          </cell>
          <cell r="B36">
            <v>101939838758</v>
          </cell>
          <cell r="C36">
            <v>3714823177</v>
          </cell>
          <cell r="D36">
            <v>29043</v>
          </cell>
        </row>
        <row r="37">
          <cell r="A37" t="str">
            <v>VE1522</v>
          </cell>
          <cell r="B37">
            <v>101306459059</v>
          </cell>
          <cell r="C37">
            <v>3714896369</v>
          </cell>
          <cell r="D37">
            <v>29176</v>
          </cell>
        </row>
        <row r="38">
          <cell r="A38" t="str">
            <v>VE1109</v>
          </cell>
          <cell r="B38">
            <v>101568672211</v>
          </cell>
          <cell r="C38" t="str">
            <v>3713337041</v>
          </cell>
          <cell r="D38">
            <v>28228</v>
          </cell>
        </row>
        <row r="39">
          <cell r="A39" t="str">
            <v>VE1543</v>
          </cell>
          <cell r="B39">
            <v>101988276710</v>
          </cell>
          <cell r="C39">
            <v>3715040262</v>
          </cell>
          <cell r="D39">
            <v>29527</v>
          </cell>
        </row>
        <row r="40">
          <cell r="A40" t="str">
            <v>VE1367</v>
          </cell>
          <cell r="B40">
            <v>101544533513</v>
          </cell>
          <cell r="C40" t="str">
            <v>3714607824</v>
          </cell>
          <cell r="D40">
            <v>28106</v>
          </cell>
        </row>
        <row r="41">
          <cell r="A41" t="str">
            <v>VE1478</v>
          </cell>
          <cell r="B41">
            <v>101939282302</v>
          </cell>
          <cell r="C41">
            <v>3714818229</v>
          </cell>
          <cell r="D41">
            <v>29035</v>
          </cell>
        </row>
        <row r="42">
          <cell r="A42" t="str">
            <v>VE1251</v>
          </cell>
          <cell r="B42">
            <v>101705756648</v>
          </cell>
          <cell r="C42" t="str">
            <v>3714195275</v>
          </cell>
          <cell r="D42">
            <v>28350</v>
          </cell>
        </row>
        <row r="43">
          <cell r="A43" t="str">
            <v>VE1465</v>
          </cell>
          <cell r="B43">
            <v>101814344678</v>
          </cell>
          <cell r="C43">
            <v>3714747726</v>
          </cell>
          <cell r="D43">
            <v>28927</v>
          </cell>
        </row>
        <row r="44">
          <cell r="A44" t="str">
            <v>VE1488</v>
          </cell>
          <cell r="B44">
            <v>101944302201</v>
          </cell>
          <cell r="C44">
            <v>3714852555</v>
          </cell>
          <cell r="D44">
            <v>29093</v>
          </cell>
        </row>
        <row r="45">
          <cell r="A45" t="str">
            <v>VE1540</v>
          </cell>
          <cell r="B45">
            <v>101834650126</v>
          </cell>
          <cell r="C45">
            <v>3715014382</v>
          </cell>
          <cell r="D45">
            <v>29526</v>
          </cell>
        </row>
        <row r="46">
          <cell r="A46" t="str">
            <v>VE1506</v>
          </cell>
          <cell r="B46">
            <v>101952303653</v>
          </cell>
          <cell r="C46">
            <v>3714877032</v>
          </cell>
          <cell r="D46">
            <v>29181</v>
          </cell>
        </row>
        <row r="47">
          <cell r="A47" t="str">
            <v>VE1513</v>
          </cell>
          <cell r="B47">
            <v>101952303648</v>
          </cell>
          <cell r="C47">
            <v>3714895954</v>
          </cell>
          <cell r="D47">
            <v>29179</v>
          </cell>
        </row>
        <row r="48">
          <cell r="A48" t="str">
            <v>VE1453</v>
          </cell>
          <cell r="B48">
            <v>101926593899</v>
          </cell>
          <cell r="C48">
            <v>3714733255</v>
          </cell>
          <cell r="D48">
            <v>28853</v>
          </cell>
        </row>
        <row r="49">
          <cell r="A49" t="str">
            <v>VE1174</v>
          </cell>
          <cell r="B49">
            <v>101855818165</v>
          </cell>
          <cell r="C49" t="str">
            <v>3714430210</v>
          </cell>
          <cell r="D49">
            <v>28221</v>
          </cell>
        </row>
        <row r="50">
          <cell r="A50" t="str">
            <v>VE1420</v>
          </cell>
          <cell r="B50">
            <v>101909548573</v>
          </cell>
          <cell r="C50" t="str">
            <v>3911284288</v>
          </cell>
          <cell r="D50">
            <v>28569</v>
          </cell>
        </row>
        <row r="51">
          <cell r="A51" t="str">
            <v>VE1512</v>
          </cell>
          <cell r="B51">
            <v>101944070181</v>
          </cell>
          <cell r="C51">
            <v>3714895940</v>
          </cell>
          <cell r="D51">
            <v>29164</v>
          </cell>
        </row>
        <row r="52">
          <cell r="A52" t="str">
            <v>VE1526</v>
          </cell>
          <cell r="B52">
            <v>101959092185</v>
          </cell>
          <cell r="C52">
            <v>3714923157</v>
          </cell>
          <cell r="D52">
            <v>29288</v>
          </cell>
        </row>
        <row r="53">
          <cell r="A53" t="str">
            <v>VE1528</v>
          </cell>
          <cell r="B53">
            <v>101265077908</v>
          </cell>
          <cell r="C53">
            <v>3714923209</v>
          </cell>
          <cell r="D53">
            <v>29286</v>
          </cell>
        </row>
        <row r="54">
          <cell r="A54" t="str">
            <v>VE1533</v>
          </cell>
          <cell r="B54">
            <v>101962641432</v>
          </cell>
          <cell r="C54">
            <v>3714943334</v>
          </cell>
          <cell r="D54">
            <v>29310</v>
          </cell>
        </row>
        <row r="55">
          <cell r="A55" t="str">
            <v>VE1557</v>
          </cell>
          <cell r="B55">
            <v>102005811003</v>
          </cell>
          <cell r="C55">
            <v>3715122248</v>
          </cell>
          <cell r="D55">
            <v>29688</v>
          </cell>
        </row>
        <row r="56">
          <cell r="A56" t="str">
            <v>VE1358</v>
          </cell>
          <cell r="B56">
            <v>101898017202</v>
          </cell>
          <cell r="C56" t="str">
            <v>3714607853</v>
          </cell>
          <cell r="D56">
            <v>28177</v>
          </cell>
        </row>
        <row r="57">
          <cell r="A57" t="str">
            <v>VE1454</v>
          </cell>
          <cell r="B57">
            <v>101389890725</v>
          </cell>
          <cell r="C57">
            <v>3714733250</v>
          </cell>
          <cell r="D57">
            <v>28856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ILL NONCLIN"/>
      <sheetName val="NON CLINICAL"/>
      <sheetName val="NCL SAL. SHEET"/>
      <sheetName val="WAGES NONCLI-ABAD"/>
      <sheetName val="PAY SLIP-nonclinical"/>
      <sheetName val="NEW Rate Calculation"/>
    </sheetNames>
    <sheetDataSet>
      <sheetData sheetId="0" refreshError="1"/>
      <sheetData sheetId="1" refreshError="1"/>
      <sheetData sheetId="2">
        <row r="4">
          <cell r="A4" t="str">
            <v>VE1185</v>
          </cell>
          <cell r="B4">
            <v>101326833459</v>
          </cell>
          <cell r="C4" t="str">
            <v>3712541862</v>
          </cell>
          <cell r="D4">
            <v>27997</v>
          </cell>
        </row>
        <row r="5">
          <cell r="A5" t="str">
            <v>VE1114</v>
          </cell>
          <cell r="B5">
            <v>101225583363</v>
          </cell>
          <cell r="C5" t="str">
            <v>3713235336</v>
          </cell>
          <cell r="D5">
            <v>28003</v>
          </cell>
        </row>
        <row r="6">
          <cell r="A6" t="str">
            <v>VE1187</v>
          </cell>
          <cell r="B6">
            <v>101296908889</v>
          </cell>
          <cell r="C6" t="str">
            <v>3712447042</v>
          </cell>
          <cell r="D6">
            <v>28007</v>
          </cell>
        </row>
        <row r="7">
          <cell r="A7" t="str">
            <v>VE1186</v>
          </cell>
          <cell r="B7">
            <v>101197766260</v>
          </cell>
          <cell r="C7" t="str">
            <v>3712541987</v>
          </cell>
          <cell r="D7">
            <v>28002</v>
          </cell>
        </row>
        <row r="8">
          <cell r="A8" t="str">
            <v>VE1080</v>
          </cell>
          <cell r="B8">
            <v>101326833444</v>
          </cell>
          <cell r="C8" t="str">
            <v>3712541839</v>
          </cell>
          <cell r="D8">
            <v>28005</v>
          </cell>
        </row>
        <row r="9">
          <cell r="A9" t="str">
            <v>VE1116</v>
          </cell>
          <cell r="B9">
            <v>101416000392</v>
          </cell>
          <cell r="C9" t="str">
            <v>3712893503</v>
          </cell>
          <cell r="D9">
            <v>28001</v>
          </cell>
        </row>
        <row r="10">
          <cell r="A10" t="str">
            <v>VE1115</v>
          </cell>
          <cell r="B10">
            <v>101326833485</v>
          </cell>
          <cell r="C10" t="str">
            <v>3712541913</v>
          </cell>
          <cell r="D10">
            <v>28004</v>
          </cell>
        </row>
        <row r="11">
          <cell r="A11" t="str">
            <v>VE1117</v>
          </cell>
          <cell r="B11">
            <v>101264881033</v>
          </cell>
          <cell r="C11" t="str">
            <v>3712541958</v>
          </cell>
          <cell r="D11">
            <v>28008</v>
          </cell>
        </row>
        <row r="12">
          <cell r="A12" t="str">
            <v>VE1250</v>
          </cell>
          <cell r="B12">
            <v>101326833503</v>
          </cell>
          <cell r="C12" t="str">
            <v>3713527406</v>
          </cell>
          <cell r="D12">
            <v>28009</v>
          </cell>
        </row>
        <row r="13">
          <cell r="A13" t="str">
            <v>VE1006</v>
          </cell>
          <cell r="B13">
            <v>101326833416</v>
          </cell>
          <cell r="C13" t="str">
            <v>3712541770</v>
          </cell>
          <cell r="D13">
            <v>27999</v>
          </cell>
        </row>
        <row r="14">
          <cell r="A14" t="str">
            <v>VE1003</v>
          </cell>
          <cell r="B14">
            <v>101326833428</v>
          </cell>
          <cell r="C14" t="str">
            <v>3712541802</v>
          </cell>
          <cell r="D14">
            <v>28011</v>
          </cell>
        </row>
        <row r="15">
          <cell r="A15" t="str">
            <v>VE1079</v>
          </cell>
          <cell r="B15">
            <v>100901294699</v>
          </cell>
          <cell r="C15" t="str">
            <v>3712541887</v>
          </cell>
          <cell r="D15">
            <v>28010</v>
          </cell>
        </row>
        <row r="16">
          <cell r="A16" t="str">
            <v>VE1081</v>
          </cell>
          <cell r="B16">
            <v>101183875438</v>
          </cell>
          <cell r="C16" t="str">
            <v>3712541974</v>
          </cell>
          <cell r="D16">
            <v>28000</v>
          </cell>
        </row>
        <row r="17">
          <cell r="A17" t="str">
            <v>VE1010</v>
          </cell>
          <cell r="B17">
            <v>101253236683</v>
          </cell>
          <cell r="C17" t="str">
            <v>3712541965</v>
          </cell>
          <cell r="D17">
            <v>28316</v>
          </cell>
        </row>
        <row r="18">
          <cell r="A18" t="str">
            <v>VE1087</v>
          </cell>
          <cell r="B18">
            <v>101326833492</v>
          </cell>
          <cell r="C18" t="str">
            <v>3712541944</v>
          </cell>
          <cell r="D18">
            <v>28097</v>
          </cell>
        </row>
        <row r="19">
          <cell r="A19" t="str">
            <v>VE1088</v>
          </cell>
          <cell r="B19">
            <v>101326833437</v>
          </cell>
          <cell r="C19" t="str">
            <v>3712541812</v>
          </cell>
          <cell r="D19">
            <v>28193</v>
          </cell>
        </row>
        <row r="20">
          <cell r="A20" t="str">
            <v>VE1198</v>
          </cell>
          <cell r="B20">
            <v>100901795337</v>
          </cell>
          <cell r="C20" t="str">
            <v>3712541845</v>
          </cell>
          <cell r="D20">
            <v>28063</v>
          </cell>
        </row>
        <row r="21">
          <cell r="A21" t="str">
            <v>VE1035</v>
          </cell>
          <cell r="B21">
            <v>101416000371</v>
          </cell>
          <cell r="C21" t="str">
            <v>3714264757</v>
          </cell>
          <cell r="D21">
            <v>28089</v>
          </cell>
        </row>
        <row r="22">
          <cell r="A22" t="str">
            <v>VE1036</v>
          </cell>
          <cell r="B22">
            <v>101416000385</v>
          </cell>
          <cell r="C22" t="str">
            <v>3712893502</v>
          </cell>
          <cell r="D22">
            <v>28191</v>
          </cell>
        </row>
        <row r="23">
          <cell r="A23" t="str">
            <v>VE1037</v>
          </cell>
          <cell r="B23">
            <v>101545044266</v>
          </cell>
          <cell r="C23" t="str">
            <v>3713236287</v>
          </cell>
          <cell r="D23">
            <v>28167</v>
          </cell>
        </row>
        <row r="24">
          <cell r="A24" t="str">
            <v>VE1150</v>
          </cell>
          <cell r="B24">
            <v>101251905126</v>
          </cell>
          <cell r="C24" t="str">
            <v>3712407452</v>
          </cell>
          <cell r="D24">
            <v>28192</v>
          </cell>
        </row>
        <row r="25">
          <cell r="A25" t="str">
            <v>VE1030</v>
          </cell>
          <cell r="B25">
            <v>101231891786</v>
          </cell>
          <cell r="C25" t="str">
            <v>3713234958</v>
          </cell>
          <cell r="D25">
            <v>28261</v>
          </cell>
        </row>
        <row r="26">
          <cell r="A26" t="str">
            <v>VE1052</v>
          </cell>
          <cell r="B26">
            <v>101282530877</v>
          </cell>
          <cell r="C26" t="str">
            <v>3712407349</v>
          </cell>
          <cell r="D26">
            <v>28286</v>
          </cell>
        </row>
        <row r="27">
          <cell r="A27" t="str">
            <v>VE1246</v>
          </cell>
          <cell r="B27">
            <v>101503402090</v>
          </cell>
          <cell r="C27" t="str">
            <v>3713120193</v>
          </cell>
          <cell r="D27">
            <v>28194</v>
          </cell>
        </row>
        <row r="28">
          <cell r="A28" t="str">
            <v>VE1134</v>
          </cell>
          <cell r="B28">
            <v>101326833369</v>
          </cell>
          <cell r="C28" t="str">
            <v>3712541724</v>
          </cell>
          <cell r="D28">
            <v>28065</v>
          </cell>
        </row>
        <row r="29">
          <cell r="A29" t="str">
            <v>VE1163</v>
          </cell>
          <cell r="B29">
            <v>101326833519</v>
          </cell>
          <cell r="C29" t="str">
            <v>3712541996</v>
          </cell>
          <cell r="D29">
            <v>28262</v>
          </cell>
        </row>
        <row r="30">
          <cell r="A30" t="str">
            <v>VE1284</v>
          </cell>
          <cell r="B30">
            <v>101343971971</v>
          </cell>
          <cell r="C30" t="str">
            <v>3712586732</v>
          </cell>
          <cell r="D30">
            <v>28195</v>
          </cell>
        </row>
        <row r="31">
          <cell r="A31" t="str">
            <v>VE1199</v>
          </cell>
          <cell r="B31">
            <v>101326833353</v>
          </cell>
          <cell r="C31" t="str">
            <v>3711658220</v>
          </cell>
          <cell r="D31">
            <v>28133</v>
          </cell>
        </row>
        <row r="32">
          <cell r="A32" t="str">
            <v>VE1285</v>
          </cell>
          <cell r="B32">
            <v>101457996220</v>
          </cell>
          <cell r="C32" t="str">
            <v>3713236239</v>
          </cell>
          <cell r="D32">
            <v>28186</v>
          </cell>
        </row>
        <row r="33">
          <cell r="A33" t="str">
            <v>VE1038</v>
          </cell>
          <cell r="B33">
            <v>101419805834</v>
          </cell>
          <cell r="C33" t="str">
            <v>3713804688</v>
          </cell>
          <cell r="D33">
            <v>28092</v>
          </cell>
        </row>
        <row r="34">
          <cell r="A34" t="str">
            <v>VE1243</v>
          </cell>
          <cell r="B34">
            <v>101545045296</v>
          </cell>
          <cell r="C34" t="str">
            <v>3713236268</v>
          </cell>
          <cell r="D34">
            <v>28197</v>
          </cell>
        </row>
        <row r="35">
          <cell r="A35" t="str">
            <v>VE1286</v>
          </cell>
          <cell r="B35">
            <v>101416001605</v>
          </cell>
          <cell r="C35" t="str">
            <v>3713235501</v>
          </cell>
          <cell r="D35">
            <v>28279</v>
          </cell>
        </row>
        <row r="36">
          <cell r="A36" t="str">
            <v>VE1218</v>
          </cell>
          <cell r="B36">
            <v>101416880677</v>
          </cell>
          <cell r="C36" t="str">
            <v>3712018403</v>
          </cell>
          <cell r="D36">
            <v>28173</v>
          </cell>
        </row>
        <row r="37">
          <cell r="A37" t="str">
            <v>VE1012</v>
          </cell>
          <cell r="B37">
            <v>101193431614</v>
          </cell>
          <cell r="C37" t="str">
            <v>3712170743</v>
          </cell>
          <cell r="D37">
            <v>28269</v>
          </cell>
        </row>
        <row r="38">
          <cell r="A38" t="str">
            <v>VE1013</v>
          </cell>
          <cell r="B38">
            <v>101370080059</v>
          </cell>
          <cell r="C38" t="str">
            <v>3712661397</v>
          </cell>
          <cell r="D38">
            <v>28067</v>
          </cell>
        </row>
        <row r="39">
          <cell r="A39" t="str">
            <v>VE1015</v>
          </cell>
          <cell r="B39">
            <v>100770053022</v>
          </cell>
          <cell r="C39" t="str">
            <v>3711572813</v>
          </cell>
          <cell r="D39">
            <v>28281</v>
          </cell>
        </row>
        <row r="40">
          <cell r="A40" t="str">
            <v>VE1050</v>
          </cell>
          <cell r="B40">
            <v>101443470282</v>
          </cell>
          <cell r="C40" t="str">
            <v>3712916011</v>
          </cell>
          <cell r="D40">
            <v>28134</v>
          </cell>
        </row>
        <row r="41">
          <cell r="A41" t="str">
            <v>VE1170</v>
          </cell>
          <cell r="B41">
            <v>101190233113</v>
          </cell>
          <cell r="C41" t="str">
            <v>3713307140</v>
          </cell>
          <cell r="D41">
            <v>28094</v>
          </cell>
        </row>
        <row r="42">
          <cell r="A42" t="str">
            <v>VE1225</v>
          </cell>
          <cell r="B42">
            <v>101568672207</v>
          </cell>
          <cell r="C42" t="str">
            <v>3713337081</v>
          </cell>
          <cell r="D42">
            <v>28066</v>
          </cell>
        </row>
        <row r="43">
          <cell r="A43" t="str">
            <v>VE1020</v>
          </cell>
          <cell r="B43">
            <v>100769267275</v>
          </cell>
          <cell r="C43" t="str">
            <v>3711572809</v>
          </cell>
          <cell r="D43">
            <v>28280</v>
          </cell>
        </row>
        <row r="44">
          <cell r="A44" t="str">
            <v>VE1220</v>
          </cell>
          <cell r="B44">
            <v>101282529838</v>
          </cell>
          <cell r="C44" t="str">
            <v>3712407467</v>
          </cell>
          <cell r="D44">
            <v>28270</v>
          </cell>
        </row>
        <row r="45">
          <cell r="A45" t="str">
            <v>VE1125</v>
          </cell>
          <cell r="B45">
            <v>101469130995</v>
          </cell>
          <cell r="C45" t="str">
            <v>3713714134</v>
          </cell>
          <cell r="D45">
            <v>28259</v>
          </cell>
        </row>
        <row r="46">
          <cell r="A46" t="str">
            <v>VE1281</v>
          </cell>
          <cell r="B46">
            <v>101597699319</v>
          </cell>
          <cell r="C46" t="str">
            <v>3713633332</v>
          </cell>
          <cell r="D46">
            <v>28135</v>
          </cell>
        </row>
        <row r="47">
          <cell r="A47" t="str">
            <v>VE1027</v>
          </cell>
          <cell r="B47">
            <v>100174740765</v>
          </cell>
          <cell r="C47" t="str">
            <v>3713981220</v>
          </cell>
          <cell r="D47">
            <v>28260</v>
          </cell>
        </row>
        <row r="48">
          <cell r="A48" t="str">
            <v>VE1172</v>
          </cell>
          <cell r="B48">
            <v>101694600523</v>
          </cell>
          <cell r="C48" t="str">
            <v>3713803250</v>
          </cell>
          <cell r="D48">
            <v>28095</v>
          </cell>
        </row>
        <row r="49">
          <cell r="A49" t="str">
            <v>VE1019</v>
          </cell>
          <cell r="B49">
            <v>101412594586</v>
          </cell>
          <cell r="C49" t="str">
            <v>3712787480</v>
          </cell>
          <cell r="D49">
            <v>28272</v>
          </cell>
        </row>
        <row r="50">
          <cell r="A50" t="str">
            <v>VE1024</v>
          </cell>
          <cell r="B50">
            <v>101412594490</v>
          </cell>
          <cell r="C50" t="str">
            <v>3713907014</v>
          </cell>
          <cell r="D50">
            <v>28273</v>
          </cell>
        </row>
        <row r="51">
          <cell r="A51" t="str">
            <v>VE1025</v>
          </cell>
          <cell r="B51">
            <v>100747117564</v>
          </cell>
          <cell r="C51" t="str">
            <v>3712789196</v>
          </cell>
          <cell r="D51">
            <v>28263</v>
          </cell>
        </row>
        <row r="52">
          <cell r="A52" t="str">
            <v>VE1224</v>
          </cell>
          <cell r="B52">
            <v>101412594604</v>
          </cell>
          <cell r="C52" t="str">
            <v>3712787499</v>
          </cell>
          <cell r="D52">
            <v>28288</v>
          </cell>
        </row>
        <row r="53">
          <cell r="A53" t="str">
            <v>VE1141</v>
          </cell>
          <cell r="B53">
            <v>101412594540</v>
          </cell>
          <cell r="C53" t="str">
            <v>3713869637</v>
          </cell>
          <cell r="D53">
            <v>28287</v>
          </cell>
        </row>
        <row r="54">
          <cell r="A54" t="str">
            <v>VE1219</v>
          </cell>
          <cell r="B54">
            <v>101705756653</v>
          </cell>
          <cell r="C54" t="str">
            <v>3713845031</v>
          </cell>
          <cell r="D54">
            <v>28069</v>
          </cell>
        </row>
        <row r="55">
          <cell r="A55" t="str">
            <v>VE1051</v>
          </cell>
          <cell r="B55">
            <v>101650922402</v>
          </cell>
          <cell r="C55" t="str">
            <v>3713633962</v>
          </cell>
          <cell r="D55">
            <v>28234</v>
          </cell>
        </row>
        <row r="56">
          <cell r="A56" t="str">
            <v>VE1021</v>
          </cell>
          <cell r="B56">
            <v>101652878743</v>
          </cell>
          <cell r="C56" t="str">
            <v>3714195093</v>
          </cell>
          <cell r="D56">
            <v>28267</v>
          </cell>
        </row>
        <row r="57">
          <cell r="A57" t="str">
            <v>VE1031</v>
          </cell>
          <cell r="B57">
            <v>101753116046</v>
          </cell>
          <cell r="C57" t="str">
            <v>3714051395</v>
          </cell>
          <cell r="D57">
            <v>28188</v>
          </cell>
        </row>
        <row r="58">
          <cell r="A58" t="str">
            <v>VE1032</v>
          </cell>
          <cell r="B58">
            <v>101701438174</v>
          </cell>
          <cell r="C58" t="str">
            <v>3713974639</v>
          </cell>
          <cell r="D58">
            <v>28268</v>
          </cell>
        </row>
        <row r="59">
          <cell r="A59" t="str">
            <v>VE1026</v>
          </cell>
          <cell r="B59">
            <v>101247707981</v>
          </cell>
          <cell r="C59" t="str">
            <v>3713974689</v>
          </cell>
          <cell r="D59">
            <v>28096</v>
          </cell>
        </row>
        <row r="60">
          <cell r="A60" t="str">
            <v>VE1029</v>
          </cell>
          <cell r="B60">
            <v>101526284089</v>
          </cell>
          <cell r="C60" t="str">
            <v>3714195109</v>
          </cell>
          <cell r="D60">
            <v>28170</v>
          </cell>
        </row>
        <row r="61">
          <cell r="A61" t="str">
            <v>VE1022</v>
          </cell>
          <cell r="B61">
            <v>101753116033</v>
          </cell>
          <cell r="C61" t="str">
            <v>3714051371</v>
          </cell>
          <cell r="D61">
            <v>28199</v>
          </cell>
        </row>
        <row r="62">
          <cell r="A62" t="str">
            <v>VE1204</v>
          </cell>
          <cell r="B62">
            <v>101711525538</v>
          </cell>
          <cell r="C62" t="str">
            <v>3714608898</v>
          </cell>
          <cell r="D62">
            <v>28274</v>
          </cell>
        </row>
        <row r="63">
          <cell r="A63" t="str">
            <v>VE1203</v>
          </cell>
          <cell r="B63">
            <v>101597437952</v>
          </cell>
          <cell r="C63" t="str">
            <v>3713804794</v>
          </cell>
          <cell r="D63">
            <v>28136</v>
          </cell>
        </row>
        <row r="64">
          <cell r="A64" t="str">
            <v>VE1043</v>
          </cell>
          <cell r="B64">
            <v>101753116022</v>
          </cell>
          <cell r="C64" t="str">
            <v>3714051490</v>
          </cell>
          <cell r="D64">
            <v>28171</v>
          </cell>
        </row>
        <row r="65">
          <cell r="A65" t="str">
            <v>VE1004</v>
          </cell>
          <cell r="B65">
            <v>100663138489</v>
          </cell>
          <cell r="C65" t="str">
            <v>3714102714</v>
          </cell>
          <cell r="D65">
            <v>28290</v>
          </cell>
        </row>
        <row r="66">
          <cell r="A66" t="str">
            <v>VE1008</v>
          </cell>
          <cell r="B66">
            <v>101772773293</v>
          </cell>
          <cell r="C66" t="str">
            <v>3714146786</v>
          </cell>
          <cell r="D66">
            <v>28071</v>
          </cell>
        </row>
        <row r="67">
          <cell r="A67" t="str">
            <v>VE1005</v>
          </cell>
          <cell r="B67">
            <v>101784791955</v>
          </cell>
          <cell r="C67" t="str">
            <v>3714146660</v>
          </cell>
          <cell r="D67">
            <v>28190</v>
          </cell>
        </row>
        <row r="68">
          <cell r="A68" t="str">
            <v>VE1009</v>
          </cell>
          <cell r="B68">
            <v>101784792003</v>
          </cell>
          <cell r="C68" t="str">
            <v>3714146679</v>
          </cell>
          <cell r="D68">
            <v>28289</v>
          </cell>
        </row>
        <row r="69">
          <cell r="A69" t="str">
            <v>VE1028</v>
          </cell>
          <cell r="B69">
            <v>101779410163</v>
          </cell>
          <cell r="C69" t="str">
            <v>3714264170</v>
          </cell>
          <cell r="D69">
            <v>28070</v>
          </cell>
        </row>
        <row r="70">
          <cell r="A70" t="str">
            <v>VE1073</v>
          </cell>
          <cell r="B70">
            <v>101596426826</v>
          </cell>
          <cell r="C70" t="str">
            <v>3714264358</v>
          </cell>
          <cell r="D70">
            <v>28132</v>
          </cell>
        </row>
        <row r="71">
          <cell r="A71" t="str">
            <v>VE1202</v>
          </cell>
          <cell r="B71">
            <v>101650923327</v>
          </cell>
          <cell r="C71" t="str">
            <v>3714392892</v>
          </cell>
          <cell r="D71">
            <v>28172</v>
          </cell>
        </row>
        <row r="72">
          <cell r="A72" t="str">
            <v>VE1211</v>
          </cell>
          <cell r="B72">
            <v>101583533981</v>
          </cell>
          <cell r="C72" t="str">
            <v>3714636962</v>
          </cell>
          <cell r="D72">
            <v>28090</v>
          </cell>
        </row>
        <row r="73">
          <cell r="A73" t="str">
            <v>VE1042</v>
          </cell>
          <cell r="B73">
            <v>101810558345</v>
          </cell>
          <cell r="C73" t="str">
            <v>3714607930</v>
          </cell>
          <cell r="D73">
            <v>28213</v>
          </cell>
        </row>
        <row r="74">
          <cell r="A74" t="str">
            <v>VE1164</v>
          </cell>
          <cell r="B74">
            <v>101898017195</v>
          </cell>
          <cell r="C74" t="str">
            <v>3714607944</v>
          </cell>
          <cell r="D74">
            <v>28174</v>
          </cell>
        </row>
        <row r="75">
          <cell r="A75" t="str">
            <v>VE1148</v>
          </cell>
          <cell r="B75">
            <v>101855818154</v>
          </cell>
          <cell r="C75" t="str">
            <v>3714430254</v>
          </cell>
          <cell r="D75">
            <v>28068</v>
          </cell>
        </row>
        <row r="76">
          <cell r="A76" t="str">
            <v>VE1245</v>
          </cell>
          <cell r="B76">
            <v>101898017130</v>
          </cell>
          <cell r="C76" t="str">
            <v>3714608114</v>
          </cell>
          <cell r="D76">
            <v>28013</v>
          </cell>
        </row>
        <row r="77">
          <cell r="A77" t="str">
            <v>VE1364</v>
          </cell>
          <cell r="B77">
            <v>101553490054</v>
          </cell>
          <cell r="C77" t="str">
            <v>3714608398</v>
          </cell>
          <cell r="D77">
            <v>28077</v>
          </cell>
        </row>
        <row r="78">
          <cell r="A78" t="str">
            <v>VE1379</v>
          </cell>
          <cell r="B78">
            <v>101611795839</v>
          </cell>
          <cell r="C78" t="str">
            <v>3714608800</v>
          </cell>
          <cell r="D78">
            <v>28099</v>
          </cell>
        </row>
        <row r="79">
          <cell r="A79" t="str">
            <v>VE1392</v>
          </cell>
          <cell r="B79">
            <v>101664714166</v>
          </cell>
          <cell r="C79" t="str">
            <v>3714637050</v>
          </cell>
          <cell r="D79">
            <v>28427</v>
          </cell>
        </row>
        <row r="80">
          <cell r="A80" t="str">
            <v>VE1396</v>
          </cell>
          <cell r="B80">
            <v>101671188919</v>
          </cell>
          <cell r="C80" t="str">
            <v>3911284037</v>
          </cell>
          <cell r="D80">
            <v>28560</v>
          </cell>
        </row>
        <row r="81">
          <cell r="A81" t="str">
            <v>VE1397</v>
          </cell>
          <cell r="B81">
            <v>101909548491</v>
          </cell>
          <cell r="C81" t="str">
            <v>3911284038</v>
          </cell>
          <cell r="D81">
            <v>28553</v>
          </cell>
        </row>
        <row r="82">
          <cell r="A82" t="str">
            <v>VE1419</v>
          </cell>
          <cell r="B82">
            <v>101909548560</v>
          </cell>
          <cell r="C82" t="str">
            <v>3911284278</v>
          </cell>
          <cell r="D82">
            <v>28568</v>
          </cell>
        </row>
        <row r="83">
          <cell r="A83" t="str">
            <v>VE1428</v>
          </cell>
          <cell r="B83">
            <v>101910638925</v>
          </cell>
          <cell r="C83" t="str">
            <v>3911287154</v>
          </cell>
          <cell r="D83">
            <v>28592</v>
          </cell>
        </row>
        <row r="84">
          <cell r="A84" t="str">
            <v>VE1436</v>
          </cell>
          <cell r="B84">
            <v>101801058499</v>
          </cell>
          <cell r="C84" t="str">
            <v>3714703957</v>
          </cell>
          <cell r="D84">
            <v>28731</v>
          </cell>
        </row>
        <row r="85">
          <cell r="A85" t="str">
            <v>VE1451</v>
          </cell>
          <cell r="B85">
            <v>101922252453</v>
          </cell>
          <cell r="C85">
            <v>3714720210</v>
          </cell>
          <cell r="D85">
            <v>28795</v>
          </cell>
        </row>
        <row r="86">
          <cell r="A86" t="str">
            <v>VE1457</v>
          </cell>
          <cell r="B86">
            <v>101529149649</v>
          </cell>
          <cell r="C86">
            <v>3714747698</v>
          </cell>
          <cell r="D86">
            <v>28933</v>
          </cell>
        </row>
        <row r="87">
          <cell r="A87" t="str">
            <v>VE1463</v>
          </cell>
          <cell r="B87">
            <v>101929205932</v>
          </cell>
          <cell r="C87">
            <v>3714747718</v>
          </cell>
          <cell r="D87">
            <v>28926</v>
          </cell>
        </row>
        <row r="88">
          <cell r="A88" t="str">
            <v>VE1471</v>
          </cell>
          <cell r="B88">
            <v>101893497001</v>
          </cell>
          <cell r="C88">
            <v>3714802765</v>
          </cell>
          <cell r="D88">
            <v>29001</v>
          </cell>
        </row>
        <row r="89">
          <cell r="A89" t="str">
            <v>VE1514</v>
          </cell>
          <cell r="B89">
            <v>101952303611</v>
          </cell>
          <cell r="C89">
            <v>3714895989</v>
          </cell>
          <cell r="D89">
            <v>29171</v>
          </cell>
        </row>
        <row r="90">
          <cell r="A90" t="str">
            <v>VE1521</v>
          </cell>
          <cell r="B90">
            <v>101952302573</v>
          </cell>
          <cell r="C90">
            <v>3714896167</v>
          </cell>
          <cell r="D90">
            <v>29165</v>
          </cell>
        </row>
        <row r="91">
          <cell r="A91" t="str">
            <v>VE1525</v>
          </cell>
          <cell r="B91">
            <v>101959092192</v>
          </cell>
          <cell r="C91">
            <v>3714923142</v>
          </cell>
          <cell r="D91">
            <v>29289</v>
          </cell>
        </row>
        <row r="92">
          <cell r="A92" t="str">
            <v>VE1011</v>
          </cell>
          <cell r="B92">
            <v>101650922418</v>
          </cell>
          <cell r="C92" t="str">
            <v>3713633954</v>
          </cell>
          <cell r="D92">
            <v>28271</v>
          </cell>
        </row>
        <row r="93">
          <cell r="A93" t="str">
            <v>VE1067</v>
          </cell>
          <cell r="B93">
            <v>101296908870</v>
          </cell>
          <cell r="C93" t="str">
            <v>3712447081</v>
          </cell>
          <cell r="D93">
            <v>28093</v>
          </cell>
        </row>
        <row r="94">
          <cell r="A94" t="str">
            <v>VE1556</v>
          </cell>
          <cell r="B94">
            <v>101418120618</v>
          </cell>
          <cell r="C94">
            <v>3715122225</v>
          </cell>
          <cell r="D94">
            <v>29693</v>
          </cell>
        </row>
        <row r="95">
          <cell r="A95" t="str">
            <v>VE1518</v>
          </cell>
          <cell r="B95">
            <v>101155329130</v>
          </cell>
          <cell r="C95">
            <v>3713336818</v>
          </cell>
          <cell r="D95">
            <v>29186</v>
          </cell>
        </row>
        <row r="96">
          <cell r="A96" t="str">
            <v>VE1400</v>
          </cell>
          <cell r="B96">
            <v>101909548518</v>
          </cell>
          <cell r="C96" t="str">
            <v>3911284041</v>
          </cell>
          <cell r="D96">
            <v>28556</v>
          </cell>
        </row>
        <row r="97">
          <cell r="A97" t="str">
            <v>VE1443</v>
          </cell>
          <cell r="B97">
            <v>101698747541</v>
          </cell>
          <cell r="C97" t="str">
            <v>3714703932</v>
          </cell>
          <cell r="D97">
            <v>28729</v>
          </cell>
        </row>
        <row r="98">
          <cell r="A98" t="str">
            <v>VE1402</v>
          </cell>
          <cell r="B98">
            <v>101092765380</v>
          </cell>
          <cell r="C98" t="str">
            <v>3712873967</v>
          </cell>
          <cell r="D98">
            <v>28576</v>
          </cell>
        </row>
        <row r="99">
          <cell r="A99" t="str">
            <v>VE1249</v>
          </cell>
          <cell r="B99">
            <v>100751982187</v>
          </cell>
          <cell r="C99" t="str">
            <v>3711549149</v>
          </cell>
          <cell r="D99">
            <v>28201</v>
          </cell>
        </row>
        <row r="100">
          <cell r="A100" t="str">
            <v>VE1205</v>
          </cell>
          <cell r="B100">
            <v>101429911461</v>
          </cell>
          <cell r="C100" t="str">
            <v>3711549136</v>
          </cell>
          <cell r="D100">
            <v>28187</v>
          </cell>
        </row>
        <row r="101">
          <cell r="A101" t="str">
            <v>VE1247</v>
          </cell>
          <cell r="B101">
            <v>101568412015</v>
          </cell>
          <cell r="C101" t="str">
            <v>3713337155</v>
          </cell>
          <cell r="D101">
            <v>28202</v>
          </cell>
        </row>
        <row r="102">
          <cell r="A102" t="str">
            <v>VE1537</v>
          </cell>
          <cell r="B102" t="str">
            <v>101975270211</v>
          </cell>
          <cell r="C102">
            <v>3714971621</v>
          </cell>
          <cell r="D102">
            <v>29440</v>
          </cell>
        </row>
        <row r="103">
          <cell r="A103" t="str">
            <v>VE1295</v>
          </cell>
          <cell r="B103">
            <v>101575454331</v>
          </cell>
          <cell r="C103" t="str">
            <v>3714195258</v>
          </cell>
          <cell r="D103">
            <v>28233</v>
          </cell>
        </row>
        <row r="104">
          <cell r="A104" t="str">
            <v>VE1160</v>
          </cell>
          <cell r="B104">
            <v>101695348759</v>
          </cell>
          <cell r="C104" t="str">
            <v>3713974877</v>
          </cell>
          <cell r="D104">
            <v>28276</v>
          </cell>
        </row>
        <row r="105">
          <cell r="A105" t="str">
            <v>VE1084</v>
          </cell>
          <cell r="B105">
            <v>101442006372</v>
          </cell>
          <cell r="C105" t="str">
            <v>3712900666</v>
          </cell>
          <cell r="D105">
            <v>28091</v>
          </cell>
        </row>
        <row r="106">
          <cell r="A106" t="str">
            <v>VE1085</v>
          </cell>
          <cell r="B106">
            <v>101716991703</v>
          </cell>
          <cell r="C106" t="str">
            <v>3713907170</v>
          </cell>
          <cell r="D106">
            <v>28203</v>
          </cell>
        </row>
        <row r="107">
          <cell r="A107" t="str">
            <v>VE1162</v>
          </cell>
          <cell r="B107">
            <v>101870277895</v>
          </cell>
          <cell r="C107" t="str">
            <v>3714489059</v>
          </cell>
          <cell r="D107">
            <v>28189</v>
          </cell>
        </row>
        <row r="108">
          <cell r="A108" t="str">
            <v>VE1418</v>
          </cell>
          <cell r="B108">
            <v>101909548587</v>
          </cell>
          <cell r="C108" t="str">
            <v>3911284273</v>
          </cell>
          <cell r="D108">
            <v>28571</v>
          </cell>
        </row>
        <row r="109">
          <cell r="A109" t="str">
            <v>VE1440</v>
          </cell>
          <cell r="B109">
            <v>101919050890</v>
          </cell>
          <cell r="C109" t="str">
            <v>3714703124</v>
          </cell>
          <cell r="D109">
            <v>28739</v>
          </cell>
        </row>
        <row r="110">
          <cell r="A110" t="str">
            <v>VE1539</v>
          </cell>
          <cell r="B110" t="str">
            <v>101975270000</v>
          </cell>
          <cell r="C110">
            <v>3714995638</v>
          </cell>
          <cell r="D110">
            <v>29439</v>
          </cell>
        </row>
        <row r="111">
          <cell r="A111" t="str">
            <v>VE1047</v>
          </cell>
          <cell r="B111">
            <v>101282529855</v>
          </cell>
          <cell r="C111" t="str">
            <v>3712407419</v>
          </cell>
          <cell r="D111">
            <v>28291</v>
          </cell>
        </row>
        <row r="112">
          <cell r="A112" t="str">
            <v>VE1283</v>
          </cell>
          <cell r="B112">
            <v>101578100483</v>
          </cell>
          <cell r="C112" t="str">
            <v>3713381179</v>
          </cell>
          <cell r="D112">
            <v>28073</v>
          </cell>
        </row>
        <row r="113">
          <cell r="A113" t="str">
            <v>VE1046</v>
          </cell>
          <cell r="B113">
            <v>101694600547</v>
          </cell>
          <cell r="C113" t="str">
            <v>3713803232</v>
          </cell>
          <cell r="D113">
            <v>28277</v>
          </cell>
        </row>
        <row r="114">
          <cell r="A114" t="str">
            <v>VE1048</v>
          </cell>
          <cell r="B114">
            <v>101239952354</v>
          </cell>
          <cell r="C114" t="str">
            <v>3712295677</v>
          </cell>
          <cell r="D114">
            <v>28278</v>
          </cell>
        </row>
        <row r="115">
          <cell r="A115" t="str">
            <v>VE1049</v>
          </cell>
          <cell r="B115">
            <v>101640120948</v>
          </cell>
          <cell r="C115" t="str">
            <v>3714608130</v>
          </cell>
          <cell r="D115">
            <v>28078</v>
          </cell>
        </row>
        <row r="116">
          <cell r="A116" t="str">
            <v>VE1153</v>
          </cell>
          <cell r="B116">
            <v>101545405071</v>
          </cell>
          <cell r="C116" t="str">
            <v>3713236256</v>
          </cell>
          <cell r="D116">
            <v>28292</v>
          </cell>
        </row>
        <row r="117">
          <cell r="A117" t="str">
            <v>VE1161</v>
          </cell>
          <cell r="B117">
            <v>101601002884</v>
          </cell>
          <cell r="C117" t="str">
            <v>3713458072</v>
          </cell>
          <cell r="D117">
            <v>28168</v>
          </cell>
        </row>
        <row r="118">
          <cell r="A118" t="str">
            <v>VE1171</v>
          </cell>
          <cell r="B118">
            <v>101784791993</v>
          </cell>
          <cell r="C118" t="str">
            <v>3714146758</v>
          </cell>
          <cell r="D118">
            <v>28198</v>
          </cell>
        </row>
        <row r="119">
          <cell r="A119" t="str">
            <v>VE1258</v>
          </cell>
          <cell r="B119">
            <v>101772363362</v>
          </cell>
          <cell r="C119" t="str">
            <v>3714349932</v>
          </cell>
          <cell r="D119">
            <v>28293</v>
          </cell>
        </row>
        <row r="120">
          <cell r="A120" t="str">
            <v>VE1411</v>
          </cell>
          <cell r="B120">
            <v>101605226043</v>
          </cell>
          <cell r="C120" t="str">
            <v>3911284060</v>
          </cell>
          <cell r="D120">
            <v>28574</v>
          </cell>
        </row>
        <row r="121">
          <cell r="A121" t="str">
            <v>VE1459</v>
          </cell>
          <cell r="B121">
            <v>101416831574</v>
          </cell>
          <cell r="C121">
            <v>3710984178</v>
          </cell>
          <cell r="D121">
            <v>28928</v>
          </cell>
        </row>
        <row r="122">
          <cell r="A122" t="str">
            <v>VE1456</v>
          </cell>
          <cell r="B122">
            <v>101929205997</v>
          </cell>
          <cell r="C122">
            <v>3714747669</v>
          </cell>
          <cell r="D122">
            <v>28930</v>
          </cell>
        </row>
        <row r="123">
          <cell r="A123" t="str">
            <v>VE1536</v>
          </cell>
          <cell r="B123" t="str">
            <v>101884583781</v>
          </cell>
          <cell r="C123" t="str">
            <v>3713777651</v>
          </cell>
          <cell r="D123">
            <v>29441</v>
          </cell>
        </row>
        <row r="124">
          <cell r="A124" t="str">
            <v>VE1368</v>
          </cell>
          <cell r="B124">
            <v>101290528325</v>
          </cell>
          <cell r="C124" t="str">
            <v>3712964822</v>
          </cell>
          <cell r="D124">
            <v>28014</v>
          </cell>
        </row>
        <row r="125">
          <cell r="A125" t="str">
            <v>VE1391</v>
          </cell>
          <cell r="B125">
            <v>101895222458</v>
          </cell>
          <cell r="C125" t="str">
            <v>3714637065</v>
          </cell>
          <cell r="D125">
            <v>28426</v>
          </cell>
        </row>
        <row r="126">
          <cell r="A126" t="str">
            <v>VE1554</v>
          </cell>
          <cell r="B126">
            <v>101895222436</v>
          </cell>
          <cell r="C126" t="str">
            <v>3715116301</v>
          </cell>
          <cell r="D126">
            <v>29691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NCLINICAL"/>
      <sheetName val="CLINICAL"/>
      <sheetName val="Sheet1"/>
      <sheetName val="Sheet2"/>
      <sheetName val="RUFF"/>
    </sheetNames>
    <sheetDataSet>
      <sheetData sheetId="0">
        <row r="4">
          <cell r="A4" t="str">
            <v>VE1185</v>
          </cell>
          <cell r="B4">
            <v>101326833459</v>
          </cell>
          <cell r="C4" t="str">
            <v>3712541862</v>
          </cell>
        </row>
        <row r="5">
          <cell r="A5" t="str">
            <v>VE1114</v>
          </cell>
          <cell r="B5">
            <v>101225583363</v>
          </cell>
          <cell r="C5" t="str">
            <v>3713235336</v>
          </cell>
        </row>
        <row r="6">
          <cell r="A6" t="str">
            <v>VE1187</v>
          </cell>
          <cell r="B6">
            <v>101296908889</v>
          </cell>
          <cell r="C6" t="str">
            <v>3712447042</v>
          </cell>
        </row>
        <row r="7">
          <cell r="A7" t="str">
            <v>VE1186</v>
          </cell>
          <cell r="B7">
            <v>101197766260</v>
          </cell>
          <cell r="C7" t="str">
            <v>3712541987</v>
          </cell>
        </row>
        <row r="8">
          <cell r="A8" t="str">
            <v>VE1080</v>
          </cell>
          <cell r="B8">
            <v>101326833444</v>
          </cell>
          <cell r="C8" t="str">
            <v>3712541839</v>
          </cell>
        </row>
        <row r="9">
          <cell r="A9" t="str">
            <v>VE1116</v>
          </cell>
          <cell r="B9">
            <v>101416000392</v>
          </cell>
          <cell r="C9" t="str">
            <v>3712893503</v>
          </cell>
        </row>
        <row r="10">
          <cell r="A10" t="str">
            <v>VE1115</v>
          </cell>
          <cell r="B10">
            <v>101326833485</v>
          </cell>
          <cell r="C10" t="str">
            <v>3712541913</v>
          </cell>
        </row>
        <row r="11">
          <cell r="A11" t="str">
            <v>VE1117</v>
          </cell>
          <cell r="B11">
            <v>101264881033</v>
          </cell>
          <cell r="C11" t="str">
            <v>3712541958</v>
          </cell>
        </row>
        <row r="12">
          <cell r="A12" t="str">
            <v>VE1250</v>
          </cell>
          <cell r="B12">
            <v>101326833503</v>
          </cell>
          <cell r="C12" t="str">
            <v>3713527406</v>
          </cell>
        </row>
        <row r="13">
          <cell r="A13" t="str">
            <v>VE1006</v>
          </cell>
          <cell r="B13">
            <v>101326833416</v>
          </cell>
          <cell r="C13" t="str">
            <v>3712541770</v>
          </cell>
        </row>
        <row r="14">
          <cell r="A14" t="str">
            <v>VE1003</v>
          </cell>
          <cell r="B14">
            <v>101326833428</v>
          </cell>
          <cell r="C14" t="str">
            <v>3712541802</v>
          </cell>
        </row>
        <row r="15">
          <cell r="A15" t="str">
            <v>VE1079</v>
          </cell>
          <cell r="B15">
            <v>100901294699</v>
          </cell>
          <cell r="C15" t="str">
            <v>3712541887</v>
          </cell>
        </row>
        <row r="16">
          <cell r="A16" t="str">
            <v>VE1081</v>
          </cell>
          <cell r="B16">
            <v>101183875438</v>
          </cell>
          <cell r="C16" t="str">
            <v>3712541974</v>
          </cell>
        </row>
        <row r="17">
          <cell r="A17" t="str">
            <v>VE1010</v>
          </cell>
          <cell r="B17">
            <v>101253236683</v>
          </cell>
          <cell r="C17" t="str">
            <v>3712541965</v>
          </cell>
        </row>
        <row r="18">
          <cell r="A18" t="str">
            <v>VE1087</v>
          </cell>
          <cell r="B18">
            <v>101326833492</v>
          </cell>
          <cell r="C18" t="str">
            <v>3712541944</v>
          </cell>
        </row>
        <row r="19">
          <cell r="A19" t="str">
            <v>VE1088</v>
          </cell>
          <cell r="B19">
            <v>101326833437</v>
          </cell>
          <cell r="C19" t="str">
            <v>3712541812</v>
          </cell>
        </row>
        <row r="20">
          <cell r="A20" t="str">
            <v>VE1198</v>
          </cell>
          <cell r="B20">
            <v>100901795337</v>
          </cell>
          <cell r="C20" t="str">
            <v>3712541845</v>
          </cell>
        </row>
        <row r="21">
          <cell r="A21" t="str">
            <v>VE1036</v>
          </cell>
          <cell r="B21">
            <v>101416000385</v>
          </cell>
          <cell r="C21" t="str">
            <v>3712893502</v>
          </cell>
        </row>
        <row r="22">
          <cell r="A22" t="str">
            <v>VE1037</v>
          </cell>
          <cell r="B22">
            <v>101545044266</v>
          </cell>
          <cell r="C22" t="str">
            <v>3713236287</v>
          </cell>
        </row>
        <row r="23">
          <cell r="A23" t="str">
            <v>VE1150</v>
          </cell>
          <cell r="B23">
            <v>101251905126</v>
          </cell>
          <cell r="C23" t="str">
            <v>3712407452</v>
          </cell>
        </row>
        <row r="24">
          <cell r="A24" t="str">
            <v>VE1030</v>
          </cell>
          <cell r="B24">
            <v>101231891786</v>
          </cell>
          <cell r="C24" t="str">
            <v>3713234958</v>
          </cell>
        </row>
        <row r="25">
          <cell r="A25" t="str">
            <v>VE1052</v>
          </cell>
          <cell r="B25">
            <v>101282530877</v>
          </cell>
          <cell r="C25" t="str">
            <v>3712407349</v>
          </cell>
        </row>
        <row r="26">
          <cell r="A26" t="str">
            <v>VE1246</v>
          </cell>
          <cell r="B26">
            <v>101503402090</v>
          </cell>
          <cell r="C26" t="str">
            <v>3713120193</v>
          </cell>
        </row>
        <row r="27">
          <cell r="A27" t="str">
            <v>VE1134</v>
          </cell>
          <cell r="B27">
            <v>101326833369</v>
          </cell>
          <cell r="C27" t="str">
            <v>3712541724</v>
          </cell>
        </row>
        <row r="28">
          <cell r="A28" t="str">
            <v>VE1163</v>
          </cell>
          <cell r="B28">
            <v>101326833519</v>
          </cell>
          <cell r="C28" t="str">
            <v>3712541996</v>
          </cell>
        </row>
        <row r="29">
          <cell r="A29" t="str">
            <v>VE1284</v>
          </cell>
          <cell r="B29">
            <v>101343971971</v>
          </cell>
          <cell r="C29" t="str">
            <v>3712586732</v>
          </cell>
        </row>
        <row r="30">
          <cell r="A30" t="str">
            <v>VE1199</v>
          </cell>
          <cell r="B30">
            <v>101326833353</v>
          </cell>
          <cell r="C30" t="str">
            <v>3711658220</v>
          </cell>
        </row>
        <row r="31">
          <cell r="A31" t="str">
            <v>VE1285</v>
          </cell>
          <cell r="B31">
            <v>101457996220</v>
          </cell>
          <cell r="C31" t="str">
            <v>3713236239</v>
          </cell>
        </row>
        <row r="32">
          <cell r="A32" t="str">
            <v>VE1038</v>
          </cell>
          <cell r="B32">
            <v>101419805834</v>
          </cell>
          <cell r="C32" t="str">
            <v>3713804688</v>
          </cell>
        </row>
        <row r="33">
          <cell r="A33" t="str">
            <v>VE1243</v>
          </cell>
          <cell r="B33">
            <v>101545045296</v>
          </cell>
          <cell r="C33" t="str">
            <v>3713236268</v>
          </cell>
        </row>
        <row r="34">
          <cell r="A34" t="str">
            <v>VE1286</v>
          </cell>
          <cell r="B34">
            <v>101416001605</v>
          </cell>
          <cell r="C34" t="str">
            <v>3713235501</v>
          </cell>
        </row>
        <row r="35">
          <cell r="A35" t="str">
            <v>VE1218</v>
          </cell>
          <cell r="B35">
            <v>101416880677</v>
          </cell>
          <cell r="C35" t="str">
            <v>3712018403</v>
          </cell>
        </row>
        <row r="36">
          <cell r="A36" t="str">
            <v>VE1012</v>
          </cell>
          <cell r="B36">
            <v>101193431614</v>
          </cell>
          <cell r="C36" t="str">
            <v>3712170743</v>
          </cell>
        </row>
        <row r="37">
          <cell r="A37" t="str">
            <v>VE1013</v>
          </cell>
          <cell r="B37">
            <v>101370080059</v>
          </cell>
          <cell r="C37" t="str">
            <v>3712661397</v>
          </cell>
        </row>
        <row r="38">
          <cell r="A38" t="str">
            <v>VE1015</v>
          </cell>
          <cell r="B38">
            <v>100770053022</v>
          </cell>
          <cell r="C38" t="str">
            <v>3711572813</v>
          </cell>
        </row>
        <row r="39">
          <cell r="A39" t="str">
            <v>VE1050</v>
          </cell>
          <cell r="B39">
            <v>101443470282</v>
          </cell>
          <cell r="C39" t="str">
            <v>3712916011</v>
          </cell>
        </row>
        <row r="40">
          <cell r="A40" t="str">
            <v>VE1170</v>
          </cell>
          <cell r="B40">
            <v>101190233113</v>
          </cell>
          <cell r="C40" t="str">
            <v>3713307140</v>
          </cell>
        </row>
        <row r="41">
          <cell r="A41" t="str">
            <v>VE1225</v>
          </cell>
          <cell r="B41">
            <v>101568672207</v>
          </cell>
          <cell r="C41" t="str">
            <v>3713337081</v>
          </cell>
        </row>
        <row r="42">
          <cell r="A42" t="str">
            <v>VE1020</v>
          </cell>
          <cell r="B42">
            <v>100769267275</v>
          </cell>
          <cell r="C42" t="str">
            <v>3711572809</v>
          </cell>
        </row>
        <row r="43">
          <cell r="A43" t="str">
            <v>VE1220</v>
          </cell>
          <cell r="B43">
            <v>101282529838</v>
          </cell>
          <cell r="C43" t="str">
            <v>3712407467</v>
          </cell>
        </row>
        <row r="44">
          <cell r="A44" t="str">
            <v>VE1125</v>
          </cell>
          <cell r="B44">
            <v>101469130995</v>
          </cell>
          <cell r="C44" t="str">
            <v>3713714134</v>
          </cell>
        </row>
        <row r="45">
          <cell r="A45" t="str">
            <v>VE1281</v>
          </cell>
          <cell r="B45">
            <v>101597699319</v>
          </cell>
          <cell r="C45" t="str">
            <v>3713633332</v>
          </cell>
        </row>
        <row r="46">
          <cell r="A46" t="str">
            <v>VE1027</v>
          </cell>
          <cell r="B46">
            <v>100174740765</v>
          </cell>
          <cell r="C46" t="str">
            <v>3713981220</v>
          </cell>
        </row>
        <row r="47">
          <cell r="A47" t="str">
            <v>VE1011</v>
          </cell>
          <cell r="B47">
            <v>101650922418</v>
          </cell>
          <cell r="C47" t="str">
            <v>3713633954</v>
          </cell>
        </row>
        <row r="48">
          <cell r="A48" t="str">
            <v>VE1172</v>
          </cell>
          <cell r="B48">
            <v>101694600523</v>
          </cell>
          <cell r="C48" t="str">
            <v>3713803250</v>
          </cell>
        </row>
        <row r="49">
          <cell r="A49" t="str">
            <v>VE1019</v>
          </cell>
          <cell r="B49">
            <v>101412594586</v>
          </cell>
          <cell r="C49" t="str">
            <v>3712787480</v>
          </cell>
        </row>
        <row r="50">
          <cell r="A50" t="str">
            <v>VE1024</v>
          </cell>
          <cell r="B50">
            <v>101412594490</v>
          </cell>
          <cell r="C50" t="str">
            <v>3713907014</v>
          </cell>
        </row>
        <row r="51">
          <cell r="A51" t="str">
            <v>VE1025</v>
          </cell>
          <cell r="B51">
            <v>100747117564</v>
          </cell>
          <cell r="C51" t="str">
            <v>3712789196</v>
          </cell>
        </row>
        <row r="52">
          <cell r="A52" t="str">
            <v>VE1224</v>
          </cell>
          <cell r="B52">
            <v>101412594604</v>
          </cell>
          <cell r="C52" t="str">
            <v>3712787499</v>
          </cell>
        </row>
        <row r="53">
          <cell r="A53" t="str">
            <v>VE1141</v>
          </cell>
          <cell r="B53">
            <v>101412594540</v>
          </cell>
          <cell r="C53" t="str">
            <v>3713869637</v>
          </cell>
        </row>
        <row r="54">
          <cell r="A54" t="str">
            <v>VE1023</v>
          </cell>
          <cell r="B54">
            <v>101679858516</v>
          </cell>
          <cell r="C54" t="str">
            <v>3713852575</v>
          </cell>
        </row>
        <row r="55">
          <cell r="A55" t="str">
            <v>VE1219</v>
          </cell>
          <cell r="B55">
            <v>101705756653</v>
          </cell>
          <cell r="C55" t="str">
            <v>3713845031</v>
          </cell>
        </row>
        <row r="56">
          <cell r="A56" t="str">
            <v>VE1051</v>
          </cell>
          <cell r="B56">
            <v>101650922402</v>
          </cell>
          <cell r="C56" t="str">
            <v>3713633962</v>
          </cell>
        </row>
        <row r="57">
          <cell r="A57" t="str">
            <v>VE1021</v>
          </cell>
          <cell r="B57">
            <v>101652878743</v>
          </cell>
          <cell r="C57" t="str">
            <v>3714195093</v>
          </cell>
        </row>
        <row r="58">
          <cell r="A58" t="str">
            <v>VE1031</v>
          </cell>
          <cell r="B58">
            <v>101753116046</v>
          </cell>
          <cell r="C58" t="str">
            <v>3714051395</v>
          </cell>
        </row>
        <row r="59">
          <cell r="A59" t="str">
            <v>VE1032</v>
          </cell>
          <cell r="B59">
            <v>101701438174</v>
          </cell>
          <cell r="C59" t="str">
            <v>3713974639</v>
          </cell>
        </row>
        <row r="60">
          <cell r="A60" t="str">
            <v>VE1026</v>
          </cell>
          <cell r="B60">
            <v>101247707981</v>
          </cell>
          <cell r="C60" t="str">
            <v>3713974689</v>
          </cell>
        </row>
        <row r="61">
          <cell r="A61" t="str">
            <v>VE1029</v>
          </cell>
          <cell r="B61">
            <v>101526284089</v>
          </cell>
          <cell r="C61" t="str">
            <v>3714195109</v>
          </cell>
        </row>
        <row r="62">
          <cell r="A62" t="str">
            <v>VE1022</v>
          </cell>
          <cell r="B62">
            <v>101753116033</v>
          </cell>
          <cell r="C62" t="str">
            <v>3714051371</v>
          </cell>
        </row>
        <row r="63">
          <cell r="A63" t="str">
            <v>VE1204</v>
          </cell>
          <cell r="B63">
            <v>101711525538</v>
          </cell>
          <cell r="C63" t="str">
            <v>3714608898</v>
          </cell>
        </row>
        <row r="64">
          <cell r="A64" t="str">
            <v>VE1203</v>
          </cell>
          <cell r="B64">
            <v>101597437952</v>
          </cell>
          <cell r="C64" t="str">
            <v>3713804794</v>
          </cell>
        </row>
        <row r="65">
          <cell r="A65" t="str">
            <v>VE1043</v>
          </cell>
          <cell r="B65">
            <v>101753116022</v>
          </cell>
          <cell r="C65" t="str">
            <v>3714051490</v>
          </cell>
        </row>
        <row r="66">
          <cell r="A66" t="str">
            <v>VE1004</v>
          </cell>
          <cell r="B66">
            <v>100663138489</v>
          </cell>
          <cell r="C66" t="str">
            <v>3714102714</v>
          </cell>
        </row>
        <row r="67">
          <cell r="A67" t="str">
            <v>VE1008</v>
          </cell>
          <cell r="B67">
            <v>101772773293</v>
          </cell>
          <cell r="C67" t="str">
            <v>3714146786</v>
          </cell>
        </row>
        <row r="68">
          <cell r="A68" t="str">
            <v>VE1005</v>
          </cell>
          <cell r="B68">
            <v>101784791955</v>
          </cell>
          <cell r="C68" t="str">
            <v>3714146660</v>
          </cell>
        </row>
        <row r="69">
          <cell r="A69" t="str">
            <v>VE1009</v>
          </cell>
          <cell r="B69">
            <v>101784792003</v>
          </cell>
          <cell r="C69" t="str">
            <v>3714146679</v>
          </cell>
        </row>
        <row r="70">
          <cell r="A70" t="str">
            <v>VE1028</v>
          </cell>
          <cell r="B70">
            <v>101779410163</v>
          </cell>
          <cell r="C70" t="str">
            <v>3714264170</v>
          </cell>
        </row>
        <row r="71">
          <cell r="A71" t="str">
            <v>VE1073</v>
          </cell>
          <cell r="B71">
            <v>101596426826</v>
          </cell>
          <cell r="C71" t="str">
            <v>3714264358</v>
          </cell>
        </row>
        <row r="72">
          <cell r="A72" t="str">
            <v>VE1035</v>
          </cell>
          <cell r="B72">
            <v>101416000371</v>
          </cell>
          <cell r="C72" t="str">
            <v>3714264757</v>
          </cell>
        </row>
        <row r="73">
          <cell r="A73" t="str">
            <v>VE1202</v>
          </cell>
          <cell r="B73">
            <v>101650923327</v>
          </cell>
          <cell r="C73" t="str">
            <v>3714392892</v>
          </cell>
        </row>
        <row r="74">
          <cell r="A74" t="str">
            <v>VE1211</v>
          </cell>
          <cell r="B74">
            <v>101583533981</v>
          </cell>
          <cell r="C74" t="str">
            <v>3714636962</v>
          </cell>
        </row>
        <row r="75">
          <cell r="A75" t="str">
            <v>VE1042</v>
          </cell>
          <cell r="B75">
            <v>101810558345</v>
          </cell>
          <cell r="C75" t="str">
            <v>3714607930</v>
          </cell>
        </row>
        <row r="76">
          <cell r="A76" t="str">
            <v>VE1164</v>
          </cell>
          <cell r="B76">
            <v>101898017195</v>
          </cell>
          <cell r="C76" t="str">
            <v>3714607944</v>
          </cell>
        </row>
        <row r="77">
          <cell r="A77" t="str">
            <v>VE1148</v>
          </cell>
          <cell r="B77">
            <v>101855818154</v>
          </cell>
          <cell r="C77" t="str">
            <v>3714430254</v>
          </cell>
        </row>
        <row r="78">
          <cell r="A78" t="str">
            <v>VE1245</v>
          </cell>
          <cell r="B78">
            <v>101898017130</v>
          </cell>
          <cell r="C78" t="str">
            <v>3714608114</v>
          </cell>
        </row>
        <row r="79">
          <cell r="A79" t="str">
            <v>VE1364</v>
          </cell>
          <cell r="B79">
            <v>101553490054</v>
          </cell>
          <cell r="C79" t="str">
            <v>3714608398</v>
          </cell>
        </row>
        <row r="80">
          <cell r="A80" t="str">
            <v>VE1379</v>
          </cell>
          <cell r="B80">
            <v>101611795839</v>
          </cell>
          <cell r="C80" t="str">
            <v>3714608800</v>
          </cell>
        </row>
        <row r="81">
          <cell r="A81" t="str">
            <v>VE1392</v>
          </cell>
          <cell r="B81">
            <v>101664714166</v>
          </cell>
          <cell r="C81" t="str">
            <v>3714637050</v>
          </cell>
        </row>
        <row r="82">
          <cell r="A82" t="str">
            <v>VE1396</v>
          </cell>
          <cell r="B82">
            <v>101671188919</v>
          </cell>
          <cell r="C82" t="str">
            <v>3911284037</v>
          </cell>
        </row>
        <row r="83">
          <cell r="A83" t="str">
            <v>VE1397</v>
          </cell>
          <cell r="B83">
            <v>101909548491</v>
          </cell>
          <cell r="C83" t="str">
            <v>3911284038</v>
          </cell>
        </row>
        <row r="84">
          <cell r="A84" t="str">
            <v>VE1419</v>
          </cell>
          <cell r="B84">
            <v>101909548560</v>
          </cell>
          <cell r="C84" t="str">
            <v>3911284278</v>
          </cell>
        </row>
        <row r="85">
          <cell r="A85" t="str">
            <v>VE1421</v>
          </cell>
          <cell r="B85">
            <v>101466250785</v>
          </cell>
          <cell r="C85" t="str">
            <v>3911284291</v>
          </cell>
        </row>
        <row r="86">
          <cell r="A86" t="str">
            <v>VE1428</v>
          </cell>
          <cell r="B86">
            <v>101910638925</v>
          </cell>
          <cell r="C86" t="str">
            <v>3911287154</v>
          </cell>
        </row>
        <row r="87">
          <cell r="A87" t="str">
            <v>VE1429</v>
          </cell>
          <cell r="B87">
            <v>101438876721</v>
          </cell>
          <cell r="C87" t="str">
            <v>3911287151</v>
          </cell>
        </row>
        <row r="88">
          <cell r="A88" t="str">
            <v>VE1436</v>
          </cell>
          <cell r="B88">
            <v>101801058499</v>
          </cell>
          <cell r="C88" t="str">
            <v>3714703957</v>
          </cell>
        </row>
        <row r="89">
          <cell r="A89" t="str">
            <v>VE1451</v>
          </cell>
          <cell r="B89">
            <v>101922252453</v>
          </cell>
          <cell r="C89">
            <v>3714720210</v>
          </cell>
        </row>
        <row r="90">
          <cell r="A90" t="str">
            <v>VE1457</v>
          </cell>
          <cell r="B90">
            <v>101529149649</v>
          </cell>
          <cell r="C90">
            <v>3714747698</v>
          </cell>
        </row>
        <row r="91">
          <cell r="A91" t="str">
            <v>VE1463</v>
          </cell>
          <cell r="B91">
            <v>101929205932</v>
          </cell>
          <cell r="C91">
            <v>3714747718</v>
          </cell>
        </row>
        <row r="92">
          <cell r="A92" t="str">
            <v>VE1471</v>
          </cell>
          <cell r="B92">
            <v>101893497001</v>
          </cell>
          <cell r="C92">
            <v>3714802765</v>
          </cell>
        </row>
        <row r="93">
          <cell r="A93" t="str">
            <v>VE1472</v>
          </cell>
          <cell r="B93">
            <v>101938302913</v>
          </cell>
          <cell r="C93">
            <v>3714812312</v>
          </cell>
        </row>
        <row r="94">
          <cell r="A94" t="str">
            <v>VE1473</v>
          </cell>
          <cell r="B94">
            <v>101896260416</v>
          </cell>
          <cell r="C94">
            <v>3714812314</v>
          </cell>
        </row>
        <row r="95">
          <cell r="A95" t="str">
            <v>VE1400</v>
          </cell>
          <cell r="B95">
            <v>101909548518</v>
          </cell>
          <cell r="C95" t="str">
            <v>3911284041</v>
          </cell>
        </row>
        <row r="96">
          <cell r="A96" t="str">
            <v>VE1443</v>
          </cell>
          <cell r="B96">
            <v>101698747541</v>
          </cell>
          <cell r="C96" t="str">
            <v>3714703932</v>
          </cell>
        </row>
        <row r="97">
          <cell r="A97" t="str">
            <v>VE1402</v>
          </cell>
          <cell r="B97">
            <v>101092765380</v>
          </cell>
          <cell r="C97" t="str">
            <v>3712873967</v>
          </cell>
        </row>
        <row r="98">
          <cell r="A98" t="str">
            <v>VE1249</v>
          </cell>
          <cell r="B98">
            <v>100751982187</v>
          </cell>
          <cell r="C98" t="str">
            <v>3711549149</v>
          </cell>
        </row>
        <row r="99">
          <cell r="A99" t="str">
            <v>VE1248</v>
          </cell>
          <cell r="B99">
            <v>101429909124</v>
          </cell>
          <cell r="C99" t="str">
            <v>3711549133</v>
          </cell>
        </row>
        <row r="100">
          <cell r="A100" t="str">
            <v>VE1205</v>
          </cell>
          <cell r="B100">
            <v>101429911461</v>
          </cell>
          <cell r="C100" t="str">
            <v>3711549136</v>
          </cell>
        </row>
        <row r="101">
          <cell r="A101" t="str">
            <v>VE1247</v>
          </cell>
          <cell r="B101">
            <v>101568412015</v>
          </cell>
          <cell r="C101" t="str">
            <v>3713337155</v>
          </cell>
        </row>
        <row r="102">
          <cell r="A102" t="str">
            <v>VE1295</v>
          </cell>
          <cell r="B102">
            <v>101575454331</v>
          </cell>
          <cell r="C102" t="str">
            <v>3714195258</v>
          </cell>
        </row>
        <row r="103">
          <cell r="A103" t="str">
            <v>VE1160</v>
          </cell>
          <cell r="B103">
            <v>101695348759</v>
          </cell>
          <cell r="C103" t="str">
            <v>3713974877</v>
          </cell>
        </row>
        <row r="104">
          <cell r="A104" t="str">
            <v>VE1084</v>
          </cell>
          <cell r="B104">
            <v>101442006372</v>
          </cell>
          <cell r="C104" t="str">
            <v>3712900666</v>
          </cell>
        </row>
        <row r="105">
          <cell r="A105" t="str">
            <v>VE1085</v>
          </cell>
          <cell r="B105">
            <v>101716991703</v>
          </cell>
          <cell r="C105" t="str">
            <v>3713907170</v>
          </cell>
        </row>
        <row r="106">
          <cell r="A106" t="str">
            <v>VE1162</v>
          </cell>
          <cell r="B106">
            <v>101870277895</v>
          </cell>
          <cell r="C106" t="str">
            <v>3714489059</v>
          </cell>
        </row>
        <row r="107">
          <cell r="A107" t="str">
            <v>VE1418</v>
          </cell>
          <cell r="B107">
            <v>101909548587</v>
          </cell>
          <cell r="C107" t="str">
            <v>3911284273</v>
          </cell>
        </row>
        <row r="108">
          <cell r="A108" t="str">
            <v>VE1440</v>
          </cell>
          <cell r="B108">
            <v>101919050890</v>
          </cell>
          <cell r="C108" t="str">
            <v>3714703124</v>
          </cell>
        </row>
        <row r="109">
          <cell r="A109" t="str">
            <v>VE1450</v>
          </cell>
          <cell r="B109">
            <v>101922252448</v>
          </cell>
          <cell r="C109">
            <v>3714720207</v>
          </cell>
        </row>
        <row r="110">
          <cell r="A110" t="str">
            <v>VE1047</v>
          </cell>
          <cell r="B110">
            <v>101282529855</v>
          </cell>
          <cell r="C110" t="str">
            <v>3712407419</v>
          </cell>
        </row>
        <row r="111">
          <cell r="A111" t="str">
            <v>VE1283</v>
          </cell>
          <cell r="B111">
            <v>101578100483</v>
          </cell>
          <cell r="C111" t="str">
            <v>3713381179</v>
          </cell>
        </row>
        <row r="112">
          <cell r="A112" t="str">
            <v>VE1046</v>
          </cell>
          <cell r="B112">
            <v>101694600547</v>
          </cell>
          <cell r="C112" t="str">
            <v>3713803232</v>
          </cell>
        </row>
        <row r="113">
          <cell r="A113" t="str">
            <v>VE1048</v>
          </cell>
          <cell r="B113">
            <v>101239952354</v>
          </cell>
          <cell r="C113" t="str">
            <v>3712295677</v>
          </cell>
        </row>
        <row r="114">
          <cell r="A114" t="str">
            <v>VE1049</v>
          </cell>
          <cell r="B114">
            <v>101640120948</v>
          </cell>
          <cell r="C114" t="str">
            <v>3714608130</v>
          </cell>
        </row>
        <row r="115">
          <cell r="A115" t="str">
            <v>VE1153</v>
          </cell>
          <cell r="B115">
            <v>101545405071</v>
          </cell>
          <cell r="C115" t="str">
            <v>3713236256</v>
          </cell>
        </row>
        <row r="116">
          <cell r="A116" t="str">
            <v>VE1282</v>
          </cell>
          <cell r="B116">
            <v>101190531409</v>
          </cell>
          <cell r="C116" t="str">
            <v>3712895736</v>
          </cell>
        </row>
        <row r="117">
          <cell r="A117" t="str">
            <v>VE1002</v>
          </cell>
          <cell r="B117">
            <v>101585791969</v>
          </cell>
          <cell r="C117" t="str">
            <v>3713633239</v>
          </cell>
        </row>
        <row r="118">
          <cell r="A118" t="str">
            <v>VE1161</v>
          </cell>
          <cell r="B118">
            <v>101601002884</v>
          </cell>
          <cell r="C118" t="str">
            <v>3713458072</v>
          </cell>
        </row>
        <row r="119">
          <cell r="A119" t="str">
            <v>VE1171</v>
          </cell>
          <cell r="B119">
            <v>101784791993</v>
          </cell>
          <cell r="C119" t="str">
            <v>3714146758</v>
          </cell>
        </row>
        <row r="120">
          <cell r="A120" t="str">
            <v>VE1258</v>
          </cell>
          <cell r="B120">
            <v>101772363362</v>
          </cell>
          <cell r="C120" t="str">
            <v>3714349932</v>
          </cell>
        </row>
        <row r="121">
          <cell r="A121" t="str">
            <v>VE1410</v>
          </cell>
          <cell r="B121">
            <v>101486598579</v>
          </cell>
          <cell r="C121" t="str">
            <v>3713055953</v>
          </cell>
        </row>
        <row r="122">
          <cell r="A122" t="str">
            <v>VE1411</v>
          </cell>
          <cell r="B122">
            <v>101605226043</v>
          </cell>
          <cell r="C122" t="str">
            <v>3911284060</v>
          </cell>
        </row>
        <row r="123">
          <cell r="A123" t="str">
            <v>VE1456</v>
          </cell>
          <cell r="B123">
            <v>101929205997</v>
          </cell>
          <cell r="C123">
            <v>3714747669</v>
          </cell>
        </row>
        <row r="124">
          <cell r="A124" t="str">
            <v>VE1458</v>
          </cell>
          <cell r="B124">
            <v>101929206425</v>
          </cell>
          <cell r="C124">
            <v>3714747701</v>
          </cell>
        </row>
        <row r="125">
          <cell r="A125" t="str">
            <v>VE1459</v>
          </cell>
          <cell r="B125">
            <v>101416831574</v>
          </cell>
          <cell r="C125">
            <v>3710984178</v>
          </cell>
        </row>
        <row r="126">
          <cell r="A126" t="str">
            <v>VE1368</v>
          </cell>
          <cell r="B126">
            <v>101290528325</v>
          </cell>
          <cell r="C126" t="str">
            <v>3712964822</v>
          </cell>
        </row>
        <row r="127">
          <cell r="A127" t="str">
            <v>VE1391</v>
          </cell>
          <cell r="B127">
            <v>101895222458</v>
          </cell>
          <cell r="C127" t="str">
            <v>3714637065</v>
          </cell>
        </row>
        <row r="128">
          <cell r="A128" t="str">
            <v>VE3003</v>
          </cell>
          <cell r="B128">
            <v>101275388071</v>
          </cell>
          <cell r="C128" t="str">
            <v>3712541931</v>
          </cell>
        </row>
        <row r="129">
          <cell r="A129" t="str">
            <v>VE3004</v>
          </cell>
          <cell r="B129">
            <v>101711446676</v>
          </cell>
          <cell r="C129" t="str">
            <v>3713867411</v>
          </cell>
        </row>
        <row r="130">
          <cell r="A130" t="str">
            <v>VE3002</v>
          </cell>
          <cell r="B130">
            <v>101816422664</v>
          </cell>
          <cell r="C130" t="str">
            <v>3714266811</v>
          </cell>
        </row>
        <row r="131">
          <cell r="A131" t="str">
            <v>VE2013</v>
          </cell>
          <cell r="B131">
            <v>101330685190</v>
          </cell>
          <cell r="C131" t="str">
            <v>3712876280</v>
          </cell>
        </row>
        <row r="132">
          <cell r="A132" t="str">
            <v>VE2016</v>
          </cell>
          <cell r="B132">
            <v>101653003755</v>
          </cell>
          <cell r="C132" t="str">
            <v>3714344994</v>
          </cell>
        </row>
        <row r="133">
          <cell r="A133" t="str">
            <v>VE2014</v>
          </cell>
          <cell r="B133">
            <v>101169673700</v>
          </cell>
          <cell r="C133" t="str">
            <v>3713908860</v>
          </cell>
        </row>
        <row r="134">
          <cell r="A134" t="str">
            <v>VE2015</v>
          </cell>
          <cell r="B134">
            <v>101412594777</v>
          </cell>
          <cell r="C134" t="str">
            <v>3713860814</v>
          </cell>
        </row>
        <row r="135">
          <cell r="A135" t="str">
            <v>VE2002</v>
          </cell>
          <cell r="B135">
            <v>101811775593</v>
          </cell>
          <cell r="C135" t="str">
            <v>3714254867</v>
          </cell>
        </row>
        <row r="136">
          <cell r="A136" t="str">
            <v>VE2017</v>
          </cell>
          <cell r="B136">
            <v>101017224965</v>
          </cell>
          <cell r="C136" t="str">
            <v>3714608378</v>
          </cell>
        </row>
        <row r="137">
          <cell r="A137" t="str">
            <v>VE2019</v>
          </cell>
          <cell r="B137">
            <v>101934598265</v>
          </cell>
          <cell r="C137">
            <v>3714786627</v>
          </cell>
        </row>
        <row r="138">
          <cell r="A138" t="str">
            <v>VE4009</v>
          </cell>
          <cell r="B138">
            <v>101429911517</v>
          </cell>
          <cell r="C138" t="str">
            <v>3713274096</v>
          </cell>
        </row>
        <row r="139">
          <cell r="A139" t="str">
            <v>VE4002</v>
          </cell>
          <cell r="B139">
            <v>101526149054</v>
          </cell>
          <cell r="C139" t="str">
            <v>3713274240</v>
          </cell>
        </row>
        <row r="140">
          <cell r="A140" t="str">
            <v>VE4010</v>
          </cell>
          <cell r="B140">
            <v>101552382813</v>
          </cell>
          <cell r="C140" t="str">
            <v>3713503498</v>
          </cell>
        </row>
        <row r="141">
          <cell r="A141" t="str">
            <v>VE4003</v>
          </cell>
          <cell r="B141">
            <v>101465040614</v>
          </cell>
          <cell r="C141" t="str">
            <v>3714193920</v>
          </cell>
        </row>
        <row r="142">
          <cell r="A142" t="str">
            <v>VE4004</v>
          </cell>
          <cell r="B142">
            <v>101695343138</v>
          </cell>
          <cell r="C142" t="str">
            <v>3713934358</v>
          </cell>
        </row>
        <row r="143">
          <cell r="A143" t="str">
            <v>VE4005</v>
          </cell>
          <cell r="B143">
            <v>101834054045</v>
          </cell>
          <cell r="C143" t="str">
            <v>3714349777</v>
          </cell>
        </row>
        <row r="144">
          <cell r="A144" t="str">
            <v>VE4011</v>
          </cell>
          <cell r="B144">
            <v>101832936903</v>
          </cell>
          <cell r="C144" t="str">
            <v>3714344424</v>
          </cell>
        </row>
        <row r="145">
          <cell r="A145" t="str">
            <v>VE1001</v>
          </cell>
          <cell r="B145">
            <v>100798048634</v>
          </cell>
          <cell r="C145" t="str">
            <v>3714194696</v>
          </cell>
        </row>
        <row r="146">
          <cell r="A146" t="str">
            <v>VE0101</v>
          </cell>
          <cell r="B146" t="str">
            <v>-</v>
          </cell>
          <cell r="C146" t="str">
            <v>-</v>
          </cell>
        </row>
        <row r="147">
          <cell r="A147" t="str">
            <v>VE0102</v>
          </cell>
          <cell r="B147" t="str">
            <v>-</v>
          </cell>
          <cell r="C147" t="str">
            <v>-</v>
          </cell>
        </row>
        <row r="159">
          <cell r="A159" t="str">
            <v>VE1449</v>
          </cell>
          <cell r="B159">
            <v>101429729209</v>
          </cell>
          <cell r="C159">
            <v>3713849686</v>
          </cell>
        </row>
        <row r="160">
          <cell r="A160" t="str">
            <v>VE1461</v>
          </cell>
          <cell r="B160">
            <v>101929206004</v>
          </cell>
          <cell r="C160">
            <v>3714747708</v>
          </cell>
        </row>
        <row r="161">
          <cell r="A161" t="str">
            <v>VE1067</v>
          </cell>
          <cell r="B161">
            <v>101296908870</v>
          </cell>
          <cell r="C161" t="str">
            <v>3712447081</v>
          </cell>
        </row>
        <row r="162">
          <cell r="A162" t="str">
            <v>VE1007</v>
          </cell>
          <cell r="B162">
            <v>101409985409</v>
          </cell>
          <cell r="C162" t="str">
            <v>3811243094</v>
          </cell>
        </row>
        <row r="163">
          <cell r="A163" t="str">
            <v>VE1394</v>
          </cell>
          <cell r="B163">
            <v>101903119940</v>
          </cell>
          <cell r="C163" t="str">
            <v>3714637074</v>
          </cell>
        </row>
        <row r="164">
          <cell r="A164" t="str">
            <v>VE1422</v>
          </cell>
          <cell r="B164">
            <v>101909548556</v>
          </cell>
          <cell r="C164" t="str">
            <v>3911284297</v>
          </cell>
        </row>
        <row r="165">
          <cell r="A165" t="str">
            <v>VE4001</v>
          </cell>
          <cell r="B165">
            <v>101613311758</v>
          </cell>
          <cell r="C165" t="str">
            <v>3714249533</v>
          </cell>
        </row>
        <row r="166">
          <cell r="A166" t="str">
            <v>VE1431</v>
          </cell>
          <cell r="B166">
            <v>101919050842</v>
          </cell>
          <cell r="C166" t="str">
            <v>3714702566</v>
          </cell>
        </row>
        <row r="167">
          <cell r="A167" t="str">
            <v>VE2003</v>
          </cell>
          <cell r="B167">
            <v>101599572329</v>
          </cell>
          <cell r="C167">
            <v>3713459400</v>
          </cell>
        </row>
        <row r="168">
          <cell r="A168" t="str">
            <v>VE1401</v>
          </cell>
          <cell r="B168">
            <v>101909548525</v>
          </cell>
          <cell r="C168" t="str">
            <v>3911284042</v>
          </cell>
        </row>
        <row r="169">
          <cell r="A169" t="str">
            <v>VE1393</v>
          </cell>
          <cell r="B169">
            <v>101560523692</v>
          </cell>
          <cell r="C169">
            <v>3714637059</v>
          </cell>
        </row>
        <row r="170">
          <cell r="A170" t="str">
            <v>VE1378</v>
          </cell>
          <cell r="B170">
            <v>101898017176</v>
          </cell>
          <cell r="C170" t="str">
            <v>3714608770</v>
          </cell>
        </row>
      </sheetData>
      <sheetData sheetId="1">
        <row r="4">
          <cell r="A4" t="str">
            <v>VE1104</v>
          </cell>
          <cell r="B4">
            <v>101545045190</v>
          </cell>
          <cell r="C4" t="str">
            <v>3713236752</v>
          </cell>
        </row>
        <row r="5">
          <cell r="A5" t="str">
            <v>VE1179</v>
          </cell>
          <cell r="B5">
            <v>101544532875</v>
          </cell>
          <cell r="C5" t="str">
            <v>3713233945</v>
          </cell>
        </row>
        <row r="6">
          <cell r="A6" t="str">
            <v>VE1227</v>
          </cell>
          <cell r="B6">
            <v>101568411941</v>
          </cell>
          <cell r="C6" t="str">
            <v>3713338877</v>
          </cell>
        </row>
        <row r="7">
          <cell r="A7" t="str">
            <v>VE1297</v>
          </cell>
          <cell r="B7">
            <v>101491105237</v>
          </cell>
          <cell r="C7" t="str">
            <v>3713082757</v>
          </cell>
        </row>
        <row r="8">
          <cell r="A8" t="str">
            <v>VE1144</v>
          </cell>
          <cell r="B8">
            <v>101640966510</v>
          </cell>
          <cell r="C8" t="str">
            <v>3713236832</v>
          </cell>
        </row>
        <row r="9">
          <cell r="A9" t="str">
            <v>VE1183</v>
          </cell>
          <cell r="B9">
            <v>101378318614</v>
          </cell>
          <cell r="C9" t="str">
            <v>3713120054</v>
          </cell>
        </row>
        <row r="10">
          <cell r="A10" t="str">
            <v>VE1236</v>
          </cell>
          <cell r="B10">
            <v>101370080016</v>
          </cell>
          <cell r="C10" t="str">
            <v>3712661356</v>
          </cell>
        </row>
        <row r="11">
          <cell r="A11" t="str">
            <v>VE1298</v>
          </cell>
          <cell r="B11">
            <v>101434385626</v>
          </cell>
          <cell r="C11" t="str">
            <v>3713082777</v>
          </cell>
        </row>
        <row r="12">
          <cell r="A12" t="str">
            <v>VE1299</v>
          </cell>
          <cell r="B12">
            <v>101413352361</v>
          </cell>
          <cell r="C12" t="str">
            <v>3712893461</v>
          </cell>
        </row>
        <row r="13">
          <cell r="A13" t="str">
            <v>VE1180</v>
          </cell>
          <cell r="B13">
            <v>101210948254</v>
          </cell>
          <cell r="C13" t="str">
            <v>3712893481</v>
          </cell>
        </row>
        <row r="14">
          <cell r="A14" t="str">
            <v>VE1101</v>
          </cell>
          <cell r="B14">
            <v>101545405085</v>
          </cell>
          <cell r="C14" t="str">
            <v>3713278257</v>
          </cell>
        </row>
        <row r="15">
          <cell r="A15" t="str">
            <v>VE1126</v>
          </cell>
          <cell r="B15">
            <v>101545045126</v>
          </cell>
          <cell r="C15" t="str">
            <v>3713236449</v>
          </cell>
        </row>
        <row r="16">
          <cell r="A16" t="str">
            <v>VE1120</v>
          </cell>
          <cell r="B16">
            <v>101370080028</v>
          </cell>
          <cell r="C16" t="str">
            <v>3712661339</v>
          </cell>
        </row>
        <row r="17">
          <cell r="A17" t="str">
            <v>VE1237</v>
          </cell>
          <cell r="B17">
            <v>101317331501</v>
          </cell>
          <cell r="C17" t="str">
            <v>3712893495</v>
          </cell>
        </row>
        <row r="18">
          <cell r="A18" t="str">
            <v>VE1301</v>
          </cell>
          <cell r="B18">
            <v>101208804914</v>
          </cell>
          <cell r="C18" t="str">
            <v>3712212158</v>
          </cell>
        </row>
        <row r="19">
          <cell r="A19" t="str">
            <v>VE1213</v>
          </cell>
          <cell r="B19">
            <v>101379470057</v>
          </cell>
          <cell r="C19" t="str">
            <v>3712701501</v>
          </cell>
        </row>
        <row r="20">
          <cell r="A20" t="str">
            <v>VE1091</v>
          </cell>
          <cell r="B20">
            <v>101544533509</v>
          </cell>
          <cell r="C20" t="str">
            <v>3713278125</v>
          </cell>
        </row>
        <row r="21">
          <cell r="A21" t="str">
            <v>VE1273</v>
          </cell>
          <cell r="B21">
            <v>101258607119</v>
          </cell>
          <cell r="C21" t="str">
            <v>3713236492</v>
          </cell>
        </row>
        <row r="22">
          <cell r="A22" t="str">
            <v>VE1119</v>
          </cell>
          <cell r="B22">
            <v>101503402019</v>
          </cell>
          <cell r="C22" t="str">
            <v>3713120051</v>
          </cell>
        </row>
        <row r="23">
          <cell r="A23" t="str">
            <v>VE1090</v>
          </cell>
          <cell r="B23">
            <v>101370154252</v>
          </cell>
          <cell r="C23" t="str">
            <v>3712661336</v>
          </cell>
        </row>
        <row r="24">
          <cell r="A24" t="str">
            <v>VE1178</v>
          </cell>
          <cell r="B24">
            <v>101491105244</v>
          </cell>
          <cell r="C24" t="str">
            <v>3713082769</v>
          </cell>
        </row>
        <row r="25">
          <cell r="A25" t="str">
            <v>VE1097</v>
          </cell>
          <cell r="B25">
            <v>101296955207</v>
          </cell>
          <cell r="C25" t="str">
            <v>3712454766</v>
          </cell>
        </row>
        <row r="26">
          <cell r="A26" t="str">
            <v>VE1216</v>
          </cell>
          <cell r="B26">
            <v>101545405059</v>
          </cell>
          <cell r="C26" t="str">
            <v>3713236443</v>
          </cell>
        </row>
        <row r="27">
          <cell r="A27" t="str">
            <v>VE1201</v>
          </cell>
          <cell r="B27">
            <v>101545045334</v>
          </cell>
          <cell r="C27" t="str">
            <v>3713278211</v>
          </cell>
        </row>
        <row r="28">
          <cell r="A28" t="str">
            <v>VE1177</v>
          </cell>
          <cell r="B28">
            <v>101398495086</v>
          </cell>
          <cell r="C28" t="str">
            <v>3713234147</v>
          </cell>
        </row>
        <row r="29">
          <cell r="A29" t="str">
            <v>VE1228</v>
          </cell>
          <cell r="B29">
            <v>101282529829</v>
          </cell>
          <cell r="C29" t="str">
            <v>3712407495</v>
          </cell>
        </row>
        <row r="30">
          <cell r="A30" t="str">
            <v>VE1304</v>
          </cell>
          <cell r="B30">
            <v>101311137070</v>
          </cell>
          <cell r="C30" t="str">
            <v>3713278160</v>
          </cell>
        </row>
        <row r="31">
          <cell r="A31" t="str">
            <v>VE1121</v>
          </cell>
          <cell r="B31">
            <v>101457996853</v>
          </cell>
          <cell r="C31" t="str">
            <v>3713073319</v>
          </cell>
        </row>
        <row r="32">
          <cell r="A32" t="str">
            <v>VE1305</v>
          </cell>
          <cell r="B32">
            <v>101503402026</v>
          </cell>
          <cell r="C32" t="str">
            <v>3713120185</v>
          </cell>
        </row>
        <row r="33">
          <cell r="A33" t="str">
            <v>VE1278</v>
          </cell>
          <cell r="B33">
            <v>101415495014</v>
          </cell>
          <cell r="C33" t="str">
            <v>3712893486</v>
          </cell>
        </row>
        <row r="34">
          <cell r="A34" t="str">
            <v>VE1306</v>
          </cell>
          <cell r="B34">
            <v>101583533975</v>
          </cell>
          <cell r="C34" t="str">
            <v>3713381185</v>
          </cell>
        </row>
        <row r="35">
          <cell r="A35" t="str">
            <v>VE1280</v>
          </cell>
          <cell r="B35">
            <v>101586820533</v>
          </cell>
          <cell r="C35" t="str">
            <v>3713405214</v>
          </cell>
        </row>
        <row r="36">
          <cell r="A36" t="str">
            <v>VE1238</v>
          </cell>
          <cell r="B36">
            <v>101406845895</v>
          </cell>
          <cell r="C36" t="str">
            <v>3714194849</v>
          </cell>
        </row>
        <row r="37">
          <cell r="A37" t="str">
            <v>VE1254</v>
          </cell>
          <cell r="B37">
            <v>101596227768</v>
          </cell>
          <cell r="C37" t="str">
            <v>3713454255</v>
          </cell>
        </row>
        <row r="38">
          <cell r="A38" t="str">
            <v>VE1137</v>
          </cell>
          <cell r="B38">
            <v>101368969073</v>
          </cell>
          <cell r="C38" t="str">
            <v>3713073309</v>
          </cell>
        </row>
        <row r="39">
          <cell r="A39" t="str">
            <v>VE1191</v>
          </cell>
          <cell r="B39">
            <v>101402181438</v>
          </cell>
          <cell r="C39" t="str">
            <v>3713082778</v>
          </cell>
        </row>
        <row r="40">
          <cell r="A40" t="str">
            <v>VE1307</v>
          </cell>
          <cell r="B40">
            <v>101650923389</v>
          </cell>
          <cell r="C40" t="str">
            <v>3713635179</v>
          </cell>
        </row>
        <row r="41">
          <cell r="A41" t="str">
            <v>VE1308</v>
          </cell>
          <cell r="B41">
            <v>101660548232</v>
          </cell>
          <cell r="C41" t="str">
            <v>3713665258</v>
          </cell>
        </row>
        <row r="42">
          <cell r="A42" t="str">
            <v>VE1309</v>
          </cell>
          <cell r="B42">
            <v>101672769483</v>
          </cell>
          <cell r="C42" t="str">
            <v>3713715127</v>
          </cell>
        </row>
        <row r="43">
          <cell r="A43" t="str">
            <v>VE1127</v>
          </cell>
          <cell r="B43">
            <v>101667735135</v>
          </cell>
          <cell r="C43" t="str">
            <v>3713747097</v>
          </cell>
        </row>
        <row r="44">
          <cell r="A44" t="str">
            <v>VE1128</v>
          </cell>
          <cell r="B44">
            <v>101680836899</v>
          </cell>
          <cell r="C44" t="str">
            <v>3713746898</v>
          </cell>
        </row>
        <row r="45">
          <cell r="A45" t="str">
            <v>VE1310</v>
          </cell>
          <cell r="B45">
            <v>100769892238</v>
          </cell>
          <cell r="C45" t="str">
            <v>3713773496</v>
          </cell>
        </row>
        <row r="46">
          <cell r="A46" t="str">
            <v>VE1277</v>
          </cell>
          <cell r="B46">
            <v>101698114672</v>
          </cell>
          <cell r="C46" t="str">
            <v>3713818634</v>
          </cell>
        </row>
        <row r="47">
          <cell r="A47" t="str">
            <v>VE1168</v>
          </cell>
          <cell r="B47">
            <v>101488864561</v>
          </cell>
          <cell r="C47" t="str">
            <v>3713888507</v>
          </cell>
        </row>
        <row r="48">
          <cell r="A48" t="str">
            <v>VE1089</v>
          </cell>
          <cell r="B48">
            <v>101616505397</v>
          </cell>
          <cell r="C48" t="str">
            <v>3713930222</v>
          </cell>
        </row>
        <row r="49">
          <cell r="A49" t="str">
            <v>VE1270</v>
          </cell>
          <cell r="B49">
            <v>101677771368</v>
          </cell>
          <cell r="C49" t="str">
            <v>3713930136</v>
          </cell>
        </row>
        <row r="50">
          <cell r="A50" t="str">
            <v>VE1242</v>
          </cell>
          <cell r="B50">
            <v>101437556441</v>
          </cell>
          <cell r="C50" t="str">
            <v>3713099985</v>
          </cell>
        </row>
        <row r="51">
          <cell r="A51" t="str">
            <v>VE1094</v>
          </cell>
          <cell r="B51">
            <v>101572778951</v>
          </cell>
          <cell r="C51" t="str">
            <v>3713970743</v>
          </cell>
        </row>
        <row r="52">
          <cell r="A52" t="str">
            <v>VE1136</v>
          </cell>
          <cell r="B52">
            <v>101315453950</v>
          </cell>
          <cell r="C52" t="str">
            <v>3714194858</v>
          </cell>
        </row>
        <row r="53">
          <cell r="A53" t="str">
            <v>VE1167</v>
          </cell>
          <cell r="B53">
            <v>101692509161</v>
          </cell>
          <cell r="C53" t="str">
            <v>3713803444</v>
          </cell>
        </row>
        <row r="54">
          <cell r="A54" t="str">
            <v>VE1092</v>
          </cell>
          <cell r="B54">
            <v>101753281136</v>
          </cell>
          <cell r="C54" t="str">
            <v>3714049321</v>
          </cell>
        </row>
        <row r="55">
          <cell r="A55" t="str">
            <v>VE1264</v>
          </cell>
          <cell r="B55">
            <v>101342160627</v>
          </cell>
          <cell r="C55" t="str">
            <v>3713501254</v>
          </cell>
        </row>
        <row r="56">
          <cell r="A56" t="str">
            <v>VE1240</v>
          </cell>
          <cell r="B56">
            <v>101549900861</v>
          </cell>
          <cell r="C56" t="str">
            <v>3713667308</v>
          </cell>
        </row>
        <row r="57">
          <cell r="A57" t="str">
            <v>VE1118</v>
          </cell>
          <cell r="B57">
            <v>101309235546</v>
          </cell>
          <cell r="C57" t="str">
            <v>3714059162</v>
          </cell>
        </row>
        <row r="58">
          <cell r="A58" t="str">
            <v>VE1156</v>
          </cell>
          <cell r="B58">
            <v>101766954714</v>
          </cell>
          <cell r="C58" t="str">
            <v>3714129342</v>
          </cell>
        </row>
        <row r="59">
          <cell r="A59" t="str">
            <v>VE1214</v>
          </cell>
          <cell r="B59">
            <v>101753281104</v>
          </cell>
          <cell r="C59" t="str">
            <v>3714049138</v>
          </cell>
        </row>
        <row r="60">
          <cell r="A60" t="str">
            <v>VE1151</v>
          </cell>
          <cell r="B60">
            <v>101765542297</v>
          </cell>
          <cell r="C60" t="str">
            <v>3714129384</v>
          </cell>
        </row>
        <row r="61">
          <cell r="A61" t="str">
            <v>VE1147</v>
          </cell>
          <cell r="B61">
            <v>101616505384</v>
          </cell>
          <cell r="C61" t="str">
            <v>3714194975</v>
          </cell>
        </row>
        <row r="62">
          <cell r="A62" t="str">
            <v>VE1194</v>
          </cell>
          <cell r="B62">
            <v>101688174679</v>
          </cell>
          <cell r="C62" t="str">
            <v>3714147132</v>
          </cell>
        </row>
        <row r="63">
          <cell r="A63" t="str">
            <v>VE1188</v>
          </cell>
          <cell r="B63">
            <v>101784791972</v>
          </cell>
          <cell r="C63" t="str">
            <v>3714146690</v>
          </cell>
        </row>
        <row r="64">
          <cell r="A64" t="str">
            <v>VE1131</v>
          </cell>
          <cell r="B64">
            <v>101784791940</v>
          </cell>
          <cell r="C64" t="str">
            <v>3714146600</v>
          </cell>
        </row>
        <row r="65">
          <cell r="A65" t="str">
            <v>VE1095</v>
          </cell>
          <cell r="B65">
            <v>101585604680</v>
          </cell>
          <cell r="C65" t="str">
            <v>3713403959</v>
          </cell>
        </row>
        <row r="66">
          <cell r="A66" t="str">
            <v>VE1138</v>
          </cell>
          <cell r="B66">
            <v>101779406306</v>
          </cell>
          <cell r="C66" t="str">
            <v>3714194793</v>
          </cell>
        </row>
        <row r="67">
          <cell r="A67" t="str">
            <v>VE1315</v>
          </cell>
          <cell r="B67">
            <v>101379459290</v>
          </cell>
          <cell r="C67" t="str">
            <v>3713016545</v>
          </cell>
        </row>
        <row r="68">
          <cell r="A68" t="str">
            <v>VE1200</v>
          </cell>
          <cell r="B68">
            <v>101545045161</v>
          </cell>
          <cell r="C68" t="str">
            <v>3713236316</v>
          </cell>
        </row>
        <row r="69">
          <cell r="A69" t="str">
            <v>VE1140</v>
          </cell>
          <cell r="B69">
            <v>101017309022</v>
          </cell>
          <cell r="C69" t="str">
            <v>3713015995</v>
          </cell>
        </row>
        <row r="70">
          <cell r="A70" t="str">
            <v>VE1193</v>
          </cell>
          <cell r="B70">
            <v>101446952694</v>
          </cell>
          <cell r="C70" t="str">
            <v>3713315260</v>
          </cell>
        </row>
        <row r="71">
          <cell r="A71" t="str">
            <v>VE1316</v>
          </cell>
          <cell r="B71">
            <v>101637889311</v>
          </cell>
          <cell r="C71" t="str">
            <v>3713665681</v>
          </cell>
        </row>
        <row r="72">
          <cell r="A72" t="str">
            <v>VE1265</v>
          </cell>
          <cell r="B72">
            <v>101698128303</v>
          </cell>
          <cell r="C72" t="str">
            <v>3714194838</v>
          </cell>
        </row>
        <row r="73">
          <cell r="A73" t="str">
            <v>VE1215</v>
          </cell>
          <cell r="B73">
            <v>101689112855</v>
          </cell>
          <cell r="C73" t="str">
            <v>3714194883</v>
          </cell>
        </row>
        <row r="74">
          <cell r="A74" t="str">
            <v>VE1318</v>
          </cell>
          <cell r="B74">
            <v>101728998521</v>
          </cell>
          <cell r="C74" t="str">
            <v>3713930165</v>
          </cell>
        </row>
        <row r="75">
          <cell r="A75" t="str">
            <v>VE1241</v>
          </cell>
          <cell r="B75">
            <v>101803825839</v>
          </cell>
          <cell r="C75" t="str">
            <v>3714195039</v>
          </cell>
        </row>
        <row r="76">
          <cell r="A76" t="str">
            <v>VE1039</v>
          </cell>
          <cell r="B76">
            <v>101803825887</v>
          </cell>
          <cell r="C76" t="str">
            <v>3714195054</v>
          </cell>
        </row>
        <row r="77">
          <cell r="A77" t="str">
            <v>VE1320</v>
          </cell>
          <cell r="B77">
            <v>101814615805</v>
          </cell>
          <cell r="C77" t="str">
            <v>3714264320</v>
          </cell>
        </row>
        <row r="78">
          <cell r="A78" t="str">
            <v>VE1142</v>
          </cell>
          <cell r="B78">
            <v>101803825856</v>
          </cell>
          <cell r="C78" t="str">
            <v>3714264214</v>
          </cell>
        </row>
        <row r="79">
          <cell r="A79" t="str">
            <v>VE1197</v>
          </cell>
          <cell r="B79">
            <v>101772958486</v>
          </cell>
          <cell r="C79" t="str">
            <v>3714129390</v>
          </cell>
        </row>
        <row r="80">
          <cell r="A80" t="str">
            <v>VE1149</v>
          </cell>
          <cell r="B80">
            <v>101810409436</v>
          </cell>
          <cell r="C80" t="str">
            <v>3714248263</v>
          </cell>
        </row>
        <row r="81">
          <cell r="A81" t="str">
            <v>VE1210</v>
          </cell>
          <cell r="B81">
            <v>101810409462</v>
          </cell>
          <cell r="C81" t="str">
            <v>3714248318</v>
          </cell>
        </row>
        <row r="82">
          <cell r="A82" t="str">
            <v>VE1060</v>
          </cell>
          <cell r="B82">
            <v>101581654576</v>
          </cell>
          <cell r="C82" t="str">
            <v>3714264369</v>
          </cell>
        </row>
        <row r="83">
          <cell r="A83" t="str">
            <v>VE1054</v>
          </cell>
          <cell r="B83">
            <v>101581654548</v>
          </cell>
          <cell r="C83" t="str">
            <v>3713380195</v>
          </cell>
        </row>
        <row r="84">
          <cell r="A84" t="str">
            <v>VE1271</v>
          </cell>
          <cell r="B84">
            <v>101810408803</v>
          </cell>
          <cell r="C84" t="str">
            <v>3714248313</v>
          </cell>
        </row>
        <row r="85">
          <cell r="A85" t="str">
            <v>VE1139</v>
          </cell>
          <cell r="B85">
            <v>101814618428</v>
          </cell>
          <cell r="C85" t="str">
            <v>3714264490</v>
          </cell>
        </row>
        <row r="86">
          <cell r="A86" t="str">
            <v>VE1063</v>
          </cell>
          <cell r="B86">
            <v>101283761043</v>
          </cell>
          <cell r="C86" t="str">
            <v>3714248269</v>
          </cell>
        </row>
        <row r="87">
          <cell r="A87" t="str">
            <v>VE1226</v>
          </cell>
          <cell r="B87">
            <v>101809978616</v>
          </cell>
          <cell r="C87" t="str">
            <v>3714307207</v>
          </cell>
        </row>
        <row r="88">
          <cell r="A88" t="str">
            <v>VE1099</v>
          </cell>
          <cell r="B88">
            <v>101568139347</v>
          </cell>
          <cell r="C88" t="str">
            <v>3714307518</v>
          </cell>
        </row>
        <row r="89">
          <cell r="A89" t="str">
            <v>VE1158</v>
          </cell>
          <cell r="B89">
            <v>101824709793</v>
          </cell>
          <cell r="C89" t="str">
            <v>3714307501</v>
          </cell>
        </row>
        <row r="90">
          <cell r="A90" t="str">
            <v>VE1244</v>
          </cell>
          <cell r="B90">
            <v>101824709755</v>
          </cell>
          <cell r="C90" t="str">
            <v>3714307242</v>
          </cell>
        </row>
        <row r="91">
          <cell r="A91" t="str">
            <v>VE1208</v>
          </cell>
          <cell r="B91">
            <v>101545045254</v>
          </cell>
          <cell r="C91" t="str">
            <v>3713236793</v>
          </cell>
        </row>
        <row r="92">
          <cell r="A92" t="str">
            <v>VE1190</v>
          </cell>
          <cell r="B92">
            <v>101853094111</v>
          </cell>
          <cell r="C92" t="str">
            <v>3714392081</v>
          </cell>
        </row>
        <row r="93">
          <cell r="A93" t="str">
            <v>VE1093</v>
          </cell>
          <cell r="B93">
            <v>101844627196</v>
          </cell>
          <cell r="C93" t="str">
            <v>3714392078</v>
          </cell>
        </row>
        <row r="94">
          <cell r="A94" t="str">
            <v>VE1260</v>
          </cell>
          <cell r="B94">
            <v>101672860001</v>
          </cell>
          <cell r="C94" t="str">
            <v>3714392051</v>
          </cell>
        </row>
        <row r="95">
          <cell r="A95" t="str">
            <v>VE1102</v>
          </cell>
          <cell r="B95">
            <v>101843640120</v>
          </cell>
          <cell r="C95" t="str">
            <v>3714391716</v>
          </cell>
        </row>
        <row r="96">
          <cell r="A96" t="str">
            <v>VE1157</v>
          </cell>
          <cell r="B96">
            <v>101544641172</v>
          </cell>
          <cell r="C96" t="str">
            <v>3714391916</v>
          </cell>
        </row>
        <row r="97">
          <cell r="A97" t="str">
            <v>VE1235</v>
          </cell>
          <cell r="B97">
            <v>101395592979</v>
          </cell>
          <cell r="C97" t="str">
            <v>3714392043</v>
          </cell>
        </row>
        <row r="98">
          <cell r="A98" t="str">
            <v>VE1016</v>
          </cell>
          <cell r="B98">
            <v>101672769505</v>
          </cell>
          <cell r="C98" t="str">
            <v>3714397748</v>
          </cell>
        </row>
        <row r="99">
          <cell r="A99" t="str">
            <v>VE1206</v>
          </cell>
          <cell r="B99">
            <v>101843640014</v>
          </cell>
          <cell r="C99" t="str">
            <v>3714391738</v>
          </cell>
        </row>
        <row r="100">
          <cell r="A100" t="str">
            <v>VE1229</v>
          </cell>
          <cell r="B100">
            <v>101809249340</v>
          </cell>
          <cell r="C100" t="str">
            <v>3714386276</v>
          </cell>
        </row>
        <row r="101">
          <cell r="A101" t="str">
            <v>VE1267</v>
          </cell>
          <cell r="B101">
            <v>101652778220</v>
          </cell>
          <cell r="C101" t="str">
            <v>3714398576</v>
          </cell>
        </row>
        <row r="102">
          <cell r="A102" t="str">
            <v>VE1332</v>
          </cell>
          <cell r="B102">
            <v>101835226980</v>
          </cell>
          <cell r="C102" t="str">
            <v>3714391929</v>
          </cell>
        </row>
        <row r="103">
          <cell r="A103" t="str">
            <v>VE1255</v>
          </cell>
          <cell r="B103">
            <v>101825400643</v>
          </cell>
          <cell r="C103" t="str">
            <v>3714392032</v>
          </cell>
        </row>
        <row r="104">
          <cell r="A104" t="str">
            <v>VE1336</v>
          </cell>
          <cell r="B104">
            <v>101685015690</v>
          </cell>
          <cell r="C104" t="str">
            <v>3714391987</v>
          </cell>
        </row>
        <row r="105">
          <cell r="A105" t="str">
            <v>VE1253</v>
          </cell>
          <cell r="B105">
            <v>101843640067</v>
          </cell>
          <cell r="C105" t="str">
            <v>3714391993</v>
          </cell>
        </row>
        <row r="106">
          <cell r="A106" t="str">
            <v>VE1184</v>
          </cell>
          <cell r="B106">
            <v>101444511724</v>
          </cell>
          <cell r="C106" t="str">
            <v>3714391998</v>
          </cell>
        </row>
        <row r="107">
          <cell r="A107" t="str">
            <v>VE1262</v>
          </cell>
          <cell r="B107">
            <v>101844627411</v>
          </cell>
          <cell r="C107" t="str">
            <v>3714392085</v>
          </cell>
        </row>
        <row r="108">
          <cell r="A108" t="str">
            <v>VE1341</v>
          </cell>
          <cell r="B108">
            <v>101846165869</v>
          </cell>
          <cell r="C108" t="str">
            <v>3714391920</v>
          </cell>
        </row>
        <row r="109">
          <cell r="A109" t="str">
            <v>VE1209</v>
          </cell>
          <cell r="B109">
            <v>101711568441</v>
          </cell>
          <cell r="C109" t="str">
            <v>3714385043</v>
          </cell>
        </row>
        <row r="110">
          <cell r="A110" t="str">
            <v>VE1059</v>
          </cell>
          <cell r="B110">
            <v>101829441851</v>
          </cell>
          <cell r="C110" t="str">
            <v>3714385008</v>
          </cell>
        </row>
        <row r="111">
          <cell r="A111" t="str">
            <v>VE1234</v>
          </cell>
          <cell r="B111">
            <v>101772958493</v>
          </cell>
          <cell r="C111" t="str">
            <v>3714155871</v>
          </cell>
        </row>
        <row r="112">
          <cell r="A112" t="str">
            <v>VE1061</v>
          </cell>
          <cell r="B112">
            <v>101855818079</v>
          </cell>
          <cell r="C112" t="str">
            <v>3714430314</v>
          </cell>
        </row>
        <row r="113">
          <cell r="A113" t="str">
            <v>VE1122</v>
          </cell>
          <cell r="B113">
            <v>101855818112</v>
          </cell>
          <cell r="C113" t="str">
            <v>3714430363</v>
          </cell>
        </row>
        <row r="114">
          <cell r="A114" t="str">
            <v>VE1096</v>
          </cell>
          <cell r="B114">
            <v>101855818203</v>
          </cell>
          <cell r="C114" t="str">
            <v>3714430439</v>
          </cell>
        </row>
        <row r="115">
          <cell r="A115" t="str">
            <v>VE1062</v>
          </cell>
          <cell r="B115">
            <v>101250828110</v>
          </cell>
          <cell r="C115" t="str">
            <v>3713429825</v>
          </cell>
        </row>
        <row r="116">
          <cell r="A116" t="str">
            <v>VE1274</v>
          </cell>
          <cell r="B116">
            <v>101791440133</v>
          </cell>
          <cell r="C116" t="str">
            <v>3714430452</v>
          </cell>
        </row>
        <row r="117">
          <cell r="A117" t="str">
            <v>VE1113</v>
          </cell>
          <cell r="B117">
            <v>101809051253</v>
          </cell>
          <cell r="C117" t="str">
            <v>3714430465</v>
          </cell>
        </row>
        <row r="118">
          <cell r="A118" t="str">
            <v>VE1181</v>
          </cell>
          <cell r="B118">
            <v>101857701004</v>
          </cell>
          <cell r="C118" t="str">
            <v>3714438301</v>
          </cell>
        </row>
        <row r="119">
          <cell r="A119" t="str">
            <v>VE1068</v>
          </cell>
          <cell r="B119">
            <v>101855511818</v>
          </cell>
          <cell r="C119" t="str">
            <v>3714445455</v>
          </cell>
        </row>
        <row r="120">
          <cell r="A120" t="str">
            <v>VE1239</v>
          </cell>
          <cell r="B120">
            <v>101855510793</v>
          </cell>
          <cell r="C120" t="str">
            <v>3714445469</v>
          </cell>
        </row>
        <row r="121">
          <cell r="A121" t="str">
            <v>VE1182</v>
          </cell>
          <cell r="B121">
            <v>101859261098</v>
          </cell>
          <cell r="C121" t="str">
            <v>3714445480</v>
          </cell>
        </row>
        <row r="122">
          <cell r="A122" t="str">
            <v>VE1018</v>
          </cell>
          <cell r="B122">
            <v>101795609059</v>
          </cell>
          <cell r="C122" t="str">
            <v>3714445554</v>
          </cell>
        </row>
        <row r="123">
          <cell r="A123" t="str">
            <v>VE1212</v>
          </cell>
          <cell r="B123">
            <v>101840795623</v>
          </cell>
          <cell r="C123" t="str">
            <v>3714491225</v>
          </cell>
        </row>
        <row r="124">
          <cell r="A124" t="str">
            <v>VE1143</v>
          </cell>
          <cell r="B124">
            <v>101870675875</v>
          </cell>
          <cell r="C124" t="str">
            <v>3714491226</v>
          </cell>
        </row>
        <row r="125">
          <cell r="A125" t="str">
            <v>VE1111</v>
          </cell>
          <cell r="B125">
            <v>101604715930</v>
          </cell>
          <cell r="C125" t="str">
            <v>3714494306</v>
          </cell>
        </row>
        <row r="126">
          <cell r="A126" t="str">
            <v>VE1112</v>
          </cell>
          <cell r="B126">
            <v>101870675881</v>
          </cell>
          <cell r="C126" t="str">
            <v>3714491228</v>
          </cell>
        </row>
        <row r="127">
          <cell r="A127" t="str">
            <v>VE1231</v>
          </cell>
          <cell r="B127">
            <v>101842523074</v>
          </cell>
          <cell r="C127" t="str">
            <v>3714493133</v>
          </cell>
        </row>
        <row r="128">
          <cell r="A128" t="str">
            <v>VE1189</v>
          </cell>
          <cell r="B128">
            <v>101544532881</v>
          </cell>
          <cell r="C128" t="str">
            <v>3714494282</v>
          </cell>
        </row>
        <row r="129">
          <cell r="A129" t="str">
            <v>VE1350</v>
          </cell>
          <cell r="B129">
            <v>101870675868</v>
          </cell>
          <cell r="C129" t="str">
            <v>3714491682</v>
          </cell>
        </row>
        <row r="130">
          <cell r="A130" t="str">
            <v>VE1272</v>
          </cell>
          <cell r="B130">
            <v>101765543228</v>
          </cell>
          <cell r="C130" t="str">
            <v>3714129362</v>
          </cell>
        </row>
        <row r="131">
          <cell r="A131" t="str">
            <v>VE1124</v>
          </cell>
          <cell r="B131">
            <v>101870675847</v>
          </cell>
          <cell r="C131" t="str">
            <v>3714491740</v>
          </cell>
        </row>
        <row r="132">
          <cell r="A132" t="str">
            <v>VE1057</v>
          </cell>
          <cell r="B132">
            <v>101795609248</v>
          </cell>
          <cell r="C132" t="str">
            <v>3714491760</v>
          </cell>
        </row>
        <row r="133">
          <cell r="A133" t="str">
            <v>VE1169</v>
          </cell>
          <cell r="B133">
            <v>101878158342</v>
          </cell>
          <cell r="C133" t="str">
            <v>3714520822</v>
          </cell>
        </row>
        <row r="134">
          <cell r="A134" t="str">
            <v>VE1103</v>
          </cell>
          <cell r="B134">
            <v>101770453290</v>
          </cell>
          <cell r="C134" t="str">
            <v>3714520842</v>
          </cell>
        </row>
        <row r="135">
          <cell r="A135" t="str">
            <v>VE1353</v>
          </cell>
          <cell r="B135">
            <v>101784054370</v>
          </cell>
          <cell r="C135" t="str">
            <v>3714520859</v>
          </cell>
        </row>
        <row r="136">
          <cell r="A136" t="str">
            <v>VE1064</v>
          </cell>
          <cell r="B136">
            <v>101866511600</v>
          </cell>
          <cell r="C136" t="str">
            <v>3714520873</v>
          </cell>
        </row>
        <row r="137">
          <cell r="A137" t="str">
            <v>VE1098</v>
          </cell>
          <cell r="B137">
            <v>101823376929</v>
          </cell>
          <cell r="C137" t="str">
            <v>3714520886</v>
          </cell>
        </row>
        <row r="138">
          <cell r="A138" t="str">
            <v>VE1146</v>
          </cell>
          <cell r="B138">
            <v>101878158361</v>
          </cell>
          <cell r="C138" t="str">
            <v>3714520898</v>
          </cell>
        </row>
        <row r="139">
          <cell r="A139" t="str">
            <v>VE1130</v>
          </cell>
          <cell r="B139">
            <v>101878158357</v>
          </cell>
          <cell r="C139" t="str">
            <v>3714520922</v>
          </cell>
        </row>
        <row r="140">
          <cell r="A140" t="str">
            <v>VE1263</v>
          </cell>
          <cell r="B140">
            <v>101864781624</v>
          </cell>
          <cell r="C140" t="str">
            <v>3714586469</v>
          </cell>
        </row>
        <row r="141">
          <cell r="A141" t="str">
            <v>VE1176</v>
          </cell>
          <cell r="B141">
            <v>101517196243</v>
          </cell>
          <cell r="C141" t="str">
            <v>3714589144</v>
          </cell>
        </row>
        <row r="142">
          <cell r="A142" t="str">
            <v>VE1072</v>
          </cell>
          <cell r="B142">
            <v>101545044278</v>
          </cell>
          <cell r="C142" t="str">
            <v>3714586479</v>
          </cell>
        </row>
        <row r="143">
          <cell r="A143" t="str">
            <v>VE1053</v>
          </cell>
          <cell r="B143">
            <v>101855554706</v>
          </cell>
          <cell r="C143" t="str">
            <v>3714586489</v>
          </cell>
        </row>
        <row r="144">
          <cell r="A144" t="str">
            <v>VE1040</v>
          </cell>
          <cell r="B144">
            <v>101840977378</v>
          </cell>
          <cell r="C144" t="str">
            <v>3714585541</v>
          </cell>
        </row>
        <row r="145">
          <cell r="A145" t="str">
            <v>VE1071</v>
          </cell>
          <cell r="B145">
            <v>101329660872</v>
          </cell>
          <cell r="C145" t="str">
            <v>3713699806</v>
          </cell>
        </row>
        <row r="146">
          <cell r="A146" t="str">
            <v>VE1233</v>
          </cell>
          <cell r="B146">
            <v>101892027180</v>
          </cell>
          <cell r="C146" t="str">
            <v>3714586070</v>
          </cell>
        </row>
        <row r="147">
          <cell r="A147" t="str">
            <v>VE1070</v>
          </cell>
          <cell r="B147">
            <v>101892063612</v>
          </cell>
          <cell r="C147" t="str">
            <v>3714586344</v>
          </cell>
        </row>
        <row r="148">
          <cell r="A148" t="str">
            <v>VE1056</v>
          </cell>
          <cell r="B148">
            <v>101653248592</v>
          </cell>
          <cell r="C148" t="str">
            <v>3714583531</v>
          </cell>
        </row>
        <row r="149">
          <cell r="A149" t="str">
            <v>VE1069</v>
          </cell>
          <cell r="B149">
            <v>101872311352</v>
          </cell>
          <cell r="C149" t="str">
            <v>3714585591</v>
          </cell>
        </row>
        <row r="150">
          <cell r="A150" t="str">
            <v>VE1041</v>
          </cell>
          <cell r="B150">
            <v>101747376402</v>
          </cell>
          <cell r="C150" t="str">
            <v>3714586459</v>
          </cell>
        </row>
        <row r="151">
          <cell r="A151" t="str">
            <v>VE1055</v>
          </cell>
          <cell r="B151">
            <v>101772363391</v>
          </cell>
          <cell r="C151" t="str">
            <v>3714100344</v>
          </cell>
        </row>
        <row r="152">
          <cell r="A152" t="str">
            <v>VE1266</v>
          </cell>
          <cell r="B152">
            <v>101892034874</v>
          </cell>
          <cell r="C152" t="str">
            <v>3714586111</v>
          </cell>
        </row>
        <row r="153">
          <cell r="A153" t="str">
            <v>VE1351</v>
          </cell>
          <cell r="B153">
            <v>101689392730</v>
          </cell>
          <cell r="C153" t="str">
            <v>3713776024</v>
          </cell>
        </row>
        <row r="154">
          <cell r="A154" t="str">
            <v>VE1357</v>
          </cell>
          <cell r="B154">
            <v>101892061680</v>
          </cell>
          <cell r="C154" t="str">
            <v>3714586328</v>
          </cell>
        </row>
        <row r="155">
          <cell r="A155" t="str">
            <v>VE1321</v>
          </cell>
          <cell r="B155">
            <v>101587728868</v>
          </cell>
          <cell r="C155" t="str">
            <v>3713454014</v>
          </cell>
        </row>
        <row r="156">
          <cell r="A156" t="str">
            <v>VE1366</v>
          </cell>
          <cell r="B156">
            <v>101891963341</v>
          </cell>
          <cell r="C156" t="str">
            <v>3714585503</v>
          </cell>
        </row>
        <row r="157">
          <cell r="A157" t="str">
            <v>VE1369</v>
          </cell>
          <cell r="B157">
            <v>101676280554</v>
          </cell>
          <cell r="C157" t="str">
            <v>3714586464</v>
          </cell>
        </row>
        <row r="158">
          <cell r="A158" t="str">
            <v>VE1372</v>
          </cell>
          <cell r="B158">
            <v>101680675743</v>
          </cell>
          <cell r="C158" t="str">
            <v>3713785172</v>
          </cell>
        </row>
        <row r="159">
          <cell r="A159" t="str">
            <v>VE1373</v>
          </cell>
          <cell r="B159">
            <v>101877158337</v>
          </cell>
          <cell r="C159" t="str">
            <v>3714608880</v>
          </cell>
        </row>
        <row r="160">
          <cell r="A160" t="str">
            <v>VE1381</v>
          </cell>
          <cell r="B160">
            <v>101903229837</v>
          </cell>
          <cell r="C160" t="str">
            <v>3714638171</v>
          </cell>
        </row>
        <row r="161">
          <cell r="A161" t="str">
            <v>VE1382</v>
          </cell>
          <cell r="B161">
            <v>101650449964</v>
          </cell>
          <cell r="C161" t="str">
            <v>3714638142</v>
          </cell>
        </row>
        <row r="162">
          <cell r="A162" t="str">
            <v>VE1384</v>
          </cell>
          <cell r="B162">
            <v>101903213656</v>
          </cell>
          <cell r="C162" t="str">
            <v>3714638292</v>
          </cell>
        </row>
        <row r="163">
          <cell r="A163" t="str">
            <v>VE1386</v>
          </cell>
          <cell r="B163">
            <v>101844627578</v>
          </cell>
          <cell r="C163" t="str">
            <v>3714419308</v>
          </cell>
        </row>
        <row r="164">
          <cell r="A164" t="str">
            <v>VE1387</v>
          </cell>
          <cell r="B164">
            <v>101843640203</v>
          </cell>
          <cell r="C164" t="str">
            <v>3714385625</v>
          </cell>
        </row>
        <row r="165">
          <cell r="A165" t="str">
            <v>VE1388</v>
          </cell>
          <cell r="B165">
            <v>101320500467</v>
          </cell>
          <cell r="C165" t="str">
            <v>3714638309</v>
          </cell>
        </row>
        <row r="166">
          <cell r="A166" t="str">
            <v>VE1404</v>
          </cell>
          <cell r="B166">
            <v>101804338173</v>
          </cell>
          <cell r="C166" t="str">
            <v>3911284047</v>
          </cell>
        </row>
        <row r="167">
          <cell r="A167" t="str">
            <v>VE1406</v>
          </cell>
          <cell r="B167">
            <v>101913466565</v>
          </cell>
          <cell r="C167" t="str">
            <v>3911284050</v>
          </cell>
        </row>
        <row r="168">
          <cell r="A168" t="str">
            <v>VE1407</v>
          </cell>
          <cell r="B168">
            <v>101250828388</v>
          </cell>
          <cell r="C168" t="str">
            <v>3911284051</v>
          </cell>
        </row>
        <row r="169">
          <cell r="A169" t="str">
            <v>VE1408</v>
          </cell>
          <cell r="B169">
            <v>101901303209</v>
          </cell>
          <cell r="C169" t="str">
            <v>3911284053</v>
          </cell>
        </row>
        <row r="170">
          <cell r="A170" t="str">
            <v>VE1412</v>
          </cell>
          <cell r="B170">
            <v>101737040290</v>
          </cell>
          <cell r="C170" t="str">
            <v>3911284062</v>
          </cell>
        </row>
        <row r="171">
          <cell r="A171" t="str">
            <v>VE1417</v>
          </cell>
          <cell r="B171">
            <v>101545045231</v>
          </cell>
          <cell r="C171" t="str">
            <v>3911284067</v>
          </cell>
        </row>
        <row r="172">
          <cell r="A172" t="str">
            <v>VE1415</v>
          </cell>
          <cell r="B172">
            <v>101909548541</v>
          </cell>
          <cell r="C172" t="str">
            <v>3911284064</v>
          </cell>
        </row>
        <row r="173">
          <cell r="A173" t="str">
            <v>VE1416</v>
          </cell>
          <cell r="B173">
            <v>101795609282</v>
          </cell>
          <cell r="C173" t="str">
            <v>3911284066</v>
          </cell>
        </row>
        <row r="174">
          <cell r="A174" t="str">
            <v>VE1424</v>
          </cell>
          <cell r="B174">
            <v>101727217770</v>
          </cell>
          <cell r="C174" t="str">
            <v>3911284301</v>
          </cell>
        </row>
        <row r="175">
          <cell r="A175" t="str">
            <v>VE1426</v>
          </cell>
          <cell r="B175">
            <v>101682079696</v>
          </cell>
          <cell r="C175" t="str">
            <v>3911287160</v>
          </cell>
        </row>
        <row r="176">
          <cell r="A176" t="str">
            <v>VE1427</v>
          </cell>
          <cell r="B176">
            <v>101643399269</v>
          </cell>
          <cell r="C176" t="str">
            <v>3911287159</v>
          </cell>
        </row>
        <row r="177">
          <cell r="A177" t="str">
            <v>VE1313</v>
          </cell>
          <cell r="B177">
            <v>101587163528</v>
          </cell>
          <cell r="C177" t="str">
            <v>3714194891</v>
          </cell>
        </row>
        <row r="178">
          <cell r="A178" t="str">
            <v>VE1430</v>
          </cell>
          <cell r="B178">
            <v>101276933982</v>
          </cell>
          <cell r="C178" t="str">
            <v>3712403028</v>
          </cell>
        </row>
        <row r="179">
          <cell r="A179" t="str">
            <v>VE1432</v>
          </cell>
          <cell r="B179">
            <v>101823378393</v>
          </cell>
          <cell r="C179" t="str">
            <v>3714703524</v>
          </cell>
        </row>
        <row r="180">
          <cell r="A180" t="str">
            <v>VE1433</v>
          </cell>
          <cell r="B180">
            <v>101919050874</v>
          </cell>
          <cell r="C180" t="str">
            <v>3714703536</v>
          </cell>
        </row>
        <row r="181">
          <cell r="A181" t="str">
            <v>VE1434</v>
          </cell>
          <cell r="B181">
            <v>101919050861</v>
          </cell>
          <cell r="C181" t="str">
            <v>3714702975</v>
          </cell>
        </row>
        <row r="182">
          <cell r="A182" t="str">
            <v>VE1435</v>
          </cell>
          <cell r="B182">
            <v>101919050888</v>
          </cell>
          <cell r="C182" t="str">
            <v>3714703543</v>
          </cell>
        </row>
        <row r="183">
          <cell r="A183" t="str">
            <v>VE1437</v>
          </cell>
          <cell r="B183">
            <v>101843015268</v>
          </cell>
          <cell r="C183" t="str">
            <v>3714703052</v>
          </cell>
        </row>
        <row r="184">
          <cell r="A184" t="str">
            <v>VE1439</v>
          </cell>
          <cell r="B184">
            <v>101343812431</v>
          </cell>
          <cell r="C184" t="str">
            <v>3714703159</v>
          </cell>
        </row>
        <row r="185">
          <cell r="A185" t="str">
            <v>VE1444</v>
          </cell>
          <cell r="B185">
            <v>101919050900</v>
          </cell>
          <cell r="C185" t="str">
            <v>3714703229</v>
          </cell>
        </row>
        <row r="186">
          <cell r="A186" t="str">
            <v>VE1445</v>
          </cell>
          <cell r="B186">
            <v>101919050857</v>
          </cell>
          <cell r="C186" t="str">
            <v>3714703261</v>
          </cell>
        </row>
        <row r="187">
          <cell r="A187" t="str">
            <v>VE1446</v>
          </cell>
          <cell r="B187">
            <v>101817093809</v>
          </cell>
          <cell r="C187" t="str">
            <v>3714703295</v>
          </cell>
        </row>
        <row r="188">
          <cell r="A188" t="str">
            <v>VE1447</v>
          </cell>
          <cell r="B188">
            <v>101919050916</v>
          </cell>
          <cell r="C188" t="str">
            <v>3714703311</v>
          </cell>
        </row>
        <row r="189">
          <cell r="A189" t="str">
            <v>VE1448</v>
          </cell>
          <cell r="B189">
            <v>101875878884</v>
          </cell>
          <cell r="C189" t="str">
            <v>3714705748</v>
          </cell>
        </row>
        <row r="190">
          <cell r="A190" t="str">
            <v>VE1154</v>
          </cell>
          <cell r="B190">
            <v>101250828319</v>
          </cell>
          <cell r="C190" t="str">
            <v>3714585578</v>
          </cell>
        </row>
        <row r="191">
          <cell r="A191" t="str">
            <v>VE1395</v>
          </cell>
          <cell r="B191">
            <v>101624578954</v>
          </cell>
          <cell r="C191" t="str">
            <v>3713525283</v>
          </cell>
        </row>
        <row r="192">
          <cell r="A192" t="str">
            <v>VE1468</v>
          </cell>
          <cell r="B192">
            <v>101731054227</v>
          </cell>
          <cell r="C192">
            <v>3713959545</v>
          </cell>
        </row>
        <row r="193">
          <cell r="A193" t="str">
            <v>VE1469</v>
          </cell>
          <cell r="B193">
            <v>101937182513</v>
          </cell>
          <cell r="C193">
            <v>3714802699</v>
          </cell>
        </row>
        <row r="194">
          <cell r="A194" t="str">
            <v>VE1470</v>
          </cell>
          <cell r="B194">
            <v>101937182521</v>
          </cell>
          <cell r="C194">
            <v>3714802719</v>
          </cell>
        </row>
        <row r="195">
          <cell r="A195" t="str">
            <v>VE1475</v>
          </cell>
          <cell r="B195">
            <v>101938302921</v>
          </cell>
          <cell r="C195">
            <v>3714812320</v>
          </cell>
        </row>
        <row r="196">
          <cell r="A196" t="str">
            <v>VE1476</v>
          </cell>
          <cell r="B196">
            <v>101875878878</v>
          </cell>
          <cell r="C196">
            <v>3714818175</v>
          </cell>
        </row>
        <row r="197">
          <cell r="A197" t="str">
            <v>VE1477</v>
          </cell>
          <cell r="B197">
            <v>101939282339</v>
          </cell>
          <cell r="C197">
            <v>3714818197</v>
          </cell>
        </row>
        <row r="198">
          <cell r="A198" t="str">
            <v>VE1479</v>
          </cell>
          <cell r="B198">
            <v>101939282325</v>
          </cell>
          <cell r="C198">
            <v>3714818259</v>
          </cell>
        </row>
        <row r="199">
          <cell r="A199" t="str">
            <v>VE1480</v>
          </cell>
          <cell r="B199">
            <v>101939282285</v>
          </cell>
          <cell r="C199">
            <v>3714818286</v>
          </cell>
        </row>
        <row r="200">
          <cell r="A200" t="str">
            <v>VE1483</v>
          </cell>
          <cell r="B200">
            <v>101939282318</v>
          </cell>
          <cell r="C200">
            <v>3714818370</v>
          </cell>
        </row>
        <row r="201">
          <cell r="A201" t="str">
            <v>VE3010</v>
          </cell>
          <cell r="B201">
            <v>101405365152</v>
          </cell>
          <cell r="C201" t="str">
            <v>3713870771</v>
          </cell>
        </row>
        <row r="202">
          <cell r="A202" t="str">
            <v>VE3011</v>
          </cell>
          <cell r="B202">
            <v>101482541278</v>
          </cell>
          <cell r="C202" t="str">
            <v>3713870819</v>
          </cell>
        </row>
        <row r="203">
          <cell r="A203" t="str">
            <v>VE3012</v>
          </cell>
          <cell r="B203">
            <v>101738251503</v>
          </cell>
          <cell r="C203" t="str">
            <v>3713963019</v>
          </cell>
        </row>
        <row r="204">
          <cell r="A204" t="str">
            <v>VE3013</v>
          </cell>
          <cell r="B204">
            <v>101728846928</v>
          </cell>
          <cell r="C204" t="str">
            <v>3713928797</v>
          </cell>
        </row>
        <row r="205">
          <cell r="A205" t="str">
            <v>VE3014</v>
          </cell>
          <cell r="B205">
            <v>101020467704</v>
          </cell>
          <cell r="C205" t="str">
            <v>3713864660</v>
          </cell>
        </row>
        <row r="206">
          <cell r="A206" t="str">
            <v>VE3016</v>
          </cell>
          <cell r="B206">
            <v>101939845791</v>
          </cell>
          <cell r="C206">
            <v>3714823234</v>
          </cell>
        </row>
        <row r="207">
          <cell r="A207" t="str">
            <v>VE2004</v>
          </cell>
          <cell r="B207">
            <v>101655620105</v>
          </cell>
          <cell r="C207" t="str">
            <v>3713699045</v>
          </cell>
        </row>
        <row r="208">
          <cell r="A208" t="str">
            <v>VE2006</v>
          </cell>
          <cell r="B208">
            <v>101193206630</v>
          </cell>
          <cell r="C208" t="str">
            <v>3713699085</v>
          </cell>
        </row>
        <row r="209">
          <cell r="A209" t="str">
            <v>VE2005</v>
          </cell>
          <cell r="B209">
            <v>101694755428</v>
          </cell>
          <cell r="C209" t="str">
            <v>3713802788</v>
          </cell>
        </row>
        <row r="210">
          <cell r="A210" t="str">
            <v>VE2007</v>
          </cell>
          <cell r="B210">
            <v>101255082225</v>
          </cell>
          <cell r="C210" t="str">
            <v>3714434851</v>
          </cell>
        </row>
        <row r="211">
          <cell r="A211" t="str">
            <v>VE2008</v>
          </cell>
          <cell r="B211">
            <v>101670298401</v>
          </cell>
          <cell r="C211" t="str">
            <v>3714490119</v>
          </cell>
        </row>
        <row r="212">
          <cell r="A212" t="str">
            <v>VE2009</v>
          </cell>
          <cell r="B212">
            <v>101506420865</v>
          </cell>
          <cell r="C212" t="str">
            <v>3714490139</v>
          </cell>
        </row>
        <row r="213">
          <cell r="A213" t="str">
            <v>VE2010</v>
          </cell>
          <cell r="B213">
            <v>101713621970</v>
          </cell>
          <cell r="C213" t="str">
            <v>3714490152</v>
          </cell>
        </row>
        <row r="214">
          <cell r="A214" t="str">
            <v>VE2012</v>
          </cell>
          <cell r="B214">
            <v>101547524193</v>
          </cell>
          <cell r="C214" t="str">
            <v>3714521798</v>
          </cell>
        </row>
        <row r="215">
          <cell r="A215" t="str">
            <v>VE2011</v>
          </cell>
          <cell r="B215">
            <v>101270238342</v>
          </cell>
          <cell r="C215" t="str">
            <v>3714521804</v>
          </cell>
        </row>
        <row r="216">
          <cell r="A216" t="str">
            <v>VE4006</v>
          </cell>
          <cell r="B216">
            <v>101552365555</v>
          </cell>
          <cell r="C216" t="str">
            <v>3713503443</v>
          </cell>
        </row>
        <row r="217">
          <cell r="A217" t="str">
            <v>VE4013</v>
          </cell>
          <cell r="B217">
            <v>101695343129</v>
          </cell>
          <cell r="C217" t="str">
            <v>3714193910</v>
          </cell>
        </row>
        <row r="218">
          <cell r="A218" t="str">
            <v>VE4012</v>
          </cell>
          <cell r="B218">
            <v>101698233644</v>
          </cell>
          <cell r="C218" t="str">
            <v>3713970877</v>
          </cell>
        </row>
        <row r="219">
          <cell r="A219" t="str">
            <v>VE4016</v>
          </cell>
          <cell r="B219">
            <v>101843640022</v>
          </cell>
          <cell r="C219" t="str">
            <v>3714391901</v>
          </cell>
        </row>
        <row r="220">
          <cell r="A220" t="str">
            <v>VE4014</v>
          </cell>
          <cell r="B220">
            <v>101486611991</v>
          </cell>
          <cell r="C220" t="str">
            <v>3713274113</v>
          </cell>
        </row>
        <row r="221">
          <cell r="A221" t="str">
            <v>VE4007</v>
          </cell>
          <cell r="B221">
            <v>101831612123</v>
          </cell>
          <cell r="C221" t="str">
            <v>3714338182</v>
          </cell>
        </row>
        <row r="222">
          <cell r="A222" t="str">
            <v>VE1108</v>
          </cell>
          <cell r="B222">
            <v>101541307245</v>
          </cell>
          <cell r="C222" t="str">
            <v>3713337012</v>
          </cell>
        </row>
        <row r="223">
          <cell r="A223" t="str">
            <v>VE1106</v>
          </cell>
          <cell r="B223">
            <v>101545045157</v>
          </cell>
          <cell r="C223" t="str">
            <v>3713236362</v>
          </cell>
        </row>
        <row r="224">
          <cell r="A224" t="str">
            <v>VE1107</v>
          </cell>
          <cell r="B224">
            <v>101545045249</v>
          </cell>
          <cell r="C224" t="str">
            <v>3713236346</v>
          </cell>
        </row>
        <row r="225">
          <cell r="A225" t="str">
            <v>VE1045</v>
          </cell>
          <cell r="B225">
            <v>101783930263</v>
          </cell>
          <cell r="C225" t="str">
            <v>3714141511</v>
          </cell>
        </row>
        <row r="226">
          <cell r="A226" t="str">
            <v>VE1076</v>
          </cell>
          <cell r="B226">
            <v>101523756419</v>
          </cell>
          <cell r="C226" t="str">
            <v>3713633263</v>
          </cell>
        </row>
        <row r="227">
          <cell r="A227" t="str">
            <v>VE1074</v>
          </cell>
          <cell r="B227">
            <v>101573647954</v>
          </cell>
          <cell r="C227" t="str">
            <v>3713347591</v>
          </cell>
        </row>
        <row r="228">
          <cell r="A228" t="str">
            <v>VE1077</v>
          </cell>
          <cell r="B228">
            <v>101753036565</v>
          </cell>
          <cell r="C228" t="str">
            <v>3714146590</v>
          </cell>
        </row>
        <row r="229">
          <cell r="A229" t="str">
            <v>VE1034</v>
          </cell>
          <cell r="B229">
            <v>101238512085</v>
          </cell>
          <cell r="C229" t="str">
            <v>3714146712</v>
          </cell>
        </row>
        <row r="230">
          <cell r="A230" t="str">
            <v>VE1275</v>
          </cell>
          <cell r="B230">
            <v>101416179677</v>
          </cell>
          <cell r="C230" t="str">
            <v>3711809201</v>
          </cell>
        </row>
        <row r="231">
          <cell r="A231" t="str">
            <v>VE1044</v>
          </cell>
          <cell r="B231">
            <v>101753281115</v>
          </cell>
          <cell r="C231" t="str">
            <v>3714195158</v>
          </cell>
        </row>
        <row r="232">
          <cell r="A232" t="str">
            <v>VE1105</v>
          </cell>
          <cell r="B232">
            <v>101204332229</v>
          </cell>
          <cell r="C232" t="str">
            <v>3713714521</v>
          </cell>
        </row>
        <row r="233">
          <cell r="A233" t="str">
            <v>VE1082</v>
          </cell>
          <cell r="B233">
            <v>101545045220</v>
          </cell>
          <cell r="C233" t="str">
            <v>3713236612</v>
          </cell>
        </row>
        <row r="234">
          <cell r="A234" t="str">
            <v>VE1289</v>
          </cell>
          <cell r="B234">
            <v>101513957672</v>
          </cell>
          <cell r="C234" t="str">
            <v>3713278279</v>
          </cell>
        </row>
        <row r="235">
          <cell r="A235" t="str">
            <v>VE1221</v>
          </cell>
          <cell r="B235">
            <v>101240028395</v>
          </cell>
          <cell r="C235" t="str">
            <v>3712541705</v>
          </cell>
        </row>
        <row r="236">
          <cell r="A236" t="str">
            <v>VE1222</v>
          </cell>
          <cell r="B236">
            <v>101027277785</v>
          </cell>
          <cell r="C236" t="str">
            <v>3714195170</v>
          </cell>
        </row>
        <row r="237">
          <cell r="A237" t="str">
            <v>VE1223</v>
          </cell>
          <cell r="B237">
            <v>101805009129</v>
          </cell>
          <cell r="C237" t="str">
            <v>3714195193</v>
          </cell>
        </row>
        <row r="238">
          <cell r="A238" t="str">
            <v>VE1252</v>
          </cell>
          <cell r="B238">
            <v>101326833245</v>
          </cell>
          <cell r="C238" t="str">
            <v>3712541359</v>
          </cell>
        </row>
        <row r="239">
          <cell r="A239" t="str">
            <v>VE1133</v>
          </cell>
          <cell r="B239">
            <v>101774669310</v>
          </cell>
          <cell r="C239" t="str">
            <v>3714105479</v>
          </cell>
        </row>
        <row r="240">
          <cell r="A240" t="str">
            <v>VE1066</v>
          </cell>
          <cell r="B240">
            <v>101812058189</v>
          </cell>
          <cell r="C240" t="str">
            <v>3714248732</v>
          </cell>
        </row>
        <row r="241">
          <cell r="A241" t="str">
            <v>VE1075</v>
          </cell>
          <cell r="B241">
            <v>101585672182</v>
          </cell>
          <cell r="C241" t="str">
            <v>3713714682</v>
          </cell>
        </row>
        <row r="242">
          <cell r="A242" t="str">
            <v>VE1132</v>
          </cell>
          <cell r="B242">
            <v>101672718338</v>
          </cell>
          <cell r="C242" t="str">
            <v>3714489070</v>
          </cell>
        </row>
        <row r="243">
          <cell r="A243" t="str">
            <v>VE1377</v>
          </cell>
          <cell r="B243">
            <v>101903275100</v>
          </cell>
          <cell r="C243" t="str">
            <v>3714637954</v>
          </cell>
        </row>
        <row r="244">
          <cell r="A244" t="str">
            <v>VE1398</v>
          </cell>
          <cell r="B244">
            <v>101909548539</v>
          </cell>
          <cell r="C244" t="str">
            <v>3911284040</v>
          </cell>
        </row>
        <row r="245">
          <cell r="A245" t="str">
            <v>VE1425</v>
          </cell>
          <cell r="B245">
            <v>101910638918</v>
          </cell>
          <cell r="C245" t="str">
            <v>3911287162</v>
          </cell>
        </row>
        <row r="246">
          <cell r="A246" t="str">
            <v>VE1078</v>
          </cell>
          <cell r="B246">
            <v>101885067128</v>
          </cell>
          <cell r="C246" t="str">
            <v>3714607818</v>
          </cell>
        </row>
        <row r="247">
          <cell r="A247" t="str">
            <v>VE1409</v>
          </cell>
          <cell r="B247">
            <v>101784791986</v>
          </cell>
          <cell r="C247" t="str">
            <v>3714146626</v>
          </cell>
        </row>
        <row r="248">
          <cell r="A248" t="str">
            <v>VE1442</v>
          </cell>
          <cell r="B248">
            <v>101876602651</v>
          </cell>
          <cell r="C248" t="str">
            <v>3714703546</v>
          </cell>
        </row>
        <row r="249">
          <cell r="A249" t="str">
            <v>VE1455</v>
          </cell>
          <cell r="B249">
            <v>101926593913</v>
          </cell>
          <cell r="C249">
            <v>3714733256</v>
          </cell>
        </row>
        <row r="250">
          <cell r="A250" t="str">
            <v>VE1460</v>
          </cell>
          <cell r="B250">
            <v>101929205913</v>
          </cell>
          <cell r="C250">
            <v>3714747704</v>
          </cell>
        </row>
        <row r="251">
          <cell r="A251" t="str">
            <v>VE1462</v>
          </cell>
          <cell r="B251">
            <v>101929206456</v>
          </cell>
          <cell r="C251">
            <v>3714747714</v>
          </cell>
        </row>
        <row r="252">
          <cell r="A252" t="str">
            <v>VE1464</v>
          </cell>
          <cell r="B252">
            <v>101929205984</v>
          </cell>
          <cell r="C252">
            <v>3714747723</v>
          </cell>
        </row>
        <row r="253">
          <cell r="A253" t="str">
            <v>VE1293</v>
          </cell>
          <cell r="B253">
            <v>101855818051</v>
          </cell>
          <cell r="C253">
            <v>3714430234</v>
          </cell>
        </row>
        <row r="254">
          <cell r="A254" t="str">
            <v>VE1466</v>
          </cell>
          <cell r="B254">
            <v>101925372764</v>
          </cell>
          <cell r="C254">
            <v>3714764281</v>
          </cell>
        </row>
        <row r="255">
          <cell r="A255" t="str">
            <v>VE1474</v>
          </cell>
          <cell r="B255">
            <v>101938302909</v>
          </cell>
          <cell r="C255">
            <v>3714812317</v>
          </cell>
        </row>
        <row r="256">
          <cell r="A256" t="str">
            <v>VE1478</v>
          </cell>
          <cell r="B256">
            <v>101939282302</v>
          </cell>
          <cell r="C256">
            <v>3714818229</v>
          </cell>
        </row>
        <row r="257">
          <cell r="A257" t="str">
            <v>VE1484</v>
          </cell>
          <cell r="B257">
            <v>101939838758</v>
          </cell>
          <cell r="C257">
            <v>3714823177</v>
          </cell>
        </row>
        <row r="258">
          <cell r="A258" t="str">
            <v>VE1485</v>
          </cell>
          <cell r="B258">
            <v>101939282292</v>
          </cell>
          <cell r="C258">
            <v>3714818405</v>
          </cell>
        </row>
        <row r="259">
          <cell r="A259" t="str">
            <v>VE1367</v>
          </cell>
          <cell r="B259">
            <v>101544533513</v>
          </cell>
          <cell r="C259" t="str">
            <v>3714607824</v>
          </cell>
        </row>
        <row r="260">
          <cell r="A260" t="str">
            <v>VE1159</v>
          </cell>
          <cell r="B260">
            <v>101575388046</v>
          </cell>
          <cell r="C260" t="str">
            <v>3713490316</v>
          </cell>
        </row>
        <row r="261">
          <cell r="A261" t="str">
            <v>VE1251</v>
          </cell>
          <cell r="B261">
            <v>101705756648</v>
          </cell>
          <cell r="C261" t="str">
            <v>3714195275</v>
          </cell>
        </row>
        <row r="262">
          <cell r="A262" t="str">
            <v>VE1452</v>
          </cell>
          <cell r="B262">
            <v>101926593909</v>
          </cell>
          <cell r="C262">
            <v>3714733242</v>
          </cell>
        </row>
        <row r="263">
          <cell r="A263" t="str">
            <v>VE1465</v>
          </cell>
          <cell r="B263">
            <v>101814344678</v>
          </cell>
          <cell r="C263">
            <v>3714747726</v>
          </cell>
        </row>
        <row r="264">
          <cell r="A264" t="str">
            <v>VE1453</v>
          </cell>
          <cell r="B264">
            <v>101926593899</v>
          </cell>
          <cell r="C264">
            <v>3714733255</v>
          </cell>
        </row>
        <row r="265">
          <cell r="A265" t="str">
            <v>VE1174</v>
          </cell>
          <cell r="B265">
            <v>101855818165</v>
          </cell>
          <cell r="C265" t="str">
            <v>3714430210</v>
          </cell>
        </row>
        <row r="266">
          <cell r="A266" t="str">
            <v>VE1296</v>
          </cell>
          <cell r="B266">
            <v>101833641270</v>
          </cell>
          <cell r="C266" t="str">
            <v>3714348210</v>
          </cell>
        </row>
        <row r="267">
          <cell r="A267" t="str">
            <v>VE1165</v>
          </cell>
          <cell r="B267">
            <v>101604877386</v>
          </cell>
          <cell r="C267" t="str">
            <v>3714607839</v>
          </cell>
        </row>
        <row r="268">
          <cell r="A268" t="str">
            <v>VE1166</v>
          </cell>
          <cell r="B268">
            <v>101878975775</v>
          </cell>
          <cell r="C268" t="str">
            <v>3714607846</v>
          </cell>
        </row>
        <row r="269">
          <cell r="A269" t="str">
            <v>VE1383</v>
          </cell>
          <cell r="B269">
            <v>100746952457</v>
          </cell>
          <cell r="C269" t="str">
            <v>3714637991</v>
          </cell>
        </row>
        <row r="270">
          <cell r="A270" t="str">
            <v>VE1420</v>
          </cell>
          <cell r="B270">
            <v>101909548573</v>
          </cell>
          <cell r="C270" t="str">
            <v>3911284288</v>
          </cell>
        </row>
        <row r="271">
          <cell r="A271" t="str">
            <v>VE1358</v>
          </cell>
          <cell r="B271">
            <v>101898017202</v>
          </cell>
          <cell r="C271" t="str">
            <v>3714607853</v>
          </cell>
        </row>
        <row r="272">
          <cell r="A272" t="str">
            <v>VE1454</v>
          </cell>
          <cell r="B272">
            <v>101389890725</v>
          </cell>
          <cell r="C272">
            <v>3714733250</v>
          </cell>
        </row>
        <row r="273">
          <cell r="A273" t="str">
            <v>VE1467</v>
          </cell>
          <cell r="B273">
            <v>101931889005</v>
          </cell>
          <cell r="C273">
            <v>3714764306</v>
          </cell>
        </row>
        <row r="274">
          <cell r="A274" t="str">
            <v>VE3005</v>
          </cell>
          <cell r="B274">
            <v>101746285595</v>
          </cell>
          <cell r="C274" t="str">
            <v>3714050853</v>
          </cell>
        </row>
        <row r="275">
          <cell r="A275" t="str">
            <v>VE3015</v>
          </cell>
          <cell r="B275">
            <v>101934468653</v>
          </cell>
          <cell r="C275">
            <v>3714785952</v>
          </cell>
        </row>
        <row r="276">
          <cell r="A276" t="str">
            <v>VE3007</v>
          </cell>
          <cell r="B276">
            <v>101831955944</v>
          </cell>
          <cell r="C276" t="str">
            <v>3714339611</v>
          </cell>
        </row>
        <row r="277">
          <cell r="A277" t="str">
            <v>VE3008</v>
          </cell>
          <cell r="B277">
            <v>101742424054</v>
          </cell>
          <cell r="C277" t="str">
            <v>3713981472</v>
          </cell>
        </row>
        <row r="278">
          <cell r="A278" t="str">
            <v>VE4008</v>
          </cell>
          <cell r="B278">
            <v>101663794847</v>
          </cell>
          <cell r="C278" t="str">
            <v>3713741961</v>
          </cell>
        </row>
        <row r="279">
          <cell r="A279" t="str">
            <v>VE4017</v>
          </cell>
          <cell r="B279">
            <v>101898017169</v>
          </cell>
          <cell r="C279" t="str">
            <v>3714608501</v>
          </cell>
        </row>
        <row r="298">
          <cell r="A298" t="str">
            <v>NO KYC AVAILABLE &amp; LEFT (IN NOV. 2022)</v>
          </cell>
        </row>
        <row r="299">
          <cell r="A299" t="str">
            <v>VE1354</v>
          </cell>
        </row>
        <row r="300">
          <cell r="A300" t="str">
            <v>VE1359</v>
          </cell>
        </row>
        <row r="301">
          <cell r="A301" t="str">
            <v>VE1195</v>
          </cell>
          <cell r="B301">
            <v>101843640022</v>
          </cell>
          <cell r="C301" t="str">
            <v>3714391901</v>
          </cell>
        </row>
        <row r="302">
          <cell r="A302" t="str">
            <v xml:space="preserve">MAR. 2023 LEFT EMPLOYEE </v>
          </cell>
        </row>
        <row r="303">
          <cell r="A303" t="str">
            <v>VE1423</v>
          </cell>
          <cell r="B303">
            <v>101503402035</v>
          </cell>
          <cell r="C303" t="str">
            <v>3713120058</v>
          </cell>
        </row>
        <row r="304">
          <cell r="A304" t="str">
            <v>VE1438</v>
          </cell>
          <cell r="B304">
            <v>101919050826</v>
          </cell>
          <cell r="C304" t="str">
            <v>3714702571</v>
          </cell>
        </row>
        <row r="305">
          <cell r="A305" t="str">
            <v xml:space="preserve">FEB. 2023 LEFT EMPLOYEE </v>
          </cell>
        </row>
        <row r="306">
          <cell r="A306" t="str">
            <v>VE1123</v>
          </cell>
          <cell r="B306">
            <v>101596227775</v>
          </cell>
          <cell r="C306" t="str">
            <v>3713454070</v>
          </cell>
        </row>
        <row r="307">
          <cell r="A307" t="str">
            <v>VE1129</v>
          </cell>
          <cell r="B307">
            <v>101772958527</v>
          </cell>
          <cell r="C307" t="str">
            <v>3714129377</v>
          </cell>
        </row>
        <row r="308">
          <cell r="A308" t="str">
            <v>VE1017</v>
          </cell>
          <cell r="B308">
            <v>101544641186</v>
          </cell>
          <cell r="C308" t="str">
            <v>3714248238</v>
          </cell>
        </row>
        <row r="309">
          <cell r="A309" t="str">
            <v>VE1230</v>
          </cell>
          <cell r="B309">
            <v>101856317282</v>
          </cell>
          <cell r="C309" t="str">
            <v>3714432399</v>
          </cell>
        </row>
        <row r="310">
          <cell r="A310" t="str">
            <v>VE1259</v>
          </cell>
          <cell r="B310">
            <v>101784054256</v>
          </cell>
          <cell r="C310" t="str">
            <v>3714494267</v>
          </cell>
        </row>
        <row r="311">
          <cell r="A311" t="str">
            <v>VE1362</v>
          </cell>
          <cell r="B311">
            <v>101892732947</v>
          </cell>
          <cell r="C311" t="str">
            <v>3714589075</v>
          </cell>
        </row>
        <row r="312">
          <cell r="A312" t="str">
            <v>VE1279</v>
          </cell>
          <cell r="B312">
            <v>101357039319</v>
          </cell>
          <cell r="C312" t="str">
            <v>3714385665</v>
          </cell>
        </row>
        <row r="313">
          <cell r="A313" t="str">
            <v>VE1375</v>
          </cell>
          <cell r="B313">
            <v>101777748820</v>
          </cell>
          <cell r="C313" t="str">
            <v>3714608876</v>
          </cell>
        </row>
        <row r="314">
          <cell r="A314" t="str">
            <v>VE1376</v>
          </cell>
          <cell r="B314">
            <v>101898017182</v>
          </cell>
          <cell r="C314" t="str">
            <v>3714608875</v>
          </cell>
        </row>
        <row r="315">
          <cell r="A315" t="str">
            <v>VE1385</v>
          </cell>
          <cell r="B315">
            <v>101903213660</v>
          </cell>
          <cell r="C315" t="str">
            <v>3714638250</v>
          </cell>
        </row>
        <row r="316">
          <cell r="A316" t="str">
            <v>VE1058</v>
          </cell>
          <cell r="B316">
            <v>101581654530</v>
          </cell>
          <cell r="C316" t="str">
            <v>3713380544</v>
          </cell>
        </row>
        <row r="317">
          <cell r="A317" t="str">
            <v>VE1257</v>
          </cell>
          <cell r="B317">
            <v>101834064141</v>
          </cell>
          <cell r="C317" t="str">
            <v>3714349846</v>
          </cell>
        </row>
        <row r="318">
          <cell r="A318" t="str">
            <v>VE1328</v>
          </cell>
          <cell r="B318">
            <v>101838492498</v>
          </cell>
          <cell r="C318" t="str">
            <v>3714391757</v>
          </cell>
        </row>
        <row r="319">
          <cell r="A319" t="str">
            <v>VE1327</v>
          </cell>
          <cell r="B319">
            <v>101696219166</v>
          </cell>
          <cell r="C319" t="str">
            <v>3714378569</v>
          </cell>
        </row>
        <row r="320">
          <cell r="A320" t="str">
            <v>VE1403</v>
          </cell>
          <cell r="B320">
            <v>101597289596</v>
          </cell>
          <cell r="C320" t="str">
            <v>3911284045</v>
          </cell>
        </row>
        <row r="321">
          <cell r="A321" t="str">
            <v>VE1065</v>
          </cell>
          <cell r="B321">
            <v>101772363406</v>
          </cell>
          <cell r="C321">
            <v>3714146806</v>
          </cell>
        </row>
        <row r="322">
          <cell r="A322" t="str">
            <v>VE1033</v>
          </cell>
          <cell r="B322">
            <v>101791710549</v>
          </cell>
          <cell r="C322">
            <v>3714195236</v>
          </cell>
        </row>
        <row r="323">
          <cell r="A323" t="str">
            <v>VE1370</v>
          </cell>
          <cell r="B323">
            <v>101898017148</v>
          </cell>
          <cell r="C323" t="str">
            <v>3714608677</v>
          </cell>
        </row>
        <row r="324">
          <cell r="A324" t="str">
            <v>VE1361</v>
          </cell>
          <cell r="B324">
            <v>101898018418</v>
          </cell>
          <cell r="C324" t="str">
            <v>3714607819</v>
          </cell>
        </row>
        <row r="325">
          <cell r="A325" t="str">
            <v>VE1086</v>
          </cell>
          <cell r="B325">
            <v>101442006533</v>
          </cell>
          <cell r="C325">
            <v>3714248030</v>
          </cell>
        </row>
        <row r="326">
          <cell r="A326" t="str">
            <v>VE1360</v>
          </cell>
          <cell r="B326">
            <v>101898017153</v>
          </cell>
          <cell r="C326" t="str">
            <v>3714607833</v>
          </cell>
        </row>
        <row r="327">
          <cell r="A327" t="str">
            <v>VE1390</v>
          </cell>
          <cell r="B327">
            <v>101903275116</v>
          </cell>
          <cell r="C327" t="str">
            <v>3714637975</v>
          </cell>
        </row>
        <row r="328">
          <cell r="A328" t="str">
            <v>VE1173</v>
          </cell>
          <cell r="B328">
            <v>101828125353</v>
          </cell>
          <cell r="C328">
            <v>3714349912</v>
          </cell>
        </row>
        <row r="329">
          <cell r="A329" t="str">
            <v>VE1269</v>
          </cell>
          <cell r="B329">
            <v>101557057376</v>
          </cell>
          <cell r="C329" t="str">
            <v>3714608439</v>
          </cell>
        </row>
        <row r="330">
          <cell r="A330" t="str">
            <v xml:space="preserve">JAN. 2023 LEFT EMPLOYEE </v>
          </cell>
        </row>
        <row r="331">
          <cell r="A331" t="str">
            <v>VE1217</v>
          </cell>
          <cell r="B331">
            <v>101684494384</v>
          </cell>
          <cell r="C331" t="str">
            <v>3714194877</v>
          </cell>
        </row>
        <row r="332">
          <cell r="A332" t="str">
            <v>VE1196</v>
          </cell>
          <cell r="B332">
            <v>101772958504</v>
          </cell>
          <cell r="C332" t="str">
            <v>3714129355</v>
          </cell>
        </row>
        <row r="333">
          <cell r="A333" t="str">
            <v>VE1268</v>
          </cell>
          <cell r="B333">
            <v>101843640149</v>
          </cell>
          <cell r="C333" t="str">
            <v>3714392029</v>
          </cell>
        </row>
        <row r="334">
          <cell r="A334" t="str">
            <v>VE1346</v>
          </cell>
          <cell r="B334">
            <v>101851999608</v>
          </cell>
          <cell r="C334" t="str">
            <v>3714430285</v>
          </cell>
        </row>
        <row r="335">
          <cell r="A335" t="str">
            <v>VE4015</v>
          </cell>
          <cell r="B335">
            <v>101844180773</v>
          </cell>
          <cell r="C335" t="str">
            <v>3714393210</v>
          </cell>
        </row>
        <row r="336">
          <cell r="A336" t="str">
            <v xml:space="preserve">APRIL 2023 LEFT EMPLOYEE </v>
          </cell>
        </row>
        <row r="337">
          <cell r="A337" t="str">
            <v>VE3006</v>
          </cell>
          <cell r="B337">
            <v>101792808462</v>
          </cell>
          <cell r="C337" t="str">
            <v>3714177626</v>
          </cell>
        </row>
        <row r="338">
          <cell r="A338" t="str">
            <v>VE1312</v>
          </cell>
          <cell r="B338">
            <v>101753281094</v>
          </cell>
          <cell r="C338" t="str">
            <v>3714049187</v>
          </cell>
        </row>
        <row r="339">
          <cell r="A339" t="str">
            <v>VE1276</v>
          </cell>
          <cell r="B339">
            <v>101695346575</v>
          </cell>
          <cell r="C339" t="str">
            <v>3713974775</v>
          </cell>
        </row>
        <row r="340">
          <cell r="A340" t="str">
            <v>VE1261</v>
          </cell>
          <cell r="B340">
            <v>101769579512</v>
          </cell>
          <cell r="C340" t="str">
            <v>3714248286</v>
          </cell>
        </row>
        <row r="341">
          <cell r="A341" t="str">
            <v>VE1256</v>
          </cell>
          <cell r="B341">
            <v>101434539040</v>
          </cell>
          <cell r="C341" t="str">
            <v>3714349891</v>
          </cell>
        </row>
        <row r="342">
          <cell r="A342" t="str">
            <v>VE1192</v>
          </cell>
          <cell r="B342">
            <v>101843639582</v>
          </cell>
          <cell r="C342" t="str">
            <v>3714386347</v>
          </cell>
        </row>
        <row r="343">
          <cell r="A343" t="str">
            <v>VE1014</v>
          </cell>
          <cell r="B343">
            <v>101839932943</v>
          </cell>
          <cell r="C343" t="str">
            <v>3714493145</v>
          </cell>
        </row>
        <row r="344">
          <cell r="A344" t="str">
            <v>VE1155</v>
          </cell>
          <cell r="B344">
            <v>101263900616</v>
          </cell>
          <cell r="C344" t="str">
            <v>3714586096</v>
          </cell>
        </row>
        <row r="345">
          <cell r="A345" t="str">
            <v>VE1325</v>
          </cell>
          <cell r="B345">
            <v>101558544674</v>
          </cell>
          <cell r="C345" t="str">
            <v>3714690890</v>
          </cell>
        </row>
        <row r="346">
          <cell r="A346" t="str">
            <v>VE1374</v>
          </cell>
          <cell r="B346">
            <v>101732284757</v>
          </cell>
          <cell r="C346" t="str">
            <v>3714608881</v>
          </cell>
        </row>
        <row r="347">
          <cell r="A347" t="str">
            <v>VE1380</v>
          </cell>
          <cell r="B347">
            <v>101829176803</v>
          </cell>
          <cell r="C347" t="str">
            <v>3714638216</v>
          </cell>
        </row>
        <row r="348">
          <cell r="A348" t="str">
            <v>VE1405</v>
          </cell>
          <cell r="B348">
            <v>101416017429</v>
          </cell>
          <cell r="C348" t="str">
            <v>3911284049</v>
          </cell>
        </row>
        <row r="349">
          <cell r="A349" t="str">
            <v>VE1371</v>
          </cell>
          <cell r="B349">
            <v>101577573808</v>
          </cell>
          <cell r="C349" t="str">
            <v>3713788068</v>
          </cell>
        </row>
        <row r="350">
          <cell r="A350" t="str">
            <v>VE1109</v>
          </cell>
          <cell r="B350">
            <v>101568672211</v>
          </cell>
          <cell r="C350" t="str">
            <v>3713337041</v>
          </cell>
        </row>
        <row r="351">
          <cell r="A351" t="str">
            <v>VE1145</v>
          </cell>
          <cell r="B351">
            <v>101677915857</v>
          </cell>
          <cell r="C351" t="str">
            <v>3713739127</v>
          </cell>
        </row>
        <row r="352">
          <cell r="A352" t="str">
            <v>VE1135</v>
          </cell>
          <cell r="B352">
            <v>101678084808</v>
          </cell>
          <cell r="C352" t="str">
            <v>3713119997</v>
          </cell>
        </row>
        <row r="353">
          <cell r="A353" t="str">
            <v>VE1152</v>
          </cell>
          <cell r="B353">
            <v>101810409443</v>
          </cell>
          <cell r="C353" t="str">
            <v>3714248892</v>
          </cell>
        </row>
        <row r="354">
          <cell r="A354" t="str">
            <v>VE1414</v>
          </cell>
          <cell r="B354">
            <v>101909548502</v>
          </cell>
          <cell r="C354" t="str">
            <v>3911284063</v>
          </cell>
        </row>
        <row r="355">
          <cell r="A355" t="str">
            <v>VE1083</v>
          </cell>
          <cell r="B355">
            <v>101805009117</v>
          </cell>
          <cell r="C355" t="str">
            <v>3714195249</v>
          </cell>
        </row>
        <row r="356">
          <cell r="A356" t="str">
            <v>VE1175</v>
          </cell>
          <cell r="B356">
            <v>101743406125</v>
          </cell>
          <cell r="C356" t="str">
            <v>3714264098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04">
          <cell r="B104" t="str">
            <v>VE1481</v>
          </cell>
          <cell r="C104" t="str">
            <v>KARIYANI MAMTA RAMESHBHAI</v>
          </cell>
          <cell r="D104">
            <v>3714818306</v>
          </cell>
          <cell r="E104">
            <v>45054</v>
          </cell>
          <cell r="F104">
            <v>101944315949</v>
          </cell>
        </row>
        <row r="105">
          <cell r="B105" t="str">
            <v>VE1482</v>
          </cell>
          <cell r="C105" t="str">
            <v>DHUNDHALAVA MITAL KHATABHAI</v>
          </cell>
          <cell r="D105">
            <v>3714818355</v>
          </cell>
          <cell r="E105">
            <v>45047</v>
          </cell>
          <cell r="F105">
            <v>101935301533</v>
          </cell>
        </row>
        <row r="106">
          <cell r="B106" t="str">
            <v>VE1486</v>
          </cell>
          <cell r="C106" t="str">
            <v>CHAUDHARY BHANI RAMJIBHAI</v>
          </cell>
          <cell r="D106">
            <v>3714852475</v>
          </cell>
          <cell r="E106">
            <v>45047</v>
          </cell>
          <cell r="F106">
            <v>101944302199</v>
          </cell>
        </row>
        <row r="107">
          <cell r="B107" t="str">
            <v>VE1487</v>
          </cell>
          <cell r="C107" t="str">
            <v>VATALIYA  HEENABEN ASHVINKUMAR</v>
          </cell>
          <cell r="D107">
            <v>3714852537</v>
          </cell>
          <cell r="E107">
            <v>45047</v>
          </cell>
          <cell r="F107">
            <v>101176960651</v>
          </cell>
        </row>
        <row r="108">
          <cell r="B108" t="str">
            <v>VE1488</v>
          </cell>
          <cell r="C108" t="str">
            <v>PARMAR VAIBHAVKUMAR DASHARATHBHAI</v>
          </cell>
          <cell r="D108">
            <v>3714852555</v>
          </cell>
          <cell r="E108">
            <v>45047</v>
          </cell>
          <cell r="F108">
            <v>101944302201</v>
          </cell>
        </row>
        <row r="109">
          <cell r="B109" t="str">
            <v>VE1489</v>
          </cell>
          <cell r="C109" t="str">
            <v>GOHIL PRIYABEN BHAVSINHBHAI</v>
          </cell>
          <cell r="D109">
            <v>3714852568</v>
          </cell>
          <cell r="E109">
            <v>45052</v>
          </cell>
          <cell r="F109">
            <v>101935301496</v>
          </cell>
        </row>
        <row r="110">
          <cell r="B110" t="str">
            <v>VE1490</v>
          </cell>
          <cell r="C110" t="str">
            <v>GAL VAISHALI MERAMANBHAI</v>
          </cell>
          <cell r="D110">
            <v>3714852603</v>
          </cell>
          <cell r="E110">
            <v>45053</v>
          </cell>
          <cell r="F110">
            <v>101944305610</v>
          </cell>
        </row>
        <row r="111">
          <cell r="B111" t="str">
            <v>VE1491</v>
          </cell>
          <cell r="C111" t="str">
            <v>PARMAR SHAILESHBHAI LALJIBHAI</v>
          </cell>
          <cell r="D111">
            <v>3714852625</v>
          </cell>
          <cell r="E111">
            <v>45054</v>
          </cell>
          <cell r="F111">
            <v>101813966063</v>
          </cell>
        </row>
        <row r="112">
          <cell r="B112" t="str">
            <v>VE1492</v>
          </cell>
          <cell r="C112" t="str">
            <v>PATHAN FASILKHAN</v>
          </cell>
          <cell r="D112">
            <v>3714852658</v>
          </cell>
          <cell r="E112">
            <v>45056</v>
          </cell>
          <cell r="F112">
            <v>101864387697</v>
          </cell>
        </row>
        <row r="113">
          <cell r="B113" t="str">
            <v>VE1493</v>
          </cell>
          <cell r="C113" t="str">
            <v>RATHOD SANJAYKUMAR</v>
          </cell>
          <cell r="D113">
            <v>3714852763</v>
          </cell>
          <cell r="E113">
            <v>45056</v>
          </cell>
          <cell r="F113">
            <v>101792209587</v>
          </cell>
        </row>
        <row r="114">
          <cell r="B114" t="str">
            <v>VE1494</v>
          </cell>
          <cell r="C114" t="str">
            <v>RANGREJ SALTANAT</v>
          </cell>
          <cell r="D114">
            <v>3714852694</v>
          </cell>
          <cell r="E114">
            <v>45057</v>
          </cell>
          <cell r="F114">
            <v>101944302181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Downloads/Telegram%20Desktop/PHOTO/Photos%20of%20lab.tech/1045.jpg" TargetMode="External"/><Relationship Id="rId299" Type="http://schemas.openxmlformats.org/officeDocument/2006/relationships/hyperlink" Target="../Downloads/Telegram%20Desktop/PHOTO/SN/Rina%20gamit.jpg" TargetMode="External"/><Relationship Id="rId671" Type="http://schemas.openxmlformats.org/officeDocument/2006/relationships/hyperlink" Target="mailto:chavdarutu261@gmail.com" TargetMode="External"/><Relationship Id="rId727" Type="http://schemas.openxmlformats.org/officeDocument/2006/relationships/hyperlink" Target="mailto:hiralpariya@gmail.com" TargetMode="External"/><Relationship Id="rId21" Type="http://schemas.openxmlformats.org/officeDocument/2006/relationships/hyperlink" Target="file:///E:\PHOTO\Emp%20Photo\VE1141.jpg" TargetMode="External"/><Relationship Id="rId63" Type="http://schemas.openxmlformats.org/officeDocument/2006/relationships/hyperlink" Target="../Downloads/Telegram%20Desktop/PHOTO/Emp%20Photo/VE1387.jpg" TargetMode="External"/><Relationship Id="rId159" Type="http://schemas.openxmlformats.org/officeDocument/2006/relationships/hyperlink" Target="../Downloads/Telegram%20Desktop/PHOTO/DEO/bansu%20jayesh.jpg" TargetMode="External"/><Relationship Id="rId324" Type="http://schemas.openxmlformats.org/officeDocument/2006/relationships/hyperlink" Target="../Downloads/Telegram%20Desktop/PHOTO/All%20pic/1086.jpg" TargetMode="External"/><Relationship Id="rId366" Type="http://schemas.openxmlformats.org/officeDocument/2006/relationships/hyperlink" Target="../Downloads/Telegram%20Desktop/PHOTO/SN2/1217.jpg" TargetMode="External"/><Relationship Id="rId531" Type="http://schemas.openxmlformats.org/officeDocument/2006/relationships/hyperlink" Target="mailto:asarinitesh2000@gmail.com" TargetMode="External"/><Relationship Id="rId573" Type="http://schemas.openxmlformats.org/officeDocument/2006/relationships/hyperlink" Target="mailto:dharagohil6300@gmail.com" TargetMode="External"/><Relationship Id="rId629" Type="http://schemas.openxmlformats.org/officeDocument/2006/relationships/hyperlink" Target="mailto:utsavdesai890@gmail.com" TargetMode="External"/><Relationship Id="rId170" Type="http://schemas.openxmlformats.org/officeDocument/2006/relationships/hyperlink" Target="../Downloads/Telegram%20Desktop/PHOTO/DEO/Jinal%20mak.jpg" TargetMode="External"/><Relationship Id="rId226" Type="http://schemas.openxmlformats.org/officeDocument/2006/relationships/hyperlink" Target="../Downloads/Telegram%20Desktop/PHOTO/SN/1270.jpg" TargetMode="External"/><Relationship Id="rId433" Type="http://schemas.openxmlformats.org/officeDocument/2006/relationships/hyperlink" Target="../Downloads/Telegram%20Desktop/PHOTO/VE1471.jpg" TargetMode="External"/><Relationship Id="rId268" Type="http://schemas.openxmlformats.org/officeDocument/2006/relationships/hyperlink" Target="../Downloads/Telegram%20Desktop/PHOTO/SN/khokhariya.jpg" TargetMode="External"/><Relationship Id="rId475" Type="http://schemas.openxmlformats.org/officeDocument/2006/relationships/hyperlink" Target="mailto:devariyaartidevariyaarti@gmail.com" TargetMode="External"/><Relationship Id="rId640" Type="http://schemas.openxmlformats.org/officeDocument/2006/relationships/hyperlink" Target="mailto:nimishachaudhary2000@gmail.com" TargetMode="External"/><Relationship Id="rId682" Type="http://schemas.openxmlformats.org/officeDocument/2006/relationships/hyperlink" Target="mailto:gopipatel1102001@gmail.com" TargetMode="External"/><Relationship Id="rId738" Type="http://schemas.openxmlformats.org/officeDocument/2006/relationships/hyperlink" Target="mailto:hemanshreehadiyal@gmail.com" TargetMode="External"/><Relationship Id="rId32" Type="http://schemas.openxmlformats.org/officeDocument/2006/relationships/hyperlink" Target="../Downloads/Telegram%20Desktop/PHOTO/Emp%20Photo/VE1218.jpg" TargetMode="External"/><Relationship Id="rId74" Type="http://schemas.openxmlformats.org/officeDocument/2006/relationships/hyperlink" Target="../Downloads/Telegram%20Desktop/PHOTO/Emp%20Photo/VE1407.jpg" TargetMode="External"/><Relationship Id="rId128" Type="http://schemas.openxmlformats.org/officeDocument/2006/relationships/hyperlink" Target="../Downloads/Telegram%20Desktop/PHOTO/Photos%20of%20lab.tech/1133.jpg" TargetMode="External"/><Relationship Id="rId335" Type="http://schemas.openxmlformats.org/officeDocument/2006/relationships/hyperlink" Target="../Downloads/Telegram%20Desktop/PHOTO/All%20pic/1251.jpg" TargetMode="External"/><Relationship Id="rId377" Type="http://schemas.openxmlformats.org/officeDocument/2006/relationships/hyperlink" Target="../Downloads/Telegram%20Desktop/PHOTO/SN2/1298.jpg" TargetMode="External"/><Relationship Id="rId500" Type="http://schemas.openxmlformats.org/officeDocument/2006/relationships/hyperlink" Target="mailto:madhuchauhan1942@gmail.com" TargetMode="External"/><Relationship Id="rId542" Type="http://schemas.openxmlformats.org/officeDocument/2006/relationships/hyperlink" Target="mailto:kanojiyaprashant11@gmail.com" TargetMode="External"/><Relationship Id="rId584" Type="http://schemas.openxmlformats.org/officeDocument/2006/relationships/hyperlink" Target="mailto:daxeshprajapati2904@gmail.com" TargetMode="External"/><Relationship Id="rId5" Type="http://schemas.openxmlformats.org/officeDocument/2006/relationships/hyperlink" Target="file:///E:\PHOTO\Emp%20Photo\VE1030.jpg" TargetMode="External"/><Relationship Id="rId181" Type="http://schemas.openxmlformats.org/officeDocument/2006/relationships/hyperlink" Target="../Downloads/Telegram%20Desktop/PHOTO/DEO/Manish%20patel.jpg" TargetMode="External"/><Relationship Id="rId237" Type="http://schemas.openxmlformats.org/officeDocument/2006/relationships/hyperlink" Target="../Downloads/Telegram%20Desktop/PHOTO/SN/1408.jpg" TargetMode="External"/><Relationship Id="rId402" Type="http://schemas.openxmlformats.org/officeDocument/2006/relationships/hyperlink" Target="../Downloads/Telegram%20Desktop/PHOTO/All%20pic/1462.jpg" TargetMode="External"/><Relationship Id="rId279" Type="http://schemas.openxmlformats.org/officeDocument/2006/relationships/hyperlink" Target="../Downloads/Telegram%20Desktop/PHOTO/SN/patel%20divya.jpg" TargetMode="External"/><Relationship Id="rId444" Type="http://schemas.openxmlformats.org/officeDocument/2006/relationships/hyperlink" Target="../Downloads/Telegram%20Desktop/PHOTO/VE1483.jpg" TargetMode="External"/><Relationship Id="rId486" Type="http://schemas.openxmlformats.org/officeDocument/2006/relationships/hyperlink" Target="mailto:harshavaghela308@gmail.com" TargetMode="External"/><Relationship Id="rId651" Type="http://schemas.openxmlformats.org/officeDocument/2006/relationships/hyperlink" Target="mailto:kapadiyadushyant65@gmail.com" TargetMode="External"/><Relationship Id="rId693" Type="http://schemas.openxmlformats.org/officeDocument/2006/relationships/hyperlink" Target="mailto:kiranchavda2306@gmail.com" TargetMode="External"/><Relationship Id="rId707" Type="http://schemas.openxmlformats.org/officeDocument/2006/relationships/hyperlink" Target="mailto:ankiimalviya7448@gmail.com" TargetMode="External"/><Relationship Id="rId43" Type="http://schemas.openxmlformats.org/officeDocument/2006/relationships/hyperlink" Target="../Downloads/Telegram%20Desktop/PHOTO/Emp%20Photo/VE1310.jpg" TargetMode="External"/><Relationship Id="rId139" Type="http://schemas.openxmlformats.org/officeDocument/2006/relationships/hyperlink" Target="../Downloads/Telegram%20Desktop/PHOTO/DEO/1035.jpg" TargetMode="External"/><Relationship Id="rId290" Type="http://schemas.openxmlformats.org/officeDocument/2006/relationships/hyperlink" Target="../Downloads/Telegram%20Desktop/PHOTO/SN/quency.jpg" TargetMode="External"/><Relationship Id="rId304" Type="http://schemas.openxmlformats.org/officeDocument/2006/relationships/hyperlink" Target="../Downloads/Telegram%20Desktop/PHOTO/SN/stavan.jpg" TargetMode="External"/><Relationship Id="rId346" Type="http://schemas.openxmlformats.org/officeDocument/2006/relationships/hyperlink" Target="../Downloads/Telegram%20Desktop/PHOTO/All%20pic/1450.jpg" TargetMode="External"/><Relationship Id="rId388" Type="http://schemas.openxmlformats.org/officeDocument/2006/relationships/hyperlink" Target="../Downloads/Telegram%20Desktop/PHOTO/SN2/1444.jpg" TargetMode="External"/><Relationship Id="rId511" Type="http://schemas.openxmlformats.org/officeDocument/2006/relationships/hyperlink" Target="mailto:pataniarchana6894@gmail.com" TargetMode="External"/><Relationship Id="rId553" Type="http://schemas.openxmlformats.org/officeDocument/2006/relationships/hyperlink" Target="mailto:aishvariyajirala@gmail.com" TargetMode="External"/><Relationship Id="rId609" Type="http://schemas.openxmlformats.org/officeDocument/2006/relationships/hyperlink" Target="mailto:malaviyayamansi@gmail.com" TargetMode="External"/><Relationship Id="rId85" Type="http://schemas.openxmlformats.org/officeDocument/2006/relationships/hyperlink" Target="../Downloads/Telegram%20Desktop/PHOTO/Emp%20Photo%201/VE1065.jpg" TargetMode="External"/><Relationship Id="rId150" Type="http://schemas.openxmlformats.org/officeDocument/2006/relationships/hyperlink" Target="../Downloads/Telegram%20Desktop/PHOTO/DEO/1215.jpg" TargetMode="External"/><Relationship Id="rId192" Type="http://schemas.openxmlformats.org/officeDocument/2006/relationships/hyperlink" Target="../Downloads/Telegram%20Desktop/PHOTO/DEO/Rathod%20jatin.jpg" TargetMode="External"/><Relationship Id="rId206" Type="http://schemas.openxmlformats.org/officeDocument/2006/relationships/hyperlink" Target="../Downloads/Telegram%20Desktop/PHOTO/SN/1089.jpg" TargetMode="External"/><Relationship Id="rId413" Type="http://schemas.openxmlformats.org/officeDocument/2006/relationships/hyperlink" Target="mailto:nezretha@gmail.com" TargetMode="External"/><Relationship Id="rId595" Type="http://schemas.openxmlformats.org/officeDocument/2006/relationships/hyperlink" Target="mailto:muskansandhi31@gmail.com" TargetMode="External"/><Relationship Id="rId248" Type="http://schemas.openxmlformats.org/officeDocument/2006/relationships/hyperlink" Target="../Downloads/Telegram%20Desktop/PHOTO/SN/Arpita%20chri.jpg" TargetMode="External"/><Relationship Id="rId455" Type="http://schemas.openxmlformats.org/officeDocument/2006/relationships/hyperlink" Target="../Downloads/Telegram%20Desktop/PHOTO/VE1225.jpg" TargetMode="External"/><Relationship Id="rId497" Type="http://schemas.openxmlformats.org/officeDocument/2006/relationships/hyperlink" Target="mailto:dayakitnu2902@gmail.com" TargetMode="External"/><Relationship Id="rId620" Type="http://schemas.openxmlformats.org/officeDocument/2006/relationships/hyperlink" Target="mailto:morihiten0@gmail.com" TargetMode="External"/><Relationship Id="rId662" Type="http://schemas.openxmlformats.org/officeDocument/2006/relationships/hyperlink" Target="mailto:poojanayak932@gmail.com" TargetMode="External"/><Relationship Id="rId718" Type="http://schemas.openxmlformats.org/officeDocument/2006/relationships/hyperlink" Target="mailto:alkachauhan0674@gmail.com" TargetMode="External"/><Relationship Id="rId12" Type="http://schemas.openxmlformats.org/officeDocument/2006/relationships/hyperlink" Target="file:///E:\PHOTO\Emp%20Photo\VE1067.jpg" TargetMode="External"/><Relationship Id="rId108" Type="http://schemas.openxmlformats.org/officeDocument/2006/relationships/hyperlink" Target="../Downloads/Telegram%20Desktop/PHOTO/Emp%20Photo%201/VE1398.jpg" TargetMode="External"/><Relationship Id="rId315" Type="http://schemas.openxmlformats.org/officeDocument/2006/relationships/hyperlink" Target="../Downloads/Telegram%20Desktop/PHOTO/All%20pic/1002.jpg" TargetMode="External"/><Relationship Id="rId357" Type="http://schemas.openxmlformats.org/officeDocument/2006/relationships/hyperlink" Target="../Downloads/Telegram%20Desktop/PHOTO/SN2/1143.jpg" TargetMode="External"/><Relationship Id="rId522" Type="http://schemas.openxmlformats.org/officeDocument/2006/relationships/hyperlink" Target="mailto:ruhanashaikh9@gmail.com" TargetMode="External"/><Relationship Id="rId54" Type="http://schemas.openxmlformats.org/officeDocument/2006/relationships/hyperlink" Target="../Downloads/Telegram%20Desktop/PHOTO/Emp%20Photo/VE1375.jpg" TargetMode="External"/><Relationship Id="rId96" Type="http://schemas.openxmlformats.org/officeDocument/2006/relationships/hyperlink" Target="../Downloads/Telegram%20Desktop/PHOTO/Emp%20Photo%201/VE1248.jpg" TargetMode="External"/><Relationship Id="rId161" Type="http://schemas.openxmlformats.org/officeDocument/2006/relationships/hyperlink" Target="../Downloads/Telegram%20Desktop/PHOTO/DEO/bhambhaniya.jpg" TargetMode="External"/><Relationship Id="rId217" Type="http://schemas.openxmlformats.org/officeDocument/2006/relationships/hyperlink" Target="../Downloads/Telegram%20Desktop/PHOTO/SN/1179.jpg" TargetMode="External"/><Relationship Id="rId399" Type="http://schemas.openxmlformats.org/officeDocument/2006/relationships/hyperlink" Target="../Downloads/Telegram%20Desktop/PHOTO/All%20pic/1458.jpg" TargetMode="External"/><Relationship Id="rId564" Type="http://schemas.openxmlformats.org/officeDocument/2006/relationships/hyperlink" Target="mailto:prexabenpatel0408@gmail.com" TargetMode="External"/><Relationship Id="rId259" Type="http://schemas.openxmlformats.org/officeDocument/2006/relationships/hyperlink" Target="../Downloads/Telegram%20Desktop/PHOTO/SN/Gohil%20Abhishek.jpg" TargetMode="External"/><Relationship Id="rId424" Type="http://schemas.openxmlformats.org/officeDocument/2006/relationships/hyperlink" Target="mailto:vaibhavkumarp9@gmail.com" TargetMode="External"/><Relationship Id="rId466" Type="http://schemas.openxmlformats.org/officeDocument/2006/relationships/hyperlink" Target="mailto:brkamliyakamliya@gmail.com" TargetMode="External"/><Relationship Id="rId631" Type="http://schemas.openxmlformats.org/officeDocument/2006/relationships/hyperlink" Target="mailto:pithiyadevang1908@gmail.com" TargetMode="External"/><Relationship Id="rId673" Type="http://schemas.openxmlformats.org/officeDocument/2006/relationships/hyperlink" Target="mailto:krunalmodiya009@gmail.com" TargetMode="External"/><Relationship Id="rId729" Type="http://schemas.openxmlformats.org/officeDocument/2006/relationships/hyperlink" Target="mailto:yaminimaheriya@gmail.com" TargetMode="External"/><Relationship Id="rId23" Type="http://schemas.openxmlformats.org/officeDocument/2006/relationships/hyperlink" Target="file:///E:\PHOTO\Emp%20Photo\VE1155.jpg" TargetMode="External"/><Relationship Id="rId119" Type="http://schemas.openxmlformats.org/officeDocument/2006/relationships/hyperlink" Target="../Downloads/Telegram%20Desktop/PHOTO/Photos%20of%20lab.tech/1075.jpg" TargetMode="External"/><Relationship Id="rId270" Type="http://schemas.openxmlformats.org/officeDocument/2006/relationships/hyperlink" Target="../Downloads/Telegram%20Desktop/PHOTO/SN/Kruksha%20ajmeri.jpg" TargetMode="External"/><Relationship Id="rId326" Type="http://schemas.openxmlformats.org/officeDocument/2006/relationships/hyperlink" Target="../Downloads/Telegram%20Desktop/PHOTO/All%20pic/1135.jpg" TargetMode="External"/><Relationship Id="rId533" Type="http://schemas.openxmlformats.org/officeDocument/2006/relationships/hyperlink" Target="mailto:mittalpatani1@gmail.com" TargetMode="External"/><Relationship Id="rId65" Type="http://schemas.openxmlformats.org/officeDocument/2006/relationships/hyperlink" Target="../Downloads/Telegram%20Desktop/PHOTO/Emp%20Photo/VE1300.jpg" TargetMode="External"/><Relationship Id="rId130" Type="http://schemas.openxmlformats.org/officeDocument/2006/relationships/hyperlink" Target="../Downloads/Telegram%20Desktop/PHOTO/Photos%20of%20lab.tech/1221.jpg" TargetMode="External"/><Relationship Id="rId368" Type="http://schemas.openxmlformats.org/officeDocument/2006/relationships/hyperlink" Target="../Downloads/Telegram%20Desktop/PHOTO/SN2/1231.jpg" TargetMode="External"/><Relationship Id="rId575" Type="http://schemas.openxmlformats.org/officeDocument/2006/relationships/hyperlink" Target="mailto:kuriyapooja22@gmail.com" TargetMode="External"/><Relationship Id="rId740" Type="http://schemas.openxmlformats.org/officeDocument/2006/relationships/hyperlink" Target="mailto:poojaravat6419@gmail.com" TargetMode="External"/><Relationship Id="rId172" Type="http://schemas.openxmlformats.org/officeDocument/2006/relationships/hyperlink" Target="../Downloads/Telegram%20Desktop/PHOTO/DEO/kanubhai.jpg" TargetMode="External"/><Relationship Id="rId228" Type="http://schemas.openxmlformats.org/officeDocument/2006/relationships/hyperlink" Target="../Downloads/Telegram%20Desktop/PHOTO/SN/1306.jpg" TargetMode="External"/><Relationship Id="rId435" Type="http://schemas.openxmlformats.org/officeDocument/2006/relationships/hyperlink" Target="../Downloads/Telegram%20Desktop/PHOTO/VE1473.jpg" TargetMode="External"/><Relationship Id="rId477" Type="http://schemas.openxmlformats.org/officeDocument/2006/relationships/hyperlink" Target="mailto:maitritrivedi95@gmail.com" TargetMode="External"/><Relationship Id="rId600" Type="http://schemas.openxmlformats.org/officeDocument/2006/relationships/hyperlink" Target="mailto:monikagopat57@gmail.com" TargetMode="External"/><Relationship Id="rId642" Type="http://schemas.openxmlformats.org/officeDocument/2006/relationships/hyperlink" Target="mailto:sheronparmar9974@gmail.com" TargetMode="External"/><Relationship Id="rId684" Type="http://schemas.openxmlformats.org/officeDocument/2006/relationships/hyperlink" Target="mailto:babariyabansi04@gmail.com" TargetMode="External"/><Relationship Id="rId281" Type="http://schemas.openxmlformats.org/officeDocument/2006/relationships/hyperlink" Target="../Downloads/Telegram%20Desktop/PHOTO/SN/patni%20aaksh.jpg" TargetMode="External"/><Relationship Id="rId337" Type="http://schemas.openxmlformats.org/officeDocument/2006/relationships/hyperlink" Target="../Downloads/Telegram%20Desktop/PHOTO/All%20pic/1281.jpg" TargetMode="External"/><Relationship Id="rId502" Type="http://schemas.openxmlformats.org/officeDocument/2006/relationships/hyperlink" Target="mailto:nandinikuman402@gmail.com" TargetMode="External"/><Relationship Id="rId34" Type="http://schemas.openxmlformats.org/officeDocument/2006/relationships/hyperlink" Target="../Downloads/Telegram%20Desktop/PHOTO/Emp%20Photo/VE1235.jpg" TargetMode="External"/><Relationship Id="rId76" Type="http://schemas.openxmlformats.org/officeDocument/2006/relationships/hyperlink" Target="../Downloads/Telegram%20Desktop/PHOTO/Emp%20Photo/VE1419.jpg" TargetMode="External"/><Relationship Id="rId141" Type="http://schemas.openxmlformats.org/officeDocument/2006/relationships/hyperlink" Target="../Downloads/Telegram%20Desktop/PHOTO/DEO/1038.jpg" TargetMode="External"/><Relationship Id="rId379" Type="http://schemas.openxmlformats.org/officeDocument/2006/relationships/hyperlink" Target="../Downloads/Telegram%20Desktop/PHOTO/SN2/1325.jpg" TargetMode="External"/><Relationship Id="rId544" Type="http://schemas.openxmlformats.org/officeDocument/2006/relationships/hyperlink" Target="mailto:kamaliyakuldeep66501@gmail.com" TargetMode="External"/><Relationship Id="rId586" Type="http://schemas.openxmlformats.org/officeDocument/2006/relationships/hyperlink" Target="mailto:urvishabarad8787@gmail.com" TargetMode="External"/><Relationship Id="rId7" Type="http://schemas.openxmlformats.org/officeDocument/2006/relationships/hyperlink" Target="file:///E:\PHOTO\Emp%20Photo\VE1037.jpg" TargetMode="External"/><Relationship Id="rId183" Type="http://schemas.openxmlformats.org/officeDocument/2006/relationships/hyperlink" Target="../Downloads/Telegram%20Desktop/PHOTO/DEO/mansi%20chavda.jpg" TargetMode="External"/><Relationship Id="rId239" Type="http://schemas.openxmlformats.org/officeDocument/2006/relationships/hyperlink" Target="../Downloads/Telegram%20Desktop/PHOTO/SN/1417.jpg" TargetMode="External"/><Relationship Id="rId390" Type="http://schemas.openxmlformats.org/officeDocument/2006/relationships/hyperlink" Target="../Downloads/Telegram%20Desktop/PHOTO/1411.jpg" TargetMode="External"/><Relationship Id="rId404" Type="http://schemas.openxmlformats.org/officeDocument/2006/relationships/hyperlink" Target="../Downloads/Telegram%20Desktop/PHOTO/1402.jpg" TargetMode="External"/><Relationship Id="rId446" Type="http://schemas.openxmlformats.org/officeDocument/2006/relationships/hyperlink" Target="../Downloads/Telegram%20Desktop/PHOTO/VE1485.jpg" TargetMode="External"/><Relationship Id="rId611" Type="http://schemas.openxmlformats.org/officeDocument/2006/relationships/hyperlink" Target="mailto:darbardimpalben@gmail.com" TargetMode="External"/><Relationship Id="rId653" Type="http://schemas.openxmlformats.org/officeDocument/2006/relationships/hyperlink" Target="mailto:saveraparmar2203@gmail.com" TargetMode="External"/><Relationship Id="rId250" Type="http://schemas.openxmlformats.org/officeDocument/2006/relationships/hyperlink" Target="../Downloads/Telegram%20Desktop/PHOTO/SN/bhambhi%20jigar.jpg" TargetMode="External"/><Relationship Id="rId292" Type="http://schemas.openxmlformats.org/officeDocument/2006/relationships/hyperlink" Target="../Downloads/Telegram%20Desktop/PHOTO/SN/rajvi%20khaire.jpg" TargetMode="External"/><Relationship Id="rId306" Type="http://schemas.openxmlformats.org/officeDocument/2006/relationships/hyperlink" Target="../Downloads/Telegram%20Desktop/PHOTO/SN/sumera%20bhavesh.jpg" TargetMode="External"/><Relationship Id="rId488" Type="http://schemas.openxmlformats.org/officeDocument/2006/relationships/hyperlink" Target="mailto:tejashadiyel1652@gmail.com" TargetMode="External"/><Relationship Id="rId695" Type="http://schemas.openxmlformats.org/officeDocument/2006/relationships/hyperlink" Target="mailto:nanisharajput21@gmail.com" TargetMode="External"/><Relationship Id="rId709" Type="http://schemas.openxmlformats.org/officeDocument/2006/relationships/hyperlink" Target="mailto:nehapatni1110@gmail.com" TargetMode="External"/><Relationship Id="rId45" Type="http://schemas.openxmlformats.org/officeDocument/2006/relationships/hyperlink" Target="../Downloads/Telegram%20Desktop/PHOTO/Emp%20Photo/VE1327.jpg" TargetMode="External"/><Relationship Id="rId87" Type="http://schemas.openxmlformats.org/officeDocument/2006/relationships/hyperlink" Target="../Downloads/Telegram%20Desktop/PHOTO/Emp%20Photo%201/VE1076.jpg" TargetMode="External"/><Relationship Id="rId110" Type="http://schemas.openxmlformats.org/officeDocument/2006/relationships/hyperlink" Target="../Downloads/Telegram%20Desktop/PHOTO/Emp%20Photo%201/VE1401.jpg" TargetMode="External"/><Relationship Id="rId348" Type="http://schemas.openxmlformats.org/officeDocument/2006/relationships/hyperlink" Target="../Downloads/Telegram%20Desktop/PHOTO/IMG-20230320-WA0008.jpg" TargetMode="External"/><Relationship Id="rId513" Type="http://schemas.openxmlformats.org/officeDocument/2006/relationships/hyperlink" Target="mailto:rahulrathva2018@gmail.com" TargetMode="External"/><Relationship Id="rId555" Type="http://schemas.openxmlformats.org/officeDocument/2006/relationships/hyperlink" Target="mailto:neharathor1807@gmail.com" TargetMode="External"/><Relationship Id="rId597" Type="http://schemas.openxmlformats.org/officeDocument/2006/relationships/hyperlink" Target="mailto:ravatanjali99@gmail.com" TargetMode="External"/><Relationship Id="rId720" Type="http://schemas.openxmlformats.org/officeDocument/2006/relationships/hyperlink" Target="mailto:utsavrathod910@gmail.com" TargetMode="External"/><Relationship Id="rId152" Type="http://schemas.openxmlformats.org/officeDocument/2006/relationships/hyperlink" Target="../Downloads/Telegram%20Desktop/PHOTO/DEO/1228.jpg" TargetMode="External"/><Relationship Id="rId194" Type="http://schemas.openxmlformats.org/officeDocument/2006/relationships/hyperlink" Target="../Downloads/Telegram%20Desktop/PHOTO/DEO/Shukla%20hetal.jpg" TargetMode="External"/><Relationship Id="rId208" Type="http://schemas.openxmlformats.org/officeDocument/2006/relationships/hyperlink" Target="../Downloads/Telegram%20Desktop/PHOTO/SN/1095.jpg" TargetMode="External"/><Relationship Id="rId415" Type="http://schemas.openxmlformats.org/officeDocument/2006/relationships/hyperlink" Target="mailto:sonaldamani1@gmail.com" TargetMode="External"/><Relationship Id="rId457" Type="http://schemas.openxmlformats.org/officeDocument/2006/relationships/hyperlink" Target="../Downloads/Telegram%20Desktop/PHOTO/VE1492.jpg" TargetMode="External"/><Relationship Id="rId622" Type="http://schemas.openxmlformats.org/officeDocument/2006/relationships/hyperlink" Target="mailto:pihuchaudhary36@gmail.com" TargetMode="External"/><Relationship Id="rId261" Type="http://schemas.openxmlformats.org/officeDocument/2006/relationships/hyperlink" Target="../Downloads/Telegram%20Desktop/PHOTO/SN/Hinali%20patel.jpg" TargetMode="External"/><Relationship Id="rId499" Type="http://schemas.openxmlformats.org/officeDocument/2006/relationships/hyperlink" Target="mailto:dhamalvishal5892@gmail.com" TargetMode="External"/><Relationship Id="rId664" Type="http://schemas.openxmlformats.org/officeDocument/2006/relationships/hyperlink" Target="mailto:sonalkharadi1609@gmail.com" TargetMode="External"/><Relationship Id="rId14" Type="http://schemas.openxmlformats.org/officeDocument/2006/relationships/hyperlink" Target="file:///E:\PHOTO\Emp%20Photo\VE1097.jpg" TargetMode="External"/><Relationship Id="rId56" Type="http://schemas.openxmlformats.org/officeDocument/2006/relationships/hyperlink" Target="../Downloads/Telegram%20Desktop/PHOTO/Emp%20Photo/VE1378.jpg" TargetMode="External"/><Relationship Id="rId317" Type="http://schemas.openxmlformats.org/officeDocument/2006/relationships/hyperlink" Target="../Downloads/Telegram%20Desktop/PHOTO/All%20pic/1047.jpg" TargetMode="External"/><Relationship Id="rId359" Type="http://schemas.openxmlformats.org/officeDocument/2006/relationships/hyperlink" Target="../Downloads/Telegram%20Desktop/PHOTO/SN2/1188.jpg" TargetMode="External"/><Relationship Id="rId524" Type="http://schemas.openxmlformats.org/officeDocument/2006/relationships/hyperlink" Target="mailto:rekhasuvera756@gmail.com" TargetMode="External"/><Relationship Id="rId566" Type="http://schemas.openxmlformats.org/officeDocument/2006/relationships/hyperlink" Target="mailto:macwanrichi@gmail.com" TargetMode="External"/><Relationship Id="rId731" Type="http://schemas.openxmlformats.org/officeDocument/2006/relationships/hyperlink" Target="mailto:nishitachauhan494@gmail.com" TargetMode="External"/><Relationship Id="rId98" Type="http://schemas.openxmlformats.org/officeDocument/2006/relationships/hyperlink" Target="../Downloads/Telegram%20Desktop/PHOTO/Emp%20Photo%201/VE1258.jpg" TargetMode="External"/><Relationship Id="rId121" Type="http://schemas.openxmlformats.org/officeDocument/2006/relationships/hyperlink" Target="../Downloads/Telegram%20Desktop/PHOTO/Photos%20of%20lab.tech/1082.jpg" TargetMode="External"/><Relationship Id="rId163" Type="http://schemas.openxmlformats.org/officeDocument/2006/relationships/hyperlink" Target="../Downloads/Telegram%20Desktop/PHOTO/DEO/bhil%20rahul.jpg" TargetMode="External"/><Relationship Id="rId219" Type="http://schemas.openxmlformats.org/officeDocument/2006/relationships/hyperlink" Target="../Downloads/Telegram%20Desktop/PHOTO/SN/1213.jpg" TargetMode="External"/><Relationship Id="rId370" Type="http://schemas.openxmlformats.org/officeDocument/2006/relationships/hyperlink" Target="../Downloads/Telegram%20Desktop/PHOTO/SN2/1237.jpg" TargetMode="External"/><Relationship Id="rId426" Type="http://schemas.openxmlformats.org/officeDocument/2006/relationships/hyperlink" Target="mailto:vaishaligal2000@gmail.com" TargetMode="External"/><Relationship Id="rId633" Type="http://schemas.openxmlformats.org/officeDocument/2006/relationships/hyperlink" Target="mailto:patelkrishna628@gmail.com" TargetMode="External"/><Relationship Id="rId230" Type="http://schemas.openxmlformats.org/officeDocument/2006/relationships/hyperlink" Target="../Downloads/Telegram%20Desktop/PHOTO/SN/1312.jpg" TargetMode="External"/><Relationship Id="rId468" Type="http://schemas.openxmlformats.org/officeDocument/2006/relationships/hyperlink" Target="../Downloads/Telegram%20Desktop/PHOTO/VE1497.jpg" TargetMode="External"/><Relationship Id="rId675" Type="http://schemas.openxmlformats.org/officeDocument/2006/relationships/hyperlink" Target="mailto:kajalpatni486@gmail.com" TargetMode="External"/><Relationship Id="rId25" Type="http://schemas.openxmlformats.org/officeDocument/2006/relationships/hyperlink" Target="file:///E:\PHOTO\Emp%20Photo\VE1167.jpg" TargetMode="External"/><Relationship Id="rId67" Type="http://schemas.openxmlformats.org/officeDocument/2006/relationships/hyperlink" Target="../Downloads/Telegram%20Desktop/PHOTO/Emp%20Photo/VE1393.jpg" TargetMode="External"/><Relationship Id="rId272" Type="http://schemas.openxmlformats.org/officeDocument/2006/relationships/hyperlink" Target="../Downloads/Telegram%20Desktop/PHOTO/SN/makwana%20yashvant.jpg" TargetMode="External"/><Relationship Id="rId328" Type="http://schemas.openxmlformats.org/officeDocument/2006/relationships/hyperlink" Target="../Downloads/Telegram%20Desktop/PHOTO/All%20pic/1153.jpg" TargetMode="External"/><Relationship Id="rId535" Type="http://schemas.openxmlformats.org/officeDocument/2006/relationships/hyperlink" Target="mailto:chhayadhakiya672@gmail.com" TargetMode="External"/><Relationship Id="rId577" Type="http://schemas.openxmlformats.org/officeDocument/2006/relationships/hyperlink" Target="mailto:pateldhruhil80@gmail.com" TargetMode="External"/><Relationship Id="rId700" Type="http://schemas.openxmlformats.org/officeDocument/2006/relationships/hyperlink" Target="mailto:chiragmovadiya007@gmail.com" TargetMode="External"/><Relationship Id="rId742" Type="http://schemas.openxmlformats.org/officeDocument/2006/relationships/hyperlink" Target="mailto:pandorurvisha5@gmail.com" TargetMode="External"/><Relationship Id="rId132" Type="http://schemas.openxmlformats.org/officeDocument/2006/relationships/hyperlink" Target="../Downloads/Telegram%20Desktop/PHOTO/Photos%20of%20lab.tech/1223.jpg" TargetMode="External"/><Relationship Id="rId174" Type="http://schemas.openxmlformats.org/officeDocument/2006/relationships/hyperlink" Target="../Downloads/Telegram%20Desktop/PHOTO/DEO/Kapadia%20nehal.jpg" TargetMode="External"/><Relationship Id="rId381" Type="http://schemas.openxmlformats.org/officeDocument/2006/relationships/hyperlink" Target="../Downloads/Telegram%20Desktop/PHOTO/SN2/1350.jpg" TargetMode="External"/><Relationship Id="rId602" Type="http://schemas.openxmlformats.org/officeDocument/2006/relationships/hyperlink" Target="mailto:tarbundiyajagruti2002@gmail.com" TargetMode="External"/><Relationship Id="rId241" Type="http://schemas.openxmlformats.org/officeDocument/2006/relationships/hyperlink" Target="../Downloads/Telegram%20Desktop/PHOTO/SN/1426.jpg" TargetMode="External"/><Relationship Id="rId437" Type="http://schemas.openxmlformats.org/officeDocument/2006/relationships/hyperlink" Target="../Downloads/Telegram%20Desktop/PHOTO/VE1476.jpg" TargetMode="External"/><Relationship Id="rId479" Type="http://schemas.openxmlformats.org/officeDocument/2006/relationships/hyperlink" Target="mailto:pataniurmi1517@gmail.com" TargetMode="External"/><Relationship Id="rId644" Type="http://schemas.openxmlformats.org/officeDocument/2006/relationships/hyperlink" Target="mailto:sujanmansuri01@gmail.com" TargetMode="External"/><Relationship Id="rId686" Type="http://schemas.openxmlformats.org/officeDocument/2006/relationships/hyperlink" Target="mailto:christiandinal30@gmail.com" TargetMode="External"/><Relationship Id="rId36" Type="http://schemas.openxmlformats.org/officeDocument/2006/relationships/hyperlink" Target="../Downloads/Telegram%20Desktop/PHOTO/Emp%20Photo/VE1250.jpg" TargetMode="External"/><Relationship Id="rId283" Type="http://schemas.openxmlformats.org/officeDocument/2006/relationships/hyperlink" Target="../Downloads/Telegram%20Desktop/PHOTO/SN/Pooja%20Prajapati%20r.jpg" TargetMode="External"/><Relationship Id="rId339" Type="http://schemas.openxmlformats.org/officeDocument/2006/relationships/hyperlink" Target="../Downloads/Telegram%20Desktop/PHOTO/All%20pic/1295.jpg" TargetMode="External"/><Relationship Id="rId490" Type="http://schemas.openxmlformats.org/officeDocument/2006/relationships/hyperlink" Target="mailto:shilpasolanki332@gmail.com" TargetMode="External"/><Relationship Id="rId504" Type="http://schemas.openxmlformats.org/officeDocument/2006/relationships/hyperlink" Target="mailto:manish130591@gmail.com" TargetMode="External"/><Relationship Id="rId546" Type="http://schemas.openxmlformats.org/officeDocument/2006/relationships/hyperlink" Target="mailto:daxrathod098@gmail.com" TargetMode="External"/><Relationship Id="rId711" Type="http://schemas.openxmlformats.org/officeDocument/2006/relationships/hyperlink" Target="mailto:sangitamakwana0@gmail.com" TargetMode="External"/><Relationship Id="rId78" Type="http://schemas.openxmlformats.org/officeDocument/2006/relationships/hyperlink" Target="../Downloads/Telegram%20Desktop/PHOTO/Emp%20Photo/VE1428.jpg" TargetMode="External"/><Relationship Id="rId101" Type="http://schemas.openxmlformats.org/officeDocument/2006/relationships/hyperlink" Target="../Downloads/Telegram%20Desktop/PHOTO/Emp%20Photo%201/VE1296.jpg" TargetMode="External"/><Relationship Id="rId143" Type="http://schemas.openxmlformats.org/officeDocument/2006/relationships/hyperlink" Target="../Downloads/Telegram%20Desktop/PHOTO/DEO/1073.jpg" TargetMode="External"/><Relationship Id="rId185" Type="http://schemas.openxmlformats.org/officeDocument/2006/relationships/hyperlink" Target="../Downloads/Telegram%20Desktop/PHOTO/DEO/nai%20hasmukh.jpg" TargetMode="External"/><Relationship Id="rId350" Type="http://schemas.openxmlformats.org/officeDocument/2006/relationships/hyperlink" Target="../Downloads/Telegram%20Desktop/PHOTO/SN2/1070.jpg" TargetMode="External"/><Relationship Id="rId406" Type="http://schemas.openxmlformats.org/officeDocument/2006/relationships/hyperlink" Target="../Downloads/Telegram%20Desktop/PHOTO/1465%20(1).jpg" TargetMode="External"/><Relationship Id="rId588" Type="http://schemas.openxmlformats.org/officeDocument/2006/relationships/hyperlink" Target="mailto:19998sonikapatel@gmail.com" TargetMode="External"/><Relationship Id="rId9" Type="http://schemas.openxmlformats.org/officeDocument/2006/relationships/hyperlink" Target="file:///E:\PHOTO\Emp%20Photo\VE1056.jpg" TargetMode="External"/><Relationship Id="rId210" Type="http://schemas.openxmlformats.org/officeDocument/2006/relationships/hyperlink" Target="../Downloads/Telegram%20Desktop/PHOTO/SN/1098.jpg" TargetMode="External"/><Relationship Id="rId392" Type="http://schemas.openxmlformats.org/officeDocument/2006/relationships/hyperlink" Target="../Downloads/Telegram%20Desktop/PHOTO/1200.jpg" TargetMode="External"/><Relationship Id="rId448" Type="http://schemas.openxmlformats.org/officeDocument/2006/relationships/hyperlink" Target="../Downloads/Telegram%20Desktop/PHOTO/VE1487.jpg" TargetMode="External"/><Relationship Id="rId613" Type="http://schemas.openxmlformats.org/officeDocument/2006/relationships/hyperlink" Target="mailto:richachristian10@gmail.com" TargetMode="External"/><Relationship Id="rId655" Type="http://schemas.openxmlformats.org/officeDocument/2006/relationships/hyperlink" Target="mailto:lakshmirajgor@gmail.com" TargetMode="External"/><Relationship Id="rId697" Type="http://schemas.openxmlformats.org/officeDocument/2006/relationships/hyperlink" Target="mailto:rituprajapati561@gmail.com" TargetMode="External"/><Relationship Id="rId252" Type="http://schemas.openxmlformats.org/officeDocument/2006/relationships/hyperlink" Target="../Downloads/Telegram%20Desktop/PHOTO/SN/bodat%20trupti.jpg" TargetMode="External"/><Relationship Id="rId294" Type="http://schemas.openxmlformats.org/officeDocument/2006/relationships/hyperlink" Target="../Downloads/Telegram%20Desktop/PHOTO/SN/rathva%20sona.jpg" TargetMode="External"/><Relationship Id="rId308" Type="http://schemas.openxmlformats.org/officeDocument/2006/relationships/hyperlink" Target="../Downloads/Telegram%20Desktop/PHOTO/SN/tinakl%20patni.jpg" TargetMode="External"/><Relationship Id="rId515" Type="http://schemas.openxmlformats.org/officeDocument/2006/relationships/hyperlink" Target="mailto:patelvidhi276@gmail.com" TargetMode="External"/><Relationship Id="rId722" Type="http://schemas.openxmlformats.org/officeDocument/2006/relationships/hyperlink" Target="mailto:aartisankhala22@gmail.com" TargetMode="External"/><Relationship Id="rId47" Type="http://schemas.openxmlformats.org/officeDocument/2006/relationships/hyperlink" Target="../Downloads/Telegram%20Desktop/PHOTO/Emp%20Photo/VE1359.jpg" TargetMode="External"/><Relationship Id="rId89" Type="http://schemas.openxmlformats.org/officeDocument/2006/relationships/hyperlink" Target="../Downloads/Telegram%20Desktop/PHOTO/Emp%20Photo%201/VE1105.jpg" TargetMode="External"/><Relationship Id="rId112" Type="http://schemas.openxmlformats.org/officeDocument/2006/relationships/hyperlink" Target="../Downloads/Telegram%20Desktop/PHOTO/Emp%20Photo%201/VE1410.jpg" TargetMode="External"/><Relationship Id="rId154" Type="http://schemas.openxmlformats.org/officeDocument/2006/relationships/hyperlink" Target="../Downloads/Telegram%20Desktop/PHOTO/DEO/1422.jpg" TargetMode="External"/><Relationship Id="rId361" Type="http://schemas.openxmlformats.org/officeDocument/2006/relationships/hyperlink" Target="../Downloads/Telegram%20Desktop/PHOTO/SN2/1191.jpg" TargetMode="External"/><Relationship Id="rId557" Type="http://schemas.openxmlformats.org/officeDocument/2006/relationships/hyperlink" Target="mailto:gopatsufiya06@gmail.com" TargetMode="External"/><Relationship Id="rId599" Type="http://schemas.openxmlformats.org/officeDocument/2006/relationships/hyperlink" Target="mailto:pritihirpara81@gmail.com" TargetMode="External"/><Relationship Id="rId196" Type="http://schemas.openxmlformats.org/officeDocument/2006/relationships/hyperlink" Target="../Downloads/Telegram%20Desktop/PHOTO/DEO/solanki%20urmila.jpg" TargetMode="External"/><Relationship Id="rId417" Type="http://schemas.openxmlformats.org/officeDocument/2006/relationships/hyperlink" Target="mailto:mamtakariyani535@gmail.com" TargetMode="External"/><Relationship Id="rId459" Type="http://schemas.openxmlformats.org/officeDocument/2006/relationships/hyperlink" Target="../Downloads/Telegram%20Desktop/PHOTO/VE1266.jpg" TargetMode="External"/><Relationship Id="rId624" Type="http://schemas.openxmlformats.org/officeDocument/2006/relationships/hyperlink" Target="mailto:sagarhetal14@gmail.com" TargetMode="External"/><Relationship Id="rId666" Type="http://schemas.openxmlformats.org/officeDocument/2006/relationships/hyperlink" Target="mailto:dharmikvankar3066@gmail.com" TargetMode="External"/><Relationship Id="rId16" Type="http://schemas.openxmlformats.org/officeDocument/2006/relationships/hyperlink" Target="file:///E:\PHOTO\Emp%20Photo\VE1113.jpg" TargetMode="External"/><Relationship Id="rId221" Type="http://schemas.openxmlformats.org/officeDocument/2006/relationships/hyperlink" Target="../Downloads/Telegram%20Desktop/PHOTO/SN/1226.jpg" TargetMode="External"/><Relationship Id="rId263" Type="http://schemas.openxmlformats.org/officeDocument/2006/relationships/hyperlink" Target="../Downloads/Telegram%20Desktop/PHOTO/SN/jayesh%20bajag.jpg" TargetMode="External"/><Relationship Id="rId319" Type="http://schemas.openxmlformats.org/officeDocument/2006/relationships/hyperlink" Target="../Downloads/Telegram%20Desktop/PHOTO/All%20pic/1049.jpg" TargetMode="External"/><Relationship Id="rId470" Type="http://schemas.openxmlformats.org/officeDocument/2006/relationships/hyperlink" Target="../Downloads/Telegram%20Desktop/PHOTO/VE1499.jpg" TargetMode="External"/><Relationship Id="rId526" Type="http://schemas.openxmlformats.org/officeDocument/2006/relationships/hyperlink" Target="mailto:jyotidivte16006@gmail.com" TargetMode="External"/><Relationship Id="rId58" Type="http://schemas.openxmlformats.org/officeDocument/2006/relationships/hyperlink" Target="../Downloads/Telegram%20Desktop/PHOTO/Emp%20Photo/VE1381.jpg" TargetMode="External"/><Relationship Id="rId123" Type="http://schemas.openxmlformats.org/officeDocument/2006/relationships/hyperlink" Target="../Downloads/Telegram%20Desktop/PHOTO/Photos%20of%20lab.tech/1106.jpg" TargetMode="External"/><Relationship Id="rId330" Type="http://schemas.openxmlformats.org/officeDocument/2006/relationships/hyperlink" Target="../Downloads/Telegram%20Desktop/PHOTO/All%20pic/1160.jpg" TargetMode="External"/><Relationship Id="rId568" Type="http://schemas.openxmlformats.org/officeDocument/2006/relationships/hyperlink" Target="mailto:shraddhadamor53@gmail.com" TargetMode="External"/><Relationship Id="rId733" Type="http://schemas.openxmlformats.org/officeDocument/2006/relationships/hyperlink" Target="mailto:rutvimakwana2001@gmail.com" TargetMode="External"/><Relationship Id="rId165" Type="http://schemas.openxmlformats.org/officeDocument/2006/relationships/hyperlink" Target="../Downloads/Telegram%20Desktop/PHOTO/DEO/chavda%20jignesh.jpg" TargetMode="External"/><Relationship Id="rId372" Type="http://schemas.openxmlformats.org/officeDocument/2006/relationships/hyperlink" Target="../Downloads/Telegram%20Desktop/PHOTO/SN2/1256.jpg" TargetMode="External"/><Relationship Id="rId428" Type="http://schemas.openxmlformats.org/officeDocument/2006/relationships/hyperlink" Target="mailto:rathodsanjay4567@gmail.com" TargetMode="External"/><Relationship Id="rId635" Type="http://schemas.openxmlformats.org/officeDocument/2006/relationships/hyperlink" Target="mailto:karanprajapati1610@gmail.com" TargetMode="External"/><Relationship Id="rId677" Type="http://schemas.openxmlformats.org/officeDocument/2006/relationships/hyperlink" Target="mailto:patelsapna120120@gmail.com" TargetMode="External"/><Relationship Id="rId232" Type="http://schemas.openxmlformats.org/officeDocument/2006/relationships/hyperlink" Target="../Downloads/Telegram%20Desktop/PHOTO/SN/1332.jpg" TargetMode="External"/><Relationship Id="rId274" Type="http://schemas.openxmlformats.org/officeDocument/2006/relationships/hyperlink" Target="../Downloads/Telegram%20Desktop/PHOTO/SN/naginkumar.jpg" TargetMode="External"/><Relationship Id="rId481" Type="http://schemas.openxmlformats.org/officeDocument/2006/relationships/hyperlink" Target="mailto:pandyavaidehi1998@gmail.com" TargetMode="External"/><Relationship Id="rId702" Type="http://schemas.openxmlformats.org/officeDocument/2006/relationships/hyperlink" Target="mailto:kr638570@gmail.com" TargetMode="External"/><Relationship Id="rId27" Type="http://schemas.openxmlformats.org/officeDocument/2006/relationships/hyperlink" Target="file:///E:\PHOTO\Emp%20Photo\VE1189.jpg" TargetMode="External"/><Relationship Id="rId69" Type="http://schemas.openxmlformats.org/officeDocument/2006/relationships/hyperlink" Target="../Downloads/Telegram%20Desktop/PHOTO/Emp%20Photo/VE1395.jpg" TargetMode="External"/><Relationship Id="rId134" Type="http://schemas.openxmlformats.org/officeDocument/2006/relationships/hyperlink" Target="../Downloads/Telegram%20Desktop/PHOTO/Photos%20of%20lab.tech/1361.jpg" TargetMode="External"/><Relationship Id="rId537" Type="http://schemas.openxmlformats.org/officeDocument/2006/relationships/hyperlink" Target="mailto:hchc1512@gmail.com" TargetMode="External"/><Relationship Id="rId579" Type="http://schemas.openxmlformats.org/officeDocument/2006/relationships/hyperlink" Target="mailto:varshakalasva000@gmail.com" TargetMode="External"/><Relationship Id="rId744" Type="http://schemas.openxmlformats.org/officeDocument/2006/relationships/hyperlink" Target="mailto:chauhanpayal@gmail.com" TargetMode="External"/><Relationship Id="rId80" Type="http://schemas.openxmlformats.org/officeDocument/2006/relationships/hyperlink" Target="../Downloads/Telegram%20Desktop/PHOTO/Emp%20Photo/VE1431.jpg" TargetMode="External"/><Relationship Id="rId176" Type="http://schemas.openxmlformats.org/officeDocument/2006/relationships/hyperlink" Target="../Downloads/Telegram%20Desktop/PHOTO/DEO/ladumor%20kishor.jpg" TargetMode="External"/><Relationship Id="rId341" Type="http://schemas.openxmlformats.org/officeDocument/2006/relationships/hyperlink" Target="../Downloads/Telegram%20Desktop/PHOTO/All%20pic/1360.jpg" TargetMode="External"/><Relationship Id="rId383" Type="http://schemas.openxmlformats.org/officeDocument/2006/relationships/hyperlink" Target="../Downloads/Telegram%20Desktop/PHOTO/SN2/1433.jpg" TargetMode="External"/><Relationship Id="rId439" Type="http://schemas.openxmlformats.org/officeDocument/2006/relationships/hyperlink" Target="../Downloads/Telegram%20Desktop/PHOTO/VE1478.jpg" TargetMode="External"/><Relationship Id="rId590" Type="http://schemas.openxmlformats.org/officeDocument/2006/relationships/hyperlink" Target="mailto:healthcare.ncp@gmail.com" TargetMode="External"/><Relationship Id="rId604" Type="http://schemas.openxmlformats.org/officeDocument/2006/relationships/hyperlink" Target="mailto:dipakjain291097@gmail.com" TargetMode="External"/><Relationship Id="rId646" Type="http://schemas.openxmlformats.org/officeDocument/2006/relationships/hyperlink" Target="mailto:anitamontu723@gmail.com" TargetMode="External"/><Relationship Id="rId201" Type="http://schemas.openxmlformats.org/officeDocument/2006/relationships/hyperlink" Target="../Downloads/Telegram%20Desktop/PHOTO/SN/1040.jpg" TargetMode="External"/><Relationship Id="rId243" Type="http://schemas.openxmlformats.org/officeDocument/2006/relationships/hyperlink" Target="../Downloads/Telegram%20Desktop/PHOTO/SN/1430.jpg" TargetMode="External"/><Relationship Id="rId285" Type="http://schemas.openxmlformats.org/officeDocument/2006/relationships/hyperlink" Target="../Downloads/Telegram%20Desktop/PHOTO/SN/Pratik%20d.jpg" TargetMode="External"/><Relationship Id="rId450" Type="http://schemas.openxmlformats.org/officeDocument/2006/relationships/hyperlink" Target="../Downloads/Telegram%20Desktop/PHOTO/VE1489.jpg" TargetMode="External"/><Relationship Id="rId506" Type="http://schemas.openxmlformats.org/officeDocument/2006/relationships/hyperlink" Target="mailto:dishapatel@gmail.com" TargetMode="External"/><Relationship Id="rId688" Type="http://schemas.openxmlformats.org/officeDocument/2006/relationships/hyperlink" Target="mailto:swetavaghela3@gmail.com" TargetMode="External"/><Relationship Id="rId38" Type="http://schemas.openxmlformats.org/officeDocument/2006/relationships/hyperlink" Target="../Downloads/Telegram%20Desktop/PHOTO/Emp%20Photo/VE1261.jpg" TargetMode="External"/><Relationship Id="rId103" Type="http://schemas.openxmlformats.org/officeDocument/2006/relationships/hyperlink" Target="../Downloads/Telegram%20Desktop/PHOTO/Emp%20Photo%201/VE1368.jpg" TargetMode="External"/><Relationship Id="rId310" Type="http://schemas.openxmlformats.org/officeDocument/2006/relationships/hyperlink" Target="../Downloads/Telegram%20Desktop/PHOTO/SN/Urmila%20paradiya.jpg" TargetMode="External"/><Relationship Id="rId492" Type="http://schemas.openxmlformats.org/officeDocument/2006/relationships/hyperlink" Target="mailto:poojadave1809@gmail.com" TargetMode="External"/><Relationship Id="rId548" Type="http://schemas.openxmlformats.org/officeDocument/2006/relationships/hyperlink" Target="mailto:gadariyahoney@gmail.com" TargetMode="External"/><Relationship Id="rId713" Type="http://schemas.openxmlformats.org/officeDocument/2006/relationships/hyperlink" Target="mailto:zalakmaheriya28@gmail.com" TargetMode="External"/><Relationship Id="rId91" Type="http://schemas.openxmlformats.org/officeDocument/2006/relationships/hyperlink" Target="../Downloads/Telegram%20Desktop/PHOTO/Emp%20Photo%201/VE1173.jpg" TargetMode="External"/><Relationship Id="rId145" Type="http://schemas.openxmlformats.org/officeDocument/2006/relationships/hyperlink" Target="../Downloads/Telegram%20Desktop/PHOTO/DEO/1116.jpg" TargetMode="External"/><Relationship Id="rId187" Type="http://schemas.openxmlformats.org/officeDocument/2006/relationships/hyperlink" Target="../Downloads/Telegram%20Desktop/PHOTO/DEO/parmar%20minaxi.jpg" TargetMode="External"/><Relationship Id="rId352" Type="http://schemas.openxmlformats.org/officeDocument/2006/relationships/hyperlink" Target="../Downloads/Telegram%20Desktop/PHOTO/SN2/1101.jpg" TargetMode="External"/><Relationship Id="rId394" Type="http://schemas.openxmlformats.org/officeDocument/2006/relationships/hyperlink" Target="../Downloads/Telegram%20Desktop/PHOTO/All%20pic/1453.jpg" TargetMode="External"/><Relationship Id="rId408" Type="http://schemas.openxmlformats.org/officeDocument/2006/relationships/hyperlink" Target="../Downloads/Telegram%20Desktop/PHOTO/1289.jpg" TargetMode="External"/><Relationship Id="rId615" Type="http://schemas.openxmlformats.org/officeDocument/2006/relationships/hyperlink" Target="mailto:sanjaychavda1211@gmail.com" TargetMode="External"/><Relationship Id="rId212" Type="http://schemas.openxmlformats.org/officeDocument/2006/relationships/hyperlink" Target="../Downloads/Telegram%20Desktop/PHOTO/SN/1122.jpg" TargetMode="External"/><Relationship Id="rId254" Type="http://schemas.openxmlformats.org/officeDocument/2006/relationships/hyperlink" Target="../Downloads/Telegram%20Desktop/PHOTO/SN/damor%20bhavesh.jpg" TargetMode="External"/><Relationship Id="rId657" Type="http://schemas.openxmlformats.org/officeDocument/2006/relationships/hyperlink" Target="mailto:zeelmakwana11@gmail.com" TargetMode="External"/><Relationship Id="rId699" Type="http://schemas.openxmlformats.org/officeDocument/2006/relationships/hyperlink" Target="mailto:parmargaurav9523@gmail.com" TargetMode="External"/><Relationship Id="rId49" Type="http://schemas.openxmlformats.org/officeDocument/2006/relationships/hyperlink" Target="../Downloads/Telegram%20Desktop/PHOTO/Emp%20Photo/VE1369.jpg" TargetMode="External"/><Relationship Id="rId114" Type="http://schemas.openxmlformats.org/officeDocument/2006/relationships/hyperlink" Target="../Downloads/Telegram%20Desktop/PHOTO/Emp%20Photo%201/VE1442.jpg" TargetMode="External"/><Relationship Id="rId296" Type="http://schemas.openxmlformats.org/officeDocument/2006/relationships/hyperlink" Target="../Downloads/Telegram%20Desktop/PHOTO/SN/Raval%20pooja.jpg" TargetMode="External"/><Relationship Id="rId461" Type="http://schemas.openxmlformats.org/officeDocument/2006/relationships/hyperlink" Target="../Downloads/Telegram%20Desktop/PHOTO/VE1307.jpg" TargetMode="External"/><Relationship Id="rId517" Type="http://schemas.openxmlformats.org/officeDocument/2006/relationships/hyperlink" Target="mailto:parmarkomal165@gmail.com" TargetMode="External"/><Relationship Id="rId559" Type="http://schemas.openxmlformats.org/officeDocument/2006/relationships/hyperlink" Target="mailto:sutharswati37@gmail.com" TargetMode="External"/><Relationship Id="rId724" Type="http://schemas.openxmlformats.org/officeDocument/2006/relationships/hyperlink" Target="mailto:bhamatpinal2001@gmail.com" TargetMode="External"/><Relationship Id="rId60" Type="http://schemas.openxmlformats.org/officeDocument/2006/relationships/hyperlink" Target="../Downloads/Telegram%20Desktop/PHOTO/Emp%20Photo/VE1384.jpg" TargetMode="External"/><Relationship Id="rId156" Type="http://schemas.openxmlformats.org/officeDocument/2006/relationships/hyperlink" Target="../Downloads/Telegram%20Desktop/PHOTO/DEO/1451.jpg" TargetMode="External"/><Relationship Id="rId198" Type="http://schemas.openxmlformats.org/officeDocument/2006/relationships/hyperlink" Target="../Downloads/Telegram%20Desktop/PHOTO/DEO/vasaikar%20vaishali.jpg" TargetMode="External"/><Relationship Id="rId321" Type="http://schemas.openxmlformats.org/officeDocument/2006/relationships/hyperlink" Target="../Downloads/Telegram%20Desktop/PHOTO/All%20pic/1052.jpg" TargetMode="External"/><Relationship Id="rId363" Type="http://schemas.openxmlformats.org/officeDocument/2006/relationships/hyperlink" Target="../Downloads/Telegram%20Desktop/PHOTO/SN2/1207.jpg" TargetMode="External"/><Relationship Id="rId419" Type="http://schemas.openxmlformats.org/officeDocument/2006/relationships/hyperlink" Target="mailto:mitaldhundhalava@gmail.com" TargetMode="External"/><Relationship Id="rId570" Type="http://schemas.openxmlformats.org/officeDocument/2006/relationships/hyperlink" Target="mailto:grishmasavaliya4@gmail.com" TargetMode="External"/><Relationship Id="rId626" Type="http://schemas.openxmlformats.org/officeDocument/2006/relationships/hyperlink" Target="mailto:hetalhadiyel40@gmail.com" TargetMode="External"/><Relationship Id="rId223" Type="http://schemas.openxmlformats.org/officeDocument/2006/relationships/hyperlink" Target="../Downloads/Telegram%20Desktop/PHOTO/SN/1233.jpg" TargetMode="External"/><Relationship Id="rId430" Type="http://schemas.openxmlformats.org/officeDocument/2006/relationships/hyperlink" Target="../Downloads/Telegram%20Desktop/PHOTO/1468.jpg" TargetMode="External"/><Relationship Id="rId668" Type="http://schemas.openxmlformats.org/officeDocument/2006/relationships/hyperlink" Target="mailto:hkapatiyawala@gmail.com" TargetMode="External"/><Relationship Id="rId18" Type="http://schemas.openxmlformats.org/officeDocument/2006/relationships/hyperlink" Target="file:///E:\PHOTO\Emp%20Photo\VE1121.jpg" TargetMode="External"/><Relationship Id="rId265" Type="http://schemas.openxmlformats.org/officeDocument/2006/relationships/hyperlink" Target="../Downloads/Telegram%20Desktop/PHOTO/SN/Jyotika%20bhagora.jpg" TargetMode="External"/><Relationship Id="rId472" Type="http://schemas.openxmlformats.org/officeDocument/2006/relationships/hyperlink" Target="mailto:manhargiri.7325@gmail.com" TargetMode="External"/><Relationship Id="rId528" Type="http://schemas.openxmlformats.org/officeDocument/2006/relationships/hyperlink" Target="mailto:parmarmegha54@gmail.com" TargetMode="External"/><Relationship Id="rId735" Type="http://schemas.openxmlformats.org/officeDocument/2006/relationships/hyperlink" Target="mailto:riddhivinodbhai@gmail.com" TargetMode="External"/><Relationship Id="rId125" Type="http://schemas.openxmlformats.org/officeDocument/2006/relationships/hyperlink" Target="../Downloads/Telegram%20Desktop/PHOTO/Photos%20of%20lab.tech/1108.jpg" TargetMode="External"/><Relationship Id="rId167" Type="http://schemas.openxmlformats.org/officeDocument/2006/relationships/hyperlink" Target="../Downloads/Telegram%20Desktop/PHOTO/DEO/Gohil%20jaydip.jpg" TargetMode="External"/><Relationship Id="rId332" Type="http://schemas.openxmlformats.org/officeDocument/2006/relationships/hyperlink" Target="../Downloads/Telegram%20Desktop/PHOTO/All%20pic/1162.jpg" TargetMode="External"/><Relationship Id="rId374" Type="http://schemas.openxmlformats.org/officeDocument/2006/relationships/hyperlink" Target="../Downloads/Telegram%20Desktop/PHOTO/SN2/1267.jpg" TargetMode="External"/><Relationship Id="rId581" Type="http://schemas.openxmlformats.org/officeDocument/2006/relationships/hyperlink" Target="mailto:pallavisadat123@gmail.com" TargetMode="External"/><Relationship Id="rId71" Type="http://schemas.openxmlformats.org/officeDocument/2006/relationships/hyperlink" Target="../Downloads/Telegram%20Desktop/PHOTO/Emp%20Photo/VE1397.jpg" TargetMode="External"/><Relationship Id="rId234" Type="http://schemas.openxmlformats.org/officeDocument/2006/relationships/hyperlink" Target="../Downloads/Telegram%20Desktop/PHOTO/SN/1362.jpg" TargetMode="External"/><Relationship Id="rId637" Type="http://schemas.openxmlformats.org/officeDocument/2006/relationships/hyperlink" Target="mailto:jigisolanki3@gmail.com" TargetMode="External"/><Relationship Id="rId679" Type="http://schemas.openxmlformats.org/officeDocument/2006/relationships/hyperlink" Target="mailto:mochikamal4@gmail,com" TargetMode="External"/><Relationship Id="rId2" Type="http://schemas.openxmlformats.org/officeDocument/2006/relationships/hyperlink" Target="file:///E:\PHOTO\Emp%20Photo\VE1015.jpg" TargetMode="External"/><Relationship Id="rId29" Type="http://schemas.openxmlformats.org/officeDocument/2006/relationships/hyperlink" Target="file:///E:\PHOTO\Emp%20Photo\VE1196.jpg" TargetMode="External"/><Relationship Id="rId276" Type="http://schemas.openxmlformats.org/officeDocument/2006/relationships/hyperlink" Target="../Downloads/Telegram%20Desktop/PHOTO/SN/nirali%20chaudhary.jpg" TargetMode="External"/><Relationship Id="rId441" Type="http://schemas.openxmlformats.org/officeDocument/2006/relationships/hyperlink" Target="../Downloads/Telegram%20Desktop/PHOTO/VE1480.jpg" TargetMode="External"/><Relationship Id="rId483" Type="http://schemas.openxmlformats.org/officeDocument/2006/relationships/hyperlink" Target="mailto:bhaveshhadiyal420@gmail.com" TargetMode="External"/><Relationship Id="rId539" Type="http://schemas.openxmlformats.org/officeDocument/2006/relationships/hyperlink" Target="mailto:kavitaptn1210@gmail.com" TargetMode="External"/><Relationship Id="rId690" Type="http://schemas.openxmlformats.org/officeDocument/2006/relationships/hyperlink" Target="mailto:pandyajigar5232@gmail.com" TargetMode="External"/><Relationship Id="rId704" Type="http://schemas.openxmlformats.org/officeDocument/2006/relationships/hyperlink" Target="mailto:chaudharinehal2104@gmail.com" TargetMode="External"/><Relationship Id="rId746" Type="http://schemas.openxmlformats.org/officeDocument/2006/relationships/hyperlink" Target="mailto:DIVYACHAUHAN0209@GMAIL.COM" TargetMode="External"/><Relationship Id="rId40" Type="http://schemas.openxmlformats.org/officeDocument/2006/relationships/hyperlink" Target="../Downloads/Telegram%20Desktop/PHOTO/Emp%20Photo/VE1285.jpg" TargetMode="External"/><Relationship Id="rId136" Type="http://schemas.openxmlformats.org/officeDocument/2006/relationships/hyperlink" Target="../Downloads/Telegram%20Desktop/PHOTO/Photos%20of%20lab.tech/1409.jpg" TargetMode="External"/><Relationship Id="rId178" Type="http://schemas.openxmlformats.org/officeDocument/2006/relationships/hyperlink" Target="../Downloads/Telegram%20Desktop/PHOTO/DEO/lekhank.jpg" TargetMode="External"/><Relationship Id="rId301" Type="http://schemas.openxmlformats.org/officeDocument/2006/relationships/hyperlink" Target="../Downloads/Telegram%20Desktop/PHOTO/SN/Sao%20monika.jpg" TargetMode="External"/><Relationship Id="rId343" Type="http://schemas.openxmlformats.org/officeDocument/2006/relationships/hyperlink" Target="../Downloads/Telegram%20Desktop/PHOTO/All%20pic/1438.jpg" TargetMode="External"/><Relationship Id="rId550" Type="http://schemas.openxmlformats.org/officeDocument/2006/relationships/hyperlink" Target="mailto:dimpaldamor1811@gmail.com" TargetMode="External"/><Relationship Id="rId82" Type="http://schemas.openxmlformats.org/officeDocument/2006/relationships/hyperlink" Target="../Downloads/Telegram%20Desktop/PHOTO/Emp%20Photo/VE1436.jpg" TargetMode="External"/><Relationship Id="rId203" Type="http://schemas.openxmlformats.org/officeDocument/2006/relationships/hyperlink" Target="../Downloads/Telegram%20Desktop/PHOTO/SN/1058.jpg" TargetMode="External"/><Relationship Id="rId385" Type="http://schemas.openxmlformats.org/officeDocument/2006/relationships/hyperlink" Target="../Downloads/Telegram%20Desktop/PHOTO/SN2/1435.jpg" TargetMode="External"/><Relationship Id="rId592" Type="http://schemas.openxmlformats.org/officeDocument/2006/relationships/hyperlink" Target="mailto:hiral@gmail.com" TargetMode="External"/><Relationship Id="rId606" Type="http://schemas.openxmlformats.org/officeDocument/2006/relationships/hyperlink" Target="mailto:dholariyamital108@gmail.com" TargetMode="External"/><Relationship Id="rId648" Type="http://schemas.openxmlformats.org/officeDocument/2006/relationships/hyperlink" Target="mailto:pppatani109@gmail.com" TargetMode="External"/><Relationship Id="rId245" Type="http://schemas.openxmlformats.org/officeDocument/2006/relationships/hyperlink" Target="../Downloads/Telegram%20Desktop/PHOTO/SN/1446.jpg" TargetMode="External"/><Relationship Id="rId287" Type="http://schemas.openxmlformats.org/officeDocument/2006/relationships/hyperlink" Target="../Downloads/Telegram%20Desktop/PHOTO/SN/Priti%20nagarde.jpg" TargetMode="External"/><Relationship Id="rId410" Type="http://schemas.openxmlformats.org/officeDocument/2006/relationships/hyperlink" Target="mailto:muskanvarma2001@gmail.com" TargetMode="External"/><Relationship Id="rId452" Type="http://schemas.openxmlformats.org/officeDocument/2006/relationships/hyperlink" Target="../Downloads/Telegram%20Desktop/PHOTO/VE1491.jpg" TargetMode="External"/><Relationship Id="rId494" Type="http://schemas.openxmlformats.org/officeDocument/2006/relationships/hyperlink" Target="mailto:grishmamori971@gmail.com" TargetMode="External"/><Relationship Id="rId508" Type="http://schemas.openxmlformats.org/officeDocument/2006/relationships/hyperlink" Target="mailto:princy102001@gmail.com" TargetMode="External"/><Relationship Id="rId715" Type="http://schemas.openxmlformats.org/officeDocument/2006/relationships/hyperlink" Target="mailto:solankiyogita1499@gmail.com" TargetMode="External"/><Relationship Id="rId105" Type="http://schemas.openxmlformats.org/officeDocument/2006/relationships/hyperlink" Target="../Downloads/Telegram%20Desktop/PHOTO/Emp%20Photo%201/VE1383.jpg" TargetMode="External"/><Relationship Id="rId147" Type="http://schemas.openxmlformats.org/officeDocument/2006/relationships/hyperlink" Target="../Downloads/Telegram%20Desktop/PHOTO/DEO/1134.jpg" TargetMode="External"/><Relationship Id="rId312" Type="http://schemas.openxmlformats.org/officeDocument/2006/relationships/hyperlink" Target="../Downloads/Telegram%20Desktop/PHOTO/SN/Vijay%20joshi.jpg" TargetMode="External"/><Relationship Id="rId354" Type="http://schemas.openxmlformats.org/officeDocument/2006/relationships/hyperlink" Target="../Downloads/Telegram%20Desktop/PHOTO/SN2/1119.jpg" TargetMode="External"/><Relationship Id="rId51" Type="http://schemas.openxmlformats.org/officeDocument/2006/relationships/hyperlink" Target="../Downloads/Telegram%20Desktop/PHOTO/Emp%20Photo/VE1372.jpg" TargetMode="External"/><Relationship Id="rId93" Type="http://schemas.openxmlformats.org/officeDocument/2006/relationships/hyperlink" Target="../Downloads/Telegram%20Desktop/PHOTO/Emp%20Photo%201/VE1175.jpg" TargetMode="External"/><Relationship Id="rId189" Type="http://schemas.openxmlformats.org/officeDocument/2006/relationships/hyperlink" Target="../Downloads/Telegram%20Desktop/PHOTO/DEO/prabha.jpg" TargetMode="External"/><Relationship Id="rId396" Type="http://schemas.openxmlformats.org/officeDocument/2006/relationships/hyperlink" Target="../Downloads/Telegram%20Desktop/PHOTO/All%20pic/1455.jpg" TargetMode="External"/><Relationship Id="rId561" Type="http://schemas.openxmlformats.org/officeDocument/2006/relationships/hyperlink" Target="mailto:parmarhiral777@gmail.com" TargetMode="External"/><Relationship Id="rId617" Type="http://schemas.openxmlformats.org/officeDocument/2006/relationships/hyperlink" Target="mailto:shobhnakagdiya@gmail.com" TargetMode="External"/><Relationship Id="rId659" Type="http://schemas.openxmlformats.org/officeDocument/2006/relationships/hyperlink" Target="mailto:dhruvj817@gmail.com" TargetMode="External"/><Relationship Id="rId214" Type="http://schemas.openxmlformats.org/officeDocument/2006/relationships/hyperlink" Target="../Downloads/Telegram%20Desktop/PHOTO/SN/1139.jpg" TargetMode="External"/><Relationship Id="rId256" Type="http://schemas.openxmlformats.org/officeDocument/2006/relationships/hyperlink" Target="../Downloads/Telegram%20Desktop/PHOTO/SN/divyakumari.jpg" TargetMode="External"/><Relationship Id="rId298" Type="http://schemas.openxmlformats.org/officeDocument/2006/relationships/hyperlink" Target="../Downloads/Telegram%20Desktop/PHOTO/SN/revabhai.jpg" TargetMode="External"/><Relationship Id="rId421" Type="http://schemas.openxmlformats.org/officeDocument/2006/relationships/hyperlink" Target="mailto:rathodsumanba@gmail.com" TargetMode="External"/><Relationship Id="rId463" Type="http://schemas.openxmlformats.org/officeDocument/2006/relationships/hyperlink" Target="../Downloads/Telegram%20Desktop/PHOTO/VE1475.jpg" TargetMode="External"/><Relationship Id="rId519" Type="http://schemas.openxmlformats.org/officeDocument/2006/relationships/hyperlink" Target="mailto:niyantasangada@gmail.com" TargetMode="External"/><Relationship Id="rId670" Type="http://schemas.openxmlformats.org/officeDocument/2006/relationships/hyperlink" Target="mailto:dimpalv468%7C@gmail.com" TargetMode="External"/><Relationship Id="rId116" Type="http://schemas.openxmlformats.org/officeDocument/2006/relationships/hyperlink" Target="../Downloads/Telegram%20Desktop/PHOTO/Photos%20of%20lab.tech/1044.jpg" TargetMode="External"/><Relationship Id="rId158" Type="http://schemas.openxmlformats.org/officeDocument/2006/relationships/hyperlink" Target="../Downloads/Telegram%20Desktop/PHOTO/DEO/ansari.jpg" TargetMode="External"/><Relationship Id="rId323" Type="http://schemas.openxmlformats.org/officeDocument/2006/relationships/hyperlink" Target="../Downloads/Telegram%20Desktop/PHOTO/All%20pic/1085.jpg" TargetMode="External"/><Relationship Id="rId530" Type="http://schemas.openxmlformats.org/officeDocument/2006/relationships/hyperlink" Target="mailto:shivangini1601@gmail.com" TargetMode="External"/><Relationship Id="rId726" Type="http://schemas.openxmlformats.org/officeDocument/2006/relationships/hyperlink" Target="mailto:maulikmak2271@gmail.com" TargetMode="External"/><Relationship Id="rId20" Type="http://schemas.openxmlformats.org/officeDocument/2006/relationships/hyperlink" Target="file:///E:\PHOTO\Emp%20Photo\VE1128.jpg" TargetMode="External"/><Relationship Id="rId62" Type="http://schemas.openxmlformats.org/officeDocument/2006/relationships/hyperlink" Target="../Downloads/Telegram%20Desktop/PHOTO/Emp%20Photo/VE1386.jpg" TargetMode="External"/><Relationship Id="rId365" Type="http://schemas.openxmlformats.org/officeDocument/2006/relationships/hyperlink" Target="../Downloads/Telegram%20Desktop/PHOTO/SN2/1210.jpg" TargetMode="External"/><Relationship Id="rId572" Type="http://schemas.openxmlformats.org/officeDocument/2006/relationships/hyperlink" Target="mailto:dixitdivyangv@gmail.com" TargetMode="External"/><Relationship Id="rId628" Type="http://schemas.openxmlformats.org/officeDocument/2006/relationships/hyperlink" Target="mailto:kenilmodi3739@gmail.com" TargetMode="External"/><Relationship Id="rId225" Type="http://schemas.openxmlformats.org/officeDocument/2006/relationships/hyperlink" Target="../Downloads/Telegram%20Desktop/PHOTO/SN/1264.jpg" TargetMode="External"/><Relationship Id="rId267" Type="http://schemas.openxmlformats.org/officeDocument/2006/relationships/hyperlink" Target="../Downloads/Telegram%20Desktop/PHOTO/SN/Katira%20tejal.jpg" TargetMode="External"/><Relationship Id="rId432" Type="http://schemas.openxmlformats.org/officeDocument/2006/relationships/hyperlink" Target="../Downloads/Telegram%20Desktop/PHOTO/1470.jpg" TargetMode="External"/><Relationship Id="rId474" Type="http://schemas.openxmlformats.org/officeDocument/2006/relationships/hyperlink" Target="mailto:devanshumalaviya02@gmail.com" TargetMode="External"/><Relationship Id="rId106" Type="http://schemas.openxmlformats.org/officeDocument/2006/relationships/hyperlink" Target="../Downloads/Telegram%20Desktop/PHOTO/Emp%20Photo%201/VE1390.jpg" TargetMode="External"/><Relationship Id="rId127" Type="http://schemas.openxmlformats.org/officeDocument/2006/relationships/hyperlink" Target="../Downloads/Telegram%20Desktop/PHOTO/Photos%20of%20lab.tech/1132.jpg" TargetMode="External"/><Relationship Id="rId313" Type="http://schemas.openxmlformats.org/officeDocument/2006/relationships/hyperlink" Target="../Downloads/Telegram%20Desktop/PHOTO/SN/vinu%20prjapati.jpg" TargetMode="External"/><Relationship Id="rId495" Type="http://schemas.openxmlformats.org/officeDocument/2006/relationships/hyperlink" Target="mailto:purvigosai18@gmail.com" TargetMode="External"/><Relationship Id="rId681" Type="http://schemas.openxmlformats.org/officeDocument/2006/relationships/hyperlink" Target="mailto:jaydipsinh799@gmail.com" TargetMode="External"/><Relationship Id="rId716" Type="http://schemas.openxmlformats.org/officeDocument/2006/relationships/hyperlink" Target="mailto:mamtagohil7727@gmail.com" TargetMode="External"/><Relationship Id="rId737" Type="http://schemas.openxmlformats.org/officeDocument/2006/relationships/hyperlink" Target="mailto:anjalidamor1186@gmail.com" TargetMode="External"/><Relationship Id="rId10" Type="http://schemas.openxmlformats.org/officeDocument/2006/relationships/hyperlink" Target="file:///E:\PHOTO\Emp%20Photo\VE1062.jpg" TargetMode="External"/><Relationship Id="rId31" Type="http://schemas.openxmlformats.org/officeDocument/2006/relationships/hyperlink" Target="file:///E:\PHOTO\Emp%20Photo\VE1201.jpg" TargetMode="External"/><Relationship Id="rId52" Type="http://schemas.openxmlformats.org/officeDocument/2006/relationships/hyperlink" Target="../Downloads/Telegram%20Desktop/PHOTO/Emp%20Photo/Ve1373.jpg" TargetMode="External"/><Relationship Id="rId73" Type="http://schemas.openxmlformats.org/officeDocument/2006/relationships/hyperlink" Target="../Downloads/Telegram%20Desktop/PHOTO/Emp%20Photo/VE1404.jpg" TargetMode="External"/><Relationship Id="rId94" Type="http://schemas.openxmlformats.org/officeDocument/2006/relationships/hyperlink" Target="../Downloads/Telegram%20Desktop/PHOTO/Emp%20Photo%201/VE1205.jpg" TargetMode="External"/><Relationship Id="rId148" Type="http://schemas.openxmlformats.org/officeDocument/2006/relationships/hyperlink" Target="../Downloads/Telegram%20Desktop/PHOTO/DEO/1177.jpg" TargetMode="External"/><Relationship Id="rId169" Type="http://schemas.openxmlformats.org/officeDocument/2006/relationships/hyperlink" Target="../Downloads/Telegram%20Desktop/PHOTO/DEO/IMG-20230309-WA0000.jpg" TargetMode="External"/><Relationship Id="rId334" Type="http://schemas.openxmlformats.org/officeDocument/2006/relationships/hyperlink" Target="../Downloads/Telegram%20Desktop/PHOTO/All%20pic/1171.jpg" TargetMode="External"/><Relationship Id="rId355" Type="http://schemas.openxmlformats.org/officeDocument/2006/relationships/hyperlink" Target="../Downloads/Telegram%20Desktop/PHOTO/SN2/1124.jpg" TargetMode="External"/><Relationship Id="rId376" Type="http://schemas.openxmlformats.org/officeDocument/2006/relationships/hyperlink" Target="../Downloads/Telegram%20Desktop/PHOTO/SN2/1297.jpg" TargetMode="External"/><Relationship Id="rId397" Type="http://schemas.openxmlformats.org/officeDocument/2006/relationships/hyperlink" Target="../Downloads/Telegram%20Desktop/PHOTO/All%20pic/1456.jpg" TargetMode="External"/><Relationship Id="rId520" Type="http://schemas.openxmlformats.org/officeDocument/2006/relationships/hyperlink" Target="mailto:reshachaudhari11@gmail.com" TargetMode="External"/><Relationship Id="rId541" Type="http://schemas.openxmlformats.org/officeDocument/2006/relationships/hyperlink" Target="mailto:avanihirpara45@gmail.com" TargetMode="External"/><Relationship Id="rId562" Type="http://schemas.openxmlformats.org/officeDocument/2006/relationships/hyperlink" Target="mailto:payalvaghela8121@gmail.com" TargetMode="External"/><Relationship Id="rId583" Type="http://schemas.openxmlformats.org/officeDocument/2006/relationships/hyperlink" Target="mailto:makwanamittal40393@gmail.com" TargetMode="External"/><Relationship Id="rId618" Type="http://schemas.openxmlformats.org/officeDocument/2006/relationships/hyperlink" Target="mailto:dabhipalak193@gmail.com" TargetMode="External"/><Relationship Id="rId639" Type="http://schemas.openxmlformats.org/officeDocument/2006/relationships/hyperlink" Target="mailto:themiteshhadiyel@gmail.com" TargetMode="External"/><Relationship Id="rId4" Type="http://schemas.openxmlformats.org/officeDocument/2006/relationships/hyperlink" Target="../Downloads/Telegram%20Desktop/PHOTO/DEO/1029.jpg" TargetMode="External"/><Relationship Id="rId180" Type="http://schemas.openxmlformats.org/officeDocument/2006/relationships/hyperlink" Target="../Downloads/Telegram%20Desktop/PHOTO/DEO/makwana%20shailesh.jpg" TargetMode="External"/><Relationship Id="rId215" Type="http://schemas.openxmlformats.org/officeDocument/2006/relationships/hyperlink" Target="../Downloads/Telegram%20Desktop/PHOTO/SN/1154.jpg" TargetMode="External"/><Relationship Id="rId236" Type="http://schemas.openxmlformats.org/officeDocument/2006/relationships/hyperlink" Target="../Downloads/Telegram%20Desktop/PHOTO/SN/1406.jpg" TargetMode="External"/><Relationship Id="rId257" Type="http://schemas.openxmlformats.org/officeDocument/2006/relationships/hyperlink" Target="../Downloads/Telegram%20Desktop/PHOTO/SN/dodiya%20kesu.jpg" TargetMode="External"/><Relationship Id="rId278" Type="http://schemas.openxmlformats.org/officeDocument/2006/relationships/hyperlink" Target="../Downloads/Telegram%20Desktop/PHOTO/SN/paliya.jpg" TargetMode="External"/><Relationship Id="rId401" Type="http://schemas.openxmlformats.org/officeDocument/2006/relationships/hyperlink" Target="../Downloads/Telegram%20Desktop/PHOTO/All%20pic/1461.jpg" TargetMode="External"/><Relationship Id="rId422" Type="http://schemas.openxmlformats.org/officeDocument/2006/relationships/hyperlink" Target="mailto:senjaliyabansi@gmail.com" TargetMode="External"/><Relationship Id="rId443" Type="http://schemas.openxmlformats.org/officeDocument/2006/relationships/hyperlink" Target="../Downloads/Telegram%20Desktop/PHOTO/VE1482.jpg" TargetMode="External"/><Relationship Id="rId464" Type="http://schemas.openxmlformats.org/officeDocument/2006/relationships/hyperlink" Target="../Downloads/Telegram%20Desktop/PHOTO/VE1308.jpg" TargetMode="External"/><Relationship Id="rId650" Type="http://schemas.openxmlformats.org/officeDocument/2006/relationships/hyperlink" Target="mailto:latavadhvani5@gmail.com" TargetMode="External"/><Relationship Id="rId303" Type="http://schemas.openxmlformats.org/officeDocument/2006/relationships/hyperlink" Target="../Downloads/Telegram%20Desktop/PHOTO/SN/Sonal%20garasiya.jpg" TargetMode="External"/><Relationship Id="rId485" Type="http://schemas.openxmlformats.org/officeDocument/2006/relationships/hyperlink" Target="mailto:ryashpalsingh80@gmail.com" TargetMode="External"/><Relationship Id="rId692" Type="http://schemas.openxmlformats.org/officeDocument/2006/relationships/hyperlink" Target="mailto:divyapatel2001@gmail.com" TargetMode="External"/><Relationship Id="rId706" Type="http://schemas.openxmlformats.org/officeDocument/2006/relationships/hyperlink" Target="mailto:bhambhigaurav141094@gmail.com" TargetMode="External"/><Relationship Id="rId748" Type="http://schemas.openxmlformats.org/officeDocument/2006/relationships/printerSettings" Target="../printerSettings/printerSettings1.bin"/><Relationship Id="rId42" Type="http://schemas.openxmlformats.org/officeDocument/2006/relationships/hyperlink" Target="../Downloads/Telegram%20Desktop/PHOTO/Emp%20Photo/VE1305.jpg" TargetMode="External"/><Relationship Id="rId84" Type="http://schemas.openxmlformats.org/officeDocument/2006/relationships/hyperlink" Target="../Downloads/Telegram%20Desktop/PHOTO/Emp%20Photo%201/VE1046.jpg" TargetMode="External"/><Relationship Id="rId138" Type="http://schemas.openxmlformats.org/officeDocument/2006/relationships/hyperlink" Target="../Downloads/Telegram%20Desktop/PHOTO/DEO/1005.jpg" TargetMode="External"/><Relationship Id="rId345" Type="http://schemas.openxmlformats.org/officeDocument/2006/relationships/hyperlink" Target="../Downloads/Telegram%20Desktop/PHOTO/All%20pic/1443.jpg" TargetMode="External"/><Relationship Id="rId387" Type="http://schemas.openxmlformats.org/officeDocument/2006/relationships/hyperlink" Target="../Downloads/Telegram%20Desktop/PHOTO/SN2/1441.jpg" TargetMode="External"/><Relationship Id="rId510" Type="http://schemas.openxmlformats.org/officeDocument/2006/relationships/hyperlink" Target="mailto:varnikapanchal03@gmail.com" TargetMode="External"/><Relationship Id="rId552" Type="http://schemas.openxmlformats.org/officeDocument/2006/relationships/hyperlink" Target="mailto:dipalipatani30@gmail.com" TargetMode="External"/><Relationship Id="rId594" Type="http://schemas.openxmlformats.org/officeDocument/2006/relationships/hyperlink" Target="mailto:vaibhavichaudhary20@gmail.com" TargetMode="External"/><Relationship Id="rId608" Type="http://schemas.openxmlformats.org/officeDocument/2006/relationships/hyperlink" Target="mailto:khyatiparmar1408@gmail.com" TargetMode="External"/><Relationship Id="rId191" Type="http://schemas.openxmlformats.org/officeDocument/2006/relationships/hyperlink" Target="../Downloads/Telegram%20Desktop/PHOTO/DEO/Rashmika%20patel.jpg" TargetMode="External"/><Relationship Id="rId205" Type="http://schemas.openxmlformats.org/officeDocument/2006/relationships/hyperlink" Target="../Downloads/Telegram%20Desktop/PHOTO/SN/1061.jpg" TargetMode="External"/><Relationship Id="rId247" Type="http://schemas.openxmlformats.org/officeDocument/2006/relationships/hyperlink" Target="../Downloads/Telegram%20Desktop/PHOTO/SN/afrinbanu%20pinjara.jpg" TargetMode="External"/><Relationship Id="rId412" Type="http://schemas.openxmlformats.org/officeDocument/2006/relationships/hyperlink" Target="mailto:urvisha1411@gmail.com" TargetMode="External"/><Relationship Id="rId107" Type="http://schemas.openxmlformats.org/officeDocument/2006/relationships/hyperlink" Target="../Downloads/Telegram%20Desktop/PHOTO/Emp%20Photo%201/VE1391.jpg" TargetMode="External"/><Relationship Id="rId289" Type="http://schemas.openxmlformats.org/officeDocument/2006/relationships/hyperlink" Target="../Downloads/Telegram%20Desktop/PHOTO/SN/Priyansh%20parmar.jpg" TargetMode="External"/><Relationship Id="rId454" Type="http://schemas.openxmlformats.org/officeDocument/2006/relationships/hyperlink" Target="../Downloads/Telegram%20Desktop/PHOTO/VE1241.jpg" TargetMode="External"/><Relationship Id="rId496" Type="http://schemas.openxmlformats.org/officeDocument/2006/relationships/hyperlink" Target="mailto:merkajal455@gmail.com" TargetMode="External"/><Relationship Id="rId661" Type="http://schemas.openxmlformats.org/officeDocument/2006/relationships/hyperlink" Target="mailto:miteshmakwana1443@gmail.com" TargetMode="External"/><Relationship Id="rId717" Type="http://schemas.openxmlformats.org/officeDocument/2006/relationships/hyperlink" Target="mailto:hadiyelkrishna691@gmail.com" TargetMode="External"/><Relationship Id="rId11" Type="http://schemas.openxmlformats.org/officeDocument/2006/relationships/hyperlink" Target="file:///E:\PHOTO\Emp%20Photo\VE1063.jpg" TargetMode="External"/><Relationship Id="rId53" Type="http://schemas.openxmlformats.org/officeDocument/2006/relationships/hyperlink" Target="../Downloads/Telegram%20Desktop/PHOTO/Emp%20Photo/VE1374.jpg" TargetMode="External"/><Relationship Id="rId149" Type="http://schemas.openxmlformats.org/officeDocument/2006/relationships/hyperlink" Target="../Downloads/Telegram%20Desktop/PHOTO/DEO/1202.jpg" TargetMode="External"/><Relationship Id="rId314" Type="http://schemas.openxmlformats.org/officeDocument/2006/relationships/hyperlink" Target="../Downloads/Telegram%20Desktop/PHOTO/SN/zala%20hiral.jpg" TargetMode="External"/><Relationship Id="rId356" Type="http://schemas.openxmlformats.org/officeDocument/2006/relationships/hyperlink" Target="../Downloads/Telegram%20Desktop/PHOTO/SN2/1142.jpg" TargetMode="External"/><Relationship Id="rId398" Type="http://schemas.openxmlformats.org/officeDocument/2006/relationships/hyperlink" Target="../Downloads/Telegram%20Desktop/PHOTO/All%20pic/1457.jpg" TargetMode="External"/><Relationship Id="rId521" Type="http://schemas.openxmlformats.org/officeDocument/2006/relationships/hyperlink" Target="mailto:nidhiparmar126@gmail.com" TargetMode="External"/><Relationship Id="rId563" Type="http://schemas.openxmlformats.org/officeDocument/2006/relationships/hyperlink" Target="mailto:pgsolanki20014@gmail.com" TargetMode="External"/><Relationship Id="rId619" Type="http://schemas.openxmlformats.org/officeDocument/2006/relationships/hyperlink" Target="mailto:gautamprajapati8803@gmail.com" TargetMode="External"/><Relationship Id="rId95" Type="http://schemas.openxmlformats.org/officeDocument/2006/relationships/hyperlink" Target="../Downloads/Telegram%20Desktop/PHOTO/Emp%20Photo%201/VE1247.jpg" TargetMode="External"/><Relationship Id="rId160" Type="http://schemas.openxmlformats.org/officeDocument/2006/relationships/hyperlink" Target="../Downloads/Telegram%20Desktop/PHOTO/DEO/bhadresh.jpg" TargetMode="External"/><Relationship Id="rId216" Type="http://schemas.openxmlformats.org/officeDocument/2006/relationships/hyperlink" Target="../Downloads/Telegram%20Desktop/PHOTO/SN/1169.jpg" TargetMode="External"/><Relationship Id="rId423" Type="http://schemas.openxmlformats.org/officeDocument/2006/relationships/hyperlink" Target="mailto:bhanichaudhary721@gmail.com" TargetMode="External"/><Relationship Id="rId258" Type="http://schemas.openxmlformats.org/officeDocument/2006/relationships/hyperlink" Target="../Downloads/Telegram%20Desktop/PHOTO/SN/Gohel%20anjali.jpg" TargetMode="External"/><Relationship Id="rId465" Type="http://schemas.openxmlformats.org/officeDocument/2006/relationships/hyperlink" Target="mailto:hemangidodiya13@gmail.com" TargetMode="External"/><Relationship Id="rId630" Type="http://schemas.openxmlformats.org/officeDocument/2006/relationships/hyperlink" Target="mailto:cviniben@gmail.com" TargetMode="External"/><Relationship Id="rId672" Type="http://schemas.openxmlformats.org/officeDocument/2006/relationships/hyperlink" Target="mailto:drashtichauhan02@gmail.com" TargetMode="External"/><Relationship Id="rId728" Type="http://schemas.openxmlformats.org/officeDocument/2006/relationships/hyperlink" Target="mailto:jankisolanki4820@gmail.com" TargetMode="External"/><Relationship Id="rId22" Type="http://schemas.openxmlformats.org/officeDocument/2006/relationships/hyperlink" Target="file:///E:\PHOTO\Emp%20Photo\VE1148.jpg" TargetMode="External"/><Relationship Id="rId64" Type="http://schemas.openxmlformats.org/officeDocument/2006/relationships/hyperlink" Target="../Downloads/Telegram%20Desktop/PHOTO/Emp%20Photo/VE1388.jpg" TargetMode="External"/><Relationship Id="rId118" Type="http://schemas.openxmlformats.org/officeDocument/2006/relationships/hyperlink" Target="../Downloads/Telegram%20Desktop/PHOTO/Photos%20of%20lab.tech/1074.jpg" TargetMode="External"/><Relationship Id="rId325" Type="http://schemas.openxmlformats.org/officeDocument/2006/relationships/hyperlink" Target="../Downloads/Telegram%20Desktop/PHOTO/All%20pic/1114.jpg" TargetMode="External"/><Relationship Id="rId367" Type="http://schemas.openxmlformats.org/officeDocument/2006/relationships/hyperlink" Target="../Downloads/Telegram%20Desktop/PHOTO/SN2/1219.jpg" TargetMode="External"/><Relationship Id="rId532" Type="http://schemas.openxmlformats.org/officeDocument/2006/relationships/hyperlink" Target="mailto:pateljahnavi16@gmail.com" TargetMode="External"/><Relationship Id="rId574" Type="http://schemas.openxmlformats.org/officeDocument/2006/relationships/hyperlink" Target="mailto:mansikotadiya31@gmail.com" TargetMode="External"/><Relationship Id="rId171" Type="http://schemas.openxmlformats.org/officeDocument/2006/relationships/hyperlink" Target="../Downloads/Telegram%20Desktop/PHOTO/DEO/kamini.jpg" TargetMode="External"/><Relationship Id="rId227" Type="http://schemas.openxmlformats.org/officeDocument/2006/relationships/hyperlink" Target="../Downloads/Telegram%20Desktop/PHOTO/SN/1299.jpg" TargetMode="External"/><Relationship Id="rId269" Type="http://schemas.openxmlformats.org/officeDocument/2006/relationships/hyperlink" Target="../Downloads/Telegram%20Desktop/PHOTO/SN/Kiran%20joshi.jpg" TargetMode="External"/><Relationship Id="rId434" Type="http://schemas.openxmlformats.org/officeDocument/2006/relationships/hyperlink" Target="../Downloads/Telegram%20Desktop/PHOTO/VE1472.jpg" TargetMode="External"/><Relationship Id="rId476" Type="http://schemas.openxmlformats.org/officeDocument/2006/relationships/hyperlink" Target="mailto:garejahina@gmail.com" TargetMode="External"/><Relationship Id="rId641" Type="http://schemas.openxmlformats.org/officeDocument/2006/relationships/hyperlink" Target="mailto:sanjurona.2602@gmail.com" TargetMode="External"/><Relationship Id="rId683" Type="http://schemas.openxmlformats.org/officeDocument/2006/relationships/hyperlink" Target="mailto:patelnishtha@gmail.com" TargetMode="External"/><Relationship Id="rId739" Type="http://schemas.openxmlformats.org/officeDocument/2006/relationships/hyperlink" Target="mailto:goswamimeerameera204@gmail.com" TargetMode="External"/><Relationship Id="rId33" Type="http://schemas.openxmlformats.org/officeDocument/2006/relationships/hyperlink" Target="../Downloads/Telegram%20Desktop/PHOTO/Emp%20Photo/VE1229.jpg" TargetMode="External"/><Relationship Id="rId129" Type="http://schemas.openxmlformats.org/officeDocument/2006/relationships/hyperlink" Target="../Downloads/Telegram%20Desktop/PHOTO/Photos%20of%20lab.tech/1152.jpg" TargetMode="External"/><Relationship Id="rId280" Type="http://schemas.openxmlformats.org/officeDocument/2006/relationships/hyperlink" Target="../Downloads/Telegram%20Desktop/PHOTO/SN/patel%20nidhi.jpg" TargetMode="External"/><Relationship Id="rId336" Type="http://schemas.openxmlformats.org/officeDocument/2006/relationships/hyperlink" Target="../Downloads/Telegram%20Desktop/PHOTO/All%20pic/1269.jpg" TargetMode="External"/><Relationship Id="rId501" Type="http://schemas.openxmlformats.org/officeDocument/2006/relationships/hyperlink" Target="mailto:rajyagurutulsi447@gmail.com" TargetMode="External"/><Relationship Id="rId543" Type="http://schemas.openxmlformats.org/officeDocument/2006/relationships/hyperlink" Target="mailto:mayankwww612@gmail.com" TargetMode="External"/><Relationship Id="rId75" Type="http://schemas.openxmlformats.org/officeDocument/2006/relationships/hyperlink" Target="../Downloads/Telegram%20Desktop/PHOTO/Emp%20Photo/VE1412.jpg" TargetMode="External"/><Relationship Id="rId140" Type="http://schemas.openxmlformats.org/officeDocument/2006/relationships/hyperlink" Target="../Downloads/Telegram%20Desktop/PHOTO/DEO/1036.jpg" TargetMode="External"/><Relationship Id="rId182" Type="http://schemas.openxmlformats.org/officeDocument/2006/relationships/hyperlink" Target="../Downloads/Telegram%20Desktop/PHOTO/DEO/manojkumar%20sonara.jpg" TargetMode="External"/><Relationship Id="rId378" Type="http://schemas.openxmlformats.org/officeDocument/2006/relationships/hyperlink" Target="../Downloads/Telegram%20Desktop/PHOTO/SN2/1320.jpg" TargetMode="External"/><Relationship Id="rId403" Type="http://schemas.openxmlformats.org/officeDocument/2006/relationships/hyperlink" Target="../Downloads/Telegram%20Desktop/PHOTO/All%20pic/1463.jpg" TargetMode="External"/><Relationship Id="rId585" Type="http://schemas.openxmlformats.org/officeDocument/2006/relationships/hyperlink" Target="mailto:rathodvaishali1902@gmail.com" TargetMode="External"/><Relationship Id="rId6" Type="http://schemas.openxmlformats.org/officeDocument/2006/relationships/hyperlink" Target="file:///E:\PHOTO\Emp%20Photo\VE1032.jpg" TargetMode="External"/><Relationship Id="rId238" Type="http://schemas.openxmlformats.org/officeDocument/2006/relationships/hyperlink" Target="../Downloads/Telegram%20Desktop/PHOTO/SN/1416.jpg" TargetMode="External"/><Relationship Id="rId445" Type="http://schemas.openxmlformats.org/officeDocument/2006/relationships/hyperlink" Target="../Downloads/Telegram%20Desktop/PHOTO/VE1484.jpg" TargetMode="External"/><Relationship Id="rId487" Type="http://schemas.openxmlformats.org/officeDocument/2006/relationships/hyperlink" Target="mailto:amishagupta673@gmail.com" TargetMode="External"/><Relationship Id="rId610" Type="http://schemas.openxmlformats.org/officeDocument/2006/relationships/hyperlink" Target="mailto:jigarparmar52333@gmail.com" TargetMode="External"/><Relationship Id="rId652" Type="http://schemas.openxmlformats.org/officeDocument/2006/relationships/hyperlink" Target="mailto:sakshipatel7801@gmail.com" TargetMode="External"/><Relationship Id="rId694" Type="http://schemas.openxmlformats.org/officeDocument/2006/relationships/hyperlink" Target="mailto:uruib26@gmail.com" TargetMode="External"/><Relationship Id="rId708" Type="http://schemas.openxmlformats.org/officeDocument/2006/relationships/hyperlink" Target="mailto:desaijaydeep4900@gmail.com" TargetMode="External"/><Relationship Id="rId291" Type="http://schemas.openxmlformats.org/officeDocument/2006/relationships/hyperlink" Target="../Downloads/Telegram%20Desktop/PHOTO/SN/rajshree%20sath_1.jpg" TargetMode="External"/><Relationship Id="rId305" Type="http://schemas.openxmlformats.org/officeDocument/2006/relationships/hyperlink" Target="../Downloads/Telegram%20Desktop/PHOTO/SN/sumera%20aarti.jpg" TargetMode="External"/><Relationship Id="rId347" Type="http://schemas.openxmlformats.org/officeDocument/2006/relationships/hyperlink" Target="../Downloads/Telegram%20Desktop/PHOTO/All%20pic/1452.jpg" TargetMode="External"/><Relationship Id="rId512" Type="http://schemas.openxmlformats.org/officeDocument/2006/relationships/hyperlink" Target="mailto:alpabhabhor288@gmail.com" TargetMode="External"/><Relationship Id="rId44" Type="http://schemas.openxmlformats.org/officeDocument/2006/relationships/hyperlink" Target="../Downloads/Telegram%20Desktop/PHOTO/Emp%20Photo/VE1313.jpg" TargetMode="External"/><Relationship Id="rId86" Type="http://schemas.openxmlformats.org/officeDocument/2006/relationships/hyperlink" Target="../Downloads/Telegram%20Desktop/PHOTO/Emp%20Photo%201/VE1066.jpg" TargetMode="External"/><Relationship Id="rId151" Type="http://schemas.openxmlformats.org/officeDocument/2006/relationships/hyperlink" Target="../Downloads/Telegram%20Desktop/PHOTO/DEO/1224.jpg" TargetMode="External"/><Relationship Id="rId389" Type="http://schemas.openxmlformats.org/officeDocument/2006/relationships/hyperlink" Target="../Downloads/Telegram%20Desktop/PHOTO/SN2/1448.jpg" TargetMode="External"/><Relationship Id="rId554" Type="http://schemas.openxmlformats.org/officeDocument/2006/relationships/hyperlink" Target="mailto:snehlatakotwal@gmail.com" TargetMode="External"/><Relationship Id="rId596" Type="http://schemas.openxmlformats.org/officeDocument/2006/relationships/hyperlink" Target="mailto:vishumodi322001@gmail.com" TargetMode="External"/><Relationship Id="rId193" Type="http://schemas.openxmlformats.org/officeDocument/2006/relationships/hyperlink" Target="../Downloads/Telegram%20Desktop/PHOTO/DEO/sandip%20dave.jpg" TargetMode="External"/><Relationship Id="rId207" Type="http://schemas.openxmlformats.org/officeDocument/2006/relationships/hyperlink" Target="../Downloads/Telegram%20Desktop/PHOTO/SN/1094.jpg" TargetMode="External"/><Relationship Id="rId249" Type="http://schemas.openxmlformats.org/officeDocument/2006/relationships/hyperlink" Target="../Downloads/Telegram%20Desktop/PHOTO/SN/asari%20kinjal.jpg" TargetMode="External"/><Relationship Id="rId414" Type="http://schemas.openxmlformats.org/officeDocument/2006/relationships/hyperlink" Target="mailto:ann.christian111@gmail.com" TargetMode="External"/><Relationship Id="rId456" Type="http://schemas.openxmlformats.org/officeDocument/2006/relationships/hyperlink" Target="../Downloads/Telegram%20Desktop/PHOTO/VE1293.jpg" TargetMode="External"/><Relationship Id="rId498" Type="http://schemas.openxmlformats.org/officeDocument/2006/relationships/hyperlink" Target="mailto:dharmendradabhi589@gmail.com" TargetMode="External"/><Relationship Id="rId621" Type="http://schemas.openxmlformats.org/officeDocument/2006/relationships/hyperlink" Target="mailto:sarvaiyarohit38@gmail.com" TargetMode="External"/><Relationship Id="rId663" Type="http://schemas.openxmlformats.org/officeDocument/2006/relationships/hyperlink" Target="mailto:vidhata22042002@gmail.com" TargetMode="External"/><Relationship Id="rId13" Type="http://schemas.openxmlformats.org/officeDocument/2006/relationships/hyperlink" Target="file:///E:\PHOTO\Emp%20Photo\VE1072.jpg" TargetMode="External"/><Relationship Id="rId109" Type="http://schemas.openxmlformats.org/officeDocument/2006/relationships/hyperlink" Target="../Downloads/Telegram%20Desktop/PHOTO/Emp%20Photo%201/VE1400.jpg" TargetMode="External"/><Relationship Id="rId260" Type="http://schemas.openxmlformats.org/officeDocument/2006/relationships/hyperlink" Target="../Downloads/Telegram%20Desktop/PHOTO/SN/gunjal%20namrata.jpg" TargetMode="External"/><Relationship Id="rId316" Type="http://schemas.openxmlformats.org/officeDocument/2006/relationships/hyperlink" Target="../Downloads/Telegram%20Desktop/PHOTO/All%20pic/1013.jpg" TargetMode="External"/><Relationship Id="rId523" Type="http://schemas.openxmlformats.org/officeDocument/2006/relationships/hyperlink" Target="mailto:ishratvhora1@gmail.com" TargetMode="External"/><Relationship Id="rId719" Type="http://schemas.openxmlformats.org/officeDocument/2006/relationships/hyperlink" Target="mailto:gohelkomal613@gmail.com" TargetMode="External"/><Relationship Id="rId55" Type="http://schemas.openxmlformats.org/officeDocument/2006/relationships/hyperlink" Target="../Downloads/Telegram%20Desktop/PHOTO/Emp%20Photo/VE1376.jpg" TargetMode="External"/><Relationship Id="rId97" Type="http://schemas.openxmlformats.org/officeDocument/2006/relationships/hyperlink" Target="../Downloads/Telegram%20Desktop/PHOTO/Emp%20Photo%201/VE1249.jpg" TargetMode="External"/><Relationship Id="rId120" Type="http://schemas.openxmlformats.org/officeDocument/2006/relationships/hyperlink" Target="../Downloads/Telegram%20Desktop/PHOTO/Photos%20of%20lab.tech/1077.jpg" TargetMode="External"/><Relationship Id="rId358" Type="http://schemas.openxmlformats.org/officeDocument/2006/relationships/hyperlink" Target="../Downloads/Telegram%20Desktop/PHOTO/SN2/1151.jpg" TargetMode="External"/><Relationship Id="rId565" Type="http://schemas.openxmlformats.org/officeDocument/2006/relationships/hyperlink" Target="mailto:bhumikarathod4830@gmail.com" TargetMode="External"/><Relationship Id="rId730" Type="http://schemas.openxmlformats.org/officeDocument/2006/relationships/hyperlink" Target="mailto:shahaarti002@gmail.com" TargetMode="External"/><Relationship Id="rId162" Type="http://schemas.openxmlformats.org/officeDocument/2006/relationships/hyperlink" Target="../Downloads/Telegram%20Desktop/PHOTO/DEO/bharti.jpg" TargetMode="External"/><Relationship Id="rId218" Type="http://schemas.openxmlformats.org/officeDocument/2006/relationships/hyperlink" Target="../Downloads/Telegram%20Desktop/PHOTO/SN/1209.jpg" TargetMode="External"/><Relationship Id="rId425" Type="http://schemas.openxmlformats.org/officeDocument/2006/relationships/hyperlink" Target="mailto:priyagohil838@gmail.com" TargetMode="External"/><Relationship Id="rId467" Type="http://schemas.openxmlformats.org/officeDocument/2006/relationships/hyperlink" Target="../Downloads/Telegram%20Desktop/PHOTO/VE1496.jpg" TargetMode="External"/><Relationship Id="rId632" Type="http://schemas.openxmlformats.org/officeDocument/2006/relationships/hyperlink" Target="mailto:dargeshbajag7807@gmail.com" TargetMode="External"/><Relationship Id="rId271" Type="http://schemas.openxmlformats.org/officeDocument/2006/relationships/hyperlink" Target="../Downloads/Telegram%20Desktop/PHOTO/SN/Machar%20vandna.jpg" TargetMode="External"/><Relationship Id="rId674" Type="http://schemas.openxmlformats.org/officeDocument/2006/relationships/hyperlink" Target="mailto:aartikushwaha011@gmail.com" TargetMode="External"/><Relationship Id="rId24" Type="http://schemas.openxmlformats.org/officeDocument/2006/relationships/hyperlink" Target="file:///E:\PHOTO\Emp%20Photo\VE1156.jpg" TargetMode="External"/><Relationship Id="rId66" Type="http://schemas.openxmlformats.org/officeDocument/2006/relationships/hyperlink" Target="../Downloads/Telegram%20Desktop/PHOTO/Emp%20Photo/VE1392.jpg" TargetMode="External"/><Relationship Id="rId131" Type="http://schemas.openxmlformats.org/officeDocument/2006/relationships/hyperlink" Target="../Downloads/Telegram%20Desktop/PHOTO/Photos%20of%20lab.tech/1222.jpg" TargetMode="External"/><Relationship Id="rId327" Type="http://schemas.openxmlformats.org/officeDocument/2006/relationships/hyperlink" Target="../Downloads/Telegram%20Desktop/PHOTO/All%20pic/1145.jpg" TargetMode="External"/><Relationship Id="rId369" Type="http://schemas.openxmlformats.org/officeDocument/2006/relationships/hyperlink" Target="../Downloads/Telegram%20Desktop/PHOTO/SN2/1234.jpg" TargetMode="External"/><Relationship Id="rId534" Type="http://schemas.openxmlformats.org/officeDocument/2006/relationships/hyperlink" Target="mailto:dharmipatani20197@gmail.com" TargetMode="External"/><Relationship Id="rId576" Type="http://schemas.openxmlformats.org/officeDocument/2006/relationships/hyperlink" Target="mailto:rabaritwinkal9985@gmail.com" TargetMode="External"/><Relationship Id="rId741" Type="http://schemas.openxmlformats.org/officeDocument/2006/relationships/hyperlink" Target="mailto:kinnariparmar4@gmail.com" TargetMode="External"/><Relationship Id="rId173" Type="http://schemas.openxmlformats.org/officeDocument/2006/relationships/hyperlink" Target="../Downloads/Telegram%20Desktop/PHOTO/DEO/kanzariya%20umesh.jpg" TargetMode="External"/><Relationship Id="rId229" Type="http://schemas.openxmlformats.org/officeDocument/2006/relationships/hyperlink" Target="../Downloads/Telegram%20Desktop/PHOTO/SN/1309.jpg" TargetMode="External"/><Relationship Id="rId380" Type="http://schemas.openxmlformats.org/officeDocument/2006/relationships/hyperlink" Target="../Downloads/Telegram%20Desktop/PHOTO/SN2/1329.jpg" TargetMode="External"/><Relationship Id="rId436" Type="http://schemas.openxmlformats.org/officeDocument/2006/relationships/hyperlink" Target="../Downloads/Telegram%20Desktop/PHOTO/VE1474.jpg" TargetMode="External"/><Relationship Id="rId601" Type="http://schemas.openxmlformats.org/officeDocument/2006/relationships/hyperlink" Target="mailto:khushijtuvar2002@gmail.com" TargetMode="External"/><Relationship Id="rId643" Type="http://schemas.openxmlformats.org/officeDocument/2006/relationships/hyperlink" Target="mailto:brijdonga2001@gmail.com" TargetMode="External"/><Relationship Id="rId240" Type="http://schemas.openxmlformats.org/officeDocument/2006/relationships/hyperlink" Target="../Downloads/Telegram%20Desktop/PHOTO/SN/1424.jpg" TargetMode="External"/><Relationship Id="rId478" Type="http://schemas.openxmlformats.org/officeDocument/2006/relationships/hyperlink" Target="mailto:niralrameshbhai@gmail.com" TargetMode="External"/><Relationship Id="rId685" Type="http://schemas.openxmlformats.org/officeDocument/2006/relationships/hyperlink" Target="mailto:karenadharmishtha@gmail,com" TargetMode="External"/><Relationship Id="rId35" Type="http://schemas.openxmlformats.org/officeDocument/2006/relationships/hyperlink" Target="../Downloads/Telegram%20Desktop/PHOTO/Emp%20Photo/VE1242.jpg" TargetMode="External"/><Relationship Id="rId77" Type="http://schemas.openxmlformats.org/officeDocument/2006/relationships/hyperlink" Target="../Downloads/Telegram%20Desktop/PHOTO/Emp%20Photo/VE1421%20(2).jpg" TargetMode="External"/><Relationship Id="rId100" Type="http://schemas.openxmlformats.org/officeDocument/2006/relationships/hyperlink" Target="../Downloads/Telegram%20Desktop/PHOTO/Emp%20Photo%201/VE1282.jpg" TargetMode="External"/><Relationship Id="rId282" Type="http://schemas.openxmlformats.org/officeDocument/2006/relationships/hyperlink" Target="../Downloads/Telegram%20Desktop/PHOTO/SN/patni%20manisha.jpg" TargetMode="External"/><Relationship Id="rId338" Type="http://schemas.openxmlformats.org/officeDocument/2006/relationships/hyperlink" Target="../Downloads/Telegram%20Desktop/PHOTO/All%20pic/1283.jpg" TargetMode="External"/><Relationship Id="rId503" Type="http://schemas.openxmlformats.org/officeDocument/2006/relationships/hyperlink" Target="mailto:baghelakhilesh0320bk@gmail.com" TargetMode="External"/><Relationship Id="rId545" Type="http://schemas.openxmlformats.org/officeDocument/2006/relationships/hyperlink" Target="mailto:hiraniharshil007@gmail.com" TargetMode="External"/><Relationship Id="rId587" Type="http://schemas.openxmlformats.org/officeDocument/2006/relationships/hyperlink" Target="mailto:prem.vaishnav356@gmail.com" TargetMode="External"/><Relationship Id="rId710" Type="http://schemas.openxmlformats.org/officeDocument/2006/relationships/hyperlink" Target="mailto:naisargi.parekh01@gmail.com" TargetMode="External"/><Relationship Id="rId8" Type="http://schemas.openxmlformats.org/officeDocument/2006/relationships/hyperlink" Target="file:///E:\PHOTO\Emp%20Photo\VE1054.jpg" TargetMode="External"/><Relationship Id="rId142" Type="http://schemas.openxmlformats.org/officeDocument/2006/relationships/hyperlink" Target="../Downloads/Telegram%20Desktop/PHOTO/DEO/1043.jpg" TargetMode="External"/><Relationship Id="rId184" Type="http://schemas.openxmlformats.org/officeDocument/2006/relationships/hyperlink" Target="../Downloads/Telegram%20Desktop/PHOTO/DEO/Mehta%20neha.jpg" TargetMode="External"/><Relationship Id="rId391" Type="http://schemas.openxmlformats.org/officeDocument/2006/relationships/hyperlink" Target="../Downloads/Telegram%20Desktop/PHOTO/1420.jpg" TargetMode="External"/><Relationship Id="rId405" Type="http://schemas.openxmlformats.org/officeDocument/2006/relationships/hyperlink" Target="../Downloads/Telegram%20Desktop/PHOTO/1464%20(1).jpg" TargetMode="External"/><Relationship Id="rId447" Type="http://schemas.openxmlformats.org/officeDocument/2006/relationships/hyperlink" Target="../Downloads/Telegram%20Desktop/PHOTO/VE1486.jpg" TargetMode="External"/><Relationship Id="rId612" Type="http://schemas.openxmlformats.org/officeDocument/2006/relationships/hyperlink" Target="mailto:salviravina2000@gmail.com" TargetMode="External"/><Relationship Id="rId251" Type="http://schemas.openxmlformats.org/officeDocument/2006/relationships/hyperlink" Target="../Downloads/Telegram%20Desktop/PHOTO/SN/Bhatti%20Divya.jpg" TargetMode="External"/><Relationship Id="rId489" Type="http://schemas.openxmlformats.org/officeDocument/2006/relationships/hyperlink" Target="mailto:kanzariyabipin5@gmail.com" TargetMode="External"/><Relationship Id="rId654" Type="http://schemas.openxmlformats.org/officeDocument/2006/relationships/hyperlink" Target="mailto:bijalp158@gmail.com" TargetMode="External"/><Relationship Id="rId696" Type="http://schemas.openxmlformats.org/officeDocument/2006/relationships/hyperlink" Target="mailto:rutuc254@gmail.com" TargetMode="External"/><Relationship Id="rId46" Type="http://schemas.openxmlformats.org/officeDocument/2006/relationships/hyperlink" Target="../Downloads/Telegram%20Desktop/PHOTO/Emp%20Photo/VE1353.jpg" TargetMode="External"/><Relationship Id="rId293" Type="http://schemas.openxmlformats.org/officeDocument/2006/relationships/hyperlink" Target="../Downloads/Telegram%20Desktop/PHOTO/SN/Rama%20bhai.jpg" TargetMode="External"/><Relationship Id="rId307" Type="http://schemas.openxmlformats.org/officeDocument/2006/relationships/hyperlink" Target="../Downloads/Telegram%20Desktop/PHOTO/SN/tarbundiya.jpg" TargetMode="External"/><Relationship Id="rId349" Type="http://schemas.openxmlformats.org/officeDocument/2006/relationships/hyperlink" Target="../Downloads/Telegram%20Desktop/PHOTO/SN2/1055.jpg" TargetMode="External"/><Relationship Id="rId514" Type="http://schemas.openxmlformats.org/officeDocument/2006/relationships/hyperlink" Target="mailto:ashwinivaghela27@gmail.com" TargetMode="External"/><Relationship Id="rId556" Type="http://schemas.openxmlformats.org/officeDocument/2006/relationships/hyperlink" Target="mailto:nevilpateliya9574@gmail.com" TargetMode="External"/><Relationship Id="rId721" Type="http://schemas.openxmlformats.org/officeDocument/2006/relationships/hyperlink" Target="mailto:rebeldipak1@gmail.com" TargetMode="External"/><Relationship Id="rId88" Type="http://schemas.openxmlformats.org/officeDocument/2006/relationships/hyperlink" Target="../Downloads/Telegram%20Desktop/PHOTO/Emp%20Photo%201/VE1078.jpg" TargetMode="External"/><Relationship Id="rId111" Type="http://schemas.openxmlformats.org/officeDocument/2006/relationships/hyperlink" Target="../Downloads/Telegram%20Desktop/PHOTO/Emp%20Photo%201/VE1410.jpg" TargetMode="External"/><Relationship Id="rId153" Type="http://schemas.openxmlformats.org/officeDocument/2006/relationships/hyperlink" Target="../Downloads/Telegram%20Desktop/PHOTO/DEO/1243.jpg" TargetMode="External"/><Relationship Id="rId195" Type="http://schemas.openxmlformats.org/officeDocument/2006/relationships/hyperlink" Target="../Downloads/Telegram%20Desktop/PHOTO/DEO/solanki%20jayesh%20j.jpg" TargetMode="External"/><Relationship Id="rId209" Type="http://schemas.openxmlformats.org/officeDocument/2006/relationships/hyperlink" Target="../Downloads/Telegram%20Desktop/PHOTO/SN/1096.jpg" TargetMode="External"/><Relationship Id="rId360" Type="http://schemas.openxmlformats.org/officeDocument/2006/relationships/hyperlink" Target="../Downloads/Telegram%20Desktop/PHOTO/SN2/1190.jpg" TargetMode="External"/><Relationship Id="rId416" Type="http://schemas.openxmlformats.org/officeDocument/2006/relationships/hyperlink" Target="mailto:nasibasheikh@gmail.com" TargetMode="External"/><Relationship Id="rId598" Type="http://schemas.openxmlformats.org/officeDocument/2006/relationships/hyperlink" Target="mailto:parmarkrishna2608@gmail.com" TargetMode="External"/><Relationship Id="rId220" Type="http://schemas.openxmlformats.org/officeDocument/2006/relationships/hyperlink" Target="../Downloads/Telegram%20Desktop/PHOTO/SN/1214.jpg" TargetMode="External"/><Relationship Id="rId458" Type="http://schemas.openxmlformats.org/officeDocument/2006/relationships/hyperlink" Target="../Downloads/Telegram%20Desktop/PHOTO/VE1494.jpg" TargetMode="External"/><Relationship Id="rId623" Type="http://schemas.openxmlformats.org/officeDocument/2006/relationships/hyperlink" Target="mailto:hiteshpraja2102@gmail.com" TargetMode="External"/><Relationship Id="rId665" Type="http://schemas.openxmlformats.org/officeDocument/2006/relationships/hyperlink" Target="mailto:padhiyarsaloni2003@gmail.com" TargetMode="External"/><Relationship Id="rId15" Type="http://schemas.openxmlformats.org/officeDocument/2006/relationships/hyperlink" Target="file:///E:\PHOTO\Emp%20Photo\VE1103.jpg" TargetMode="External"/><Relationship Id="rId57" Type="http://schemas.openxmlformats.org/officeDocument/2006/relationships/hyperlink" Target="../Downloads/Telegram%20Desktop/PHOTO/Emp%20Photo/VE1380.jpg" TargetMode="External"/><Relationship Id="rId262" Type="http://schemas.openxmlformats.org/officeDocument/2006/relationships/hyperlink" Target="../Downloads/Telegram%20Desktop/PHOTO/SN/Isha%20solanki.jpg" TargetMode="External"/><Relationship Id="rId318" Type="http://schemas.openxmlformats.org/officeDocument/2006/relationships/hyperlink" Target="../Downloads/Telegram%20Desktop/PHOTO/All%20pic/1048.jpg" TargetMode="External"/><Relationship Id="rId525" Type="http://schemas.openxmlformats.org/officeDocument/2006/relationships/hyperlink" Target="mailto:jaykotwal789654@gmail.com" TargetMode="External"/><Relationship Id="rId567" Type="http://schemas.openxmlformats.org/officeDocument/2006/relationships/hyperlink" Target="mailto:pateldipen1213@gmail.com" TargetMode="External"/><Relationship Id="rId732" Type="http://schemas.openxmlformats.org/officeDocument/2006/relationships/hyperlink" Target="mailto:karinaparmar33@gmail.com" TargetMode="External"/><Relationship Id="rId99" Type="http://schemas.openxmlformats.org/officeDocument/2006/relationships/hyperlink" Target="../Downloads/Telegram%20Desktop/PHOTO/Emp%20Photo%201/VE1275.jpg" TargetMode="External"/><Relationship Id="rId122" Type="http://schemas.openxmlformats.org/officeDocument/2006/relationships/hyperlink" Target="../Downloads/Telegram%20Desktop/PHOTO/Photos%20of%20lab.tech/1083.jpg" TargetMode="External"/><Relationship Id="rId164" Type="http://schemas.openxmlformats.org/officeDocument/2006/relationships/hyperlink" Target="../Downloads/Telegram%20Desktop/PHOTO/DEO/chanal.jpg" TargetMode="External"/><Relationship Id="rId371" Type="http://schemas.openxmlformats.org/officeDocument/2006/relationships/hyperlink" Target="../Downloads/Telegram%20Desktop/PHOTO/SN2/1238.jpg" TargetMode="External"/><Relationship Id="rId427" Type="http://schemas.openxmlformats.org/officeDocument/2006/relationships/hyperlink" Target="mailto:parmarshailesh1542@gmail.com" TargetMode="External"/><Relationship Id="rId469" Type="http://schemas.openxmlformats.org/officeDocument/2006/relationships/hyperlink" Target="../Downloads/Telegram%20Desktop/PHOTO/VE1498.jpg" TargetMode="External"/><Relationship Id="rId634" Type="http://schemas.openxmlformats.org/officeDocument/2006/relationships/hyperlink" Target="mailto:lagdhirumang02@gmail.com" TargetMode="External"/><Relationship Id="rId676" Type="http://schemas.openxmlformats.org/officeDocument/2006/relationships/hyperlink" Target="mailto:khushigediya@gmail.com" TargetMode="External"/><Relationship Id="rId26" Type="http://schemas.openxmlformats.org/officeDocument/2006/relationships/hyperlink" Target="file:///E:\PHOTO\Emp%20Photo\VE1170.jpg" TargetMode="External"/><Relationship Id="rId231" Type="http://schemas.openxmlformats.org/officeDocument/2006/relationships/hyperlink" Target="../Downloads/Telegram%20Desktop/PHOTO/SN/1328.jpg" TargetMode="External"/><Relationship Id="rId273" Type="http://schemas.openxmlformats.org/officeDocument/2006/relationships/hyperlink" Target="../Downloads/Telegram%20Desktop/PHOTO/SN/Monika%20rathod.jpg" TargetMode="External"/><Relationship Id="rId329" Type="http://schemas.openxmlformats.org/officeDocument/2006/relationships/hyperlink" Target="../Downloads/Telegram%20Desktop/PHOTO/All%20pic/1159.jpg" TargetMode="External"/><Relationship Id="rId480" Type="http://schemas.openxmlformats.org/officeDocument/2006/relationships/hyperlink" Target="mailto:kalpeshsolanki0511@gmail.com" TargetMode="External"/><Relationship Id="rId536" Type="http://schemas.openxmlformats.org/officeDocument/2006/relationships/hyperlink" Target="mailto:parmarsoniya11@gmail.com" TargetMode="External"/><Relationship Id="rId701" Type="http://schemas.openxmlformats.org/officeDocument/2006/relationships/hyperlink" Target="mailto:nilup353@gmail.com" TargetMode="External"/><Relationship Id="rId68" Type="http://schemas.openxmlformats.org/officeDocument/2006/relationships/hyperlink" Target="../Downloads/Telegram%20Desktop/PHOTO/Emp%20Photo/VE1394.jpg" TargetMode="External"/><Relationship Id="rId133" Type="http://schemas.openxmlformats.org/officeDocument/2006/relationships/hyperlink" Target="../Downloads/Telegram%20Desktop/PHOTO/Photos%20of%20lab.tech/1252.jpg" TargetMode="External"/><Relationship Id="rId175" Type="http://schemas.openxmlformats.org/officeDocument/2006/relationships/hyperlink" Target="../Downloads/Telegram%20Desktop/PHOTO/DEO/kepalben.jpg" TargetMode="External"/><Relationship Id="rId340" Type="http://schemas.openxmlformats.org/officeDocument/2006/relationships/hyperlink" Target="../Downloads/Telegram%20Desktop/PHOTO/All%20pic/1358.jpg" TargetMode="External"/><Relationship Id="rId578" Type="http://schemas.openxmlformats.org/officeDocument/2006/relationships/hyperlink" Target="mailto:draashkamodi@gmail.com" TargetMode="External"/><Relationship Id="rId743" Type="http://schemas.openxmlformats.org/officeDocument/2006/relationships/hyperlink" Target="mailto:prekshapatel13879@gmail.com" TargetMode="External"/><Relationship Id="rId200" Type="http://schemas.openxmlformats.org/officeDocument/2006/relationships/hyperlink" Target="../Downloads/Telegram%20Desktop/PHOTO/SN/1014.jpg" TargetMode="External"/><Relationship Id="rId382" Type="http://schemas.openxmlformats.org/officeDocument/2006/relationships/hyperlink" Target="../Downloads/Telegram%20Desktop/PHOTO/SN2/1415.jpg" TargetMode="External"/><Relationship Id="rId438" Type="http://schemas.openxmlformats.org/officeDocument/2006/relationships/hyperlink" Target="../Downloads/Telegram%20Desktop/PHOTO/VE1477.jpg" TargetMode="External"/><Relationship Id="rId603" Type="http://schemas.openxmlformats.org/officeDocument/2006/relationships/hyperlink" Target="mailto:kurilkomal143@gmail.com" TargetMode="External"/><Relationship Id="rId645" Type="http://schemas.openxmlformats.org/officeDocument/2006/relationships/hyperlink" Target="mailto:vinitapatel857@gmail.com" TargetMode="External"/><Relationship Id="rId687" Type="http://schemas.openxmlformats.org/officeDocument/2006/relationships/hyperlink" Target="mailto:panchalkajal016@gmail.com" TargetMode="External"/><Relationship Id="rId242" Type="http://schemas.openxmlformats.org/officeDocument/2006/relationships/hyperlink" Target="../Downloads/Telegram%20Desktop/PHOTO/SN/1427.jpg" TargetMode="External"/><Relationship Id="rId284" Type="http://schemas.openxmlformats.org/officeDocument/2006/relationships/hyperlink" Target="../Downloads/Telegram%20Desktop/PHOTO/SN/Pooja%20thakrda.jpg" TargetMode="External"/><Relationship Id="rId491" Type="http://schemas.openxmlformats.org/officeDocument/2006/relationships/hyperlink" Target="mailto:raviasari2306@gmail.com" TargetMode="External"/><Relationship Id="rId505" Type="http://schemas.openxmlformats.org/officeDocument/2006/relationships/hyperlink" Target="mailto:twinkalpatelpiyushsolanki@gmail.com" TargetMode="External"/><Relationship Id="rId712" Type="http://schemas.openxmlformats.org/officeDocument/2006/relationships/hyperlink" Target="mailto:radharajput111111111@gmail.com" TargetMode="External"/><Relationship Id="rId37" Type="http://schemas.openxmlformats.org/officeDocument/2006/relationships/hyperlink" Target="../Downloads/Telegram%20Desktop/PHOTO/Emp%20Photo/VE1259.jpg" TargetMode="External"/><Relationship Id="rId79" Type="http://schemas.openxmlformats.org/officeDocument/2006/relationships/hyperlink" Target="../Downloads/Telegram%20Desktop/PHOTO/Emp%20Photo/VE1429.jpg" TargetMode="External"/><Relationship Id="rId102" Type="http://schemas.openxmlformats.org/officeDocument/2006/relationships/hyperlink" Target="../Downloads/Telegram%20Desktop/PHOTO/Emp%20Photo%201/VE1367.jpg" TargetMode="External"/><Relationship Id="rId144" Type="http://schemas.openxmlformats.org/officeDocument/2006/relationships/hyperlink" Target="../Downloads/Telegram%20Desktop/PHOTO/DEO/1115.jpg" TargetMode="External"/><Relationship Id="rId547" Type="http://schemas.openxmlformats.org/officeDocument/2006/relationships/hyperlink" Target="mailto:priyanksolanki437@gmail.com" TargetMode="External"/><Relationship Id="rId589" Type="http://schemas.openxmlformats.org/officeDocument/2006/relationships/hyperlink" Target="mailto:aalishasurati466@gmail.com" TargetMode="External"/><Relationship Id="rId90" Type="http://schemas.openxmlformats.org/officeDocument/2006/relationships/hyperlink" Target="../Downloads/Telegram%20Desktop/PHOTO/Emp%20Photo%201/VE1166.jpg" TargetMode="External"/><Relationship Id="rId186" Type="http://schemas.openxmlformats.org/officeDocument/2006/relationships/hyperlink" Target="../Downloads/Telegram%20Desktop/PHOTO/DEO/nimesh.jpg" TargetMode="External"/><Relationship Id="rId351" Type="http://schemas.openxmlformats.org/officeDocument/2006/relationships/hyperlink" Target="../Downloads/Telegram%20Desktop/PHOTO/SN2/1090.jpg" TargetMode="External"/><Relationship Id="rId393" Type="http://schemas.openxmlformats.org/officeDocument/2006/relationships/hyperlink" Target="../Downloads/Telegram%20Desktop/PHOTO/1351.jpg" TargetMode="External"/><Relationship Id="rId407" Type="http://schemas.openxmlformats.org/officeDocument/2006/relationships/hyperlink" Target="../Downloads/Telegram%20Desktop/PHOTO/1104.jpg" TargetMode="External"/><Relationship Id="rId449" Type="http://schemas.openxmlformats.org/officeDocument/2006/relationships/hyperlink" Target="../Downloads/Telegram%20Desktop/PHOTO/VE1488.jpg" TargetMode="External"/><Relationship Id="rId614" Type="http://schemas.openxmlformats.org/officeDocument/2006/relationships/hyperlink" Target="mailto:patanikajal1997@gmail.com" TargetMode="External"/><Relationship Id="rId656" Type="http://schemas.openxmlformats.org/officeDocument/2006/relationships/hyperlink" Target="mailto:sunnychristian512@gmail.com" TargetMode="External"/><Relationship Id="rId211" Type="http://schemas.openxmlformats.org/officeDocument/2006/relationships/hyperlink" Target="../Downloads/Telegram%20Desktop/PHOTO/SN/1100.jpg" TargetMode="External"/><Relationship Id="rId253" Type="http://schemas.openxmlformats.org/officeDocument/2006/relationships/hyperlink" Target="../Downloads/Telegram%20Desktop/PHOTO/SN/dabhi%20dipal.jpg" TargetMode="External"/><Relationship Id="rId295" Type="http://schemas.openxmlformats.org/officeDocument/2006/relationships/hyperlink" Target="../Downloads/Telegram%20Desktop/PHOTO/SN/Raval%20gopi.jpg" TargetMode="External"/><Relationship Id="rId309" Type="http://schemas.openxmlformats.org/officeDocument/2006/relationships/hyperlink" Target="../Downloads/Telegram%20Desktop/PHOTO/SN/twinkle%20yadavv.jpg" TargetMode="External"/><Relationship Id="rId460" Type="http://schemas.openxmlformats.org/officeDocument/2006/relationships/hyperlink" Target="../Downloads/Telegram%20Desktop/PHOTO/VE1460.jpg" TargetMode="External"/><Relationship Id="rId516" Type="http://schemas.openxmlformats.org/officeDocument/2006/relationships/hyperlink" Target="mailto:mannabhavsar288@gmail.com" TargetMode="External"/><Relationship Id="rId698" Type="http://schemas.openxmlformats.org/officeDocument/2006/relationships/hyperlink" Target="mailto:budgudetushar50@gmail.com" TargetMode="External"/><Relationship Id="rId48" Type="http://schemas.openxmlformats.org/officeDocument/2006/relationships/hyperlink" Target="../Downloads/Telegram%20Desktop/PHOTO/Emp%20Photo/VE1364.jpg" TargetMode="External"/><Relationship Id="rId113" Type="http://schemas.openxmlformats.org/officeDocument/2006/relationships/hyperlink" Target="../Downloads/Telegram%20Desktop/PHOTO/Emp%20Photo%201/VE1425.jpg" TargetMode="External"/><Relationship Id="rId320" Type="http://schemas.openxmlformats.org/officeDocument/2006/relationships/hyperlink" Target="../Downloads/Telegram%20Desktop/PHOTO/All%20pic/1050.jpg" TargetMode="External"/><Relationship Id="rId558" Type="http://schemas.openxmlformats.org/officeDocument/2006/relationships/hyperlink" Target="mailto:nansikhristi85173@gmail.com" TargetMode="External"/><Relationship Id="rId723" Type="http://schemas.openxmlformats.org/officeDocument/2006/relationships/hyperlink" Target="mailto:ranasuraj699@gmail.com" TargetMode="External"/><Relationship Id="rId155" Type="http://schemas.openxmlformats.org/officeDocument/2006/relationships/hyperlink" Target="../Downloads/Telegram%20Desktop/PHOTO/DEO/1449.jpg" TargetMode="External"/><Relationship Id="rId197" Type="http://schemas.openxmlformats.org/officeDocument/2006/relationships/hyperlink" Target="../Downloads/Telegram%20Desktop/PHOTO/DEO/Usha%20panchal.jpg" TargetMode="External"/><Relationship Id="rId362" Type="http://schemas.openxmlformats.org/officeDocument/2006/relationships/hyperlink" Target="../Downloads/Telegram%20Desktop/PHOTO/SN2/1194.jpg" TargetMode="External"/><Relationship Id="rId418" Type="http://schemas.openxmlformats.org/officeDocument/2006/relationships/hyperlink" Target="mailto:patelsurabhi16.8@gmail.com" TargetMode="External"/><Relationship Id="rId625" Type="http://schemas.openxmlformats.org/officeDocument/2006/relationships/hyperlink" Target="mailto:anjali.bhaskar18@gmail.com" TargetMode="External"/><Relationship Id="rId222" Type="http://schemas.openxmlformats.org/officeDocument/2006/relationships/hyperlink" Target="../Downloads/Telegram%20Desktop/PHOTO/SN/1232.jpg" TargetMode="External"/><Relationship Id="rId264" Type="http://schemas.openxmlformats.org/officeDocument/2006/relationships/hyperlink" Target="../Downloads/Telegram%20Desktop/PHOTO/SN/jethava%20kajal.jpg" TargetMode="External"/><Relationship Id="rId471" Type="http://schemas.openxmlformats.org/officeDocument/2006/relationships/hyperlink" Target="../Downloads/Telegram%20Desktop/PHOTO/VE1495.jpg" TargetMode="External"/><Relationship Id="rId667" Type="http://schemas.openxmlformats.org/officeDocument/2006/relationships/hyperlink" Target="mailto:rathodvarsha979@gmail.com" TargetMode="External"/><Relationship Id="rId17" Type="http://schemas.openxmlformats.org/officeDocument/2006/relationships/hyperlink" Target="file:///E:\PHOTO\Emp%20Photo\VE1118.jpg" TargetMode="External"/><Relationship Id="rId59" Type="http://schemas.openxmlformats.org/officeDocument/2006/relationships/hyperlink" Target="../Downloads/Telegram%20Desktop/PHOTO/Emp%20Photo/VE1382.jpg" TargetMode="External"/><Relationship Id="rId124" Type="http://schemas.openxmlformats.org/officeDocument/2006/relationships/hyperlink" Target="../Downloads/Telegram%20Desktop/PHOTO/Photos%20of%20lab.tech/1107.jpg" TargetMode="External"/><Relationship Id="rId527" Type="http://schemas.openxmlformats.org/officeDocument/2006/relationships/hyperlink" Target="mailto:krishnadabhi8520@gmail.com" TargetMode="External"/><Relationship Id="rId569" Type="http://schemas.openxmlformats.org/officeDocument/2006/relationships/hyperlink" Target="mailto:bhavikajadav795@gmail.com" TargetMode="External"/><Relationship Id="rId734" Type="http://schemas.openxmlformats.org/officeDocument/2006/relationships/hyperlink" Target="mailto:prajapatihitanshi20@gmail.com" TargetMode="External"/><Relationship Id="rId70" Type="http://schemas.openxmlformats.org/officeDocument/2006/relationships/hyperlink" Target="../Downloads/Telegram%20Desktop/PHOTO/Emp%20Photo/VE1396.jpg" TargetMode="External"/><Relationship Id="rId166" Type="http://schemas.openxmlformats.org/officeDocument/2006/relationships/hyperlink" Target="../Downloads/Telegram%20Desktop/PHOTO/DEO/Dixit%20sweta.jpg" TargetMode="External"/><Relationship Id="rId331" Type="http://schemas.openxmlformats.org/officeDocument/2006/relationships/hyperlink" Target="../Downloads/Telegram%20Desktop/PHOTO/All%20pic/1161.jpg" TargetMode="External"/><Relationship Id="rId373" Type="http://schemas.openxmlformats.org/officeDocument/2006/relationships/hyperlink" Target="../Downloads/Telegram%20Desktop/PHOTO/SN2/1260.jpg" TargetMode="External"/><Relationship Id="rId429" Type="http://schemas.openxmlformats.org/officeDocument/2006/relationships/hyperlink" Target="../Downloads/Telegram%20Desktop/PHOTO/1466.jpg" TargetMode="External"/><Relationship Id="rId580" Type="http://schemas.openxmlformats.org/officeDocument/2006/relationships/hyperlink" Target="mailto:dishapanchal76@gmail.com" TargetMode="External"/><Relationship Id="rId636" Type="http://schemas.openxmlformats.org/officeDocument/2006/relationships/hyperlink" Target="mailto:ninamadenish295@gmail.com" TargetMode="External"/><Relationship Id="rId1" Type="http://schemas.openxmlformats.org/officeDocument/2006/relationships/hyperlink" Target="file:///E:\PHOTO\Emp%20Photo\VE1007.jpg" TargetMode="External"/><Relationship Id="rId233" Type="http://schemas.openxmlformats.org/officeDocument/2006/relationships/hyperlink" Target="../Downloads/Telegram%20Desktop/PHOTO/SN/1341.jpg" TargetMode="External"/><Relationship Id="rId440" Type="http://schemas.openxmlformats.org/officeDocument/2006/relationships/hyperlink" Target="../Downloads/Telegram%20Desktop/PHOTO/VE1479.jpg" TargetMode="External"/><Relationship Id="rId678" Type="http://schemas.openxmlformats.org/officeDocument/2006/relationships/hyperlink" Target="mailto:yashshvipatel1017@gmail.com" TargetMode="External"/><Relationship Id="rId28" Type="http://schemas.openxmlformats.org/officeDocument/2006/relationships/hyperlink" Target="file:///E:\PHOTO\Emp%20Photo\VE1193.jpg" TargetMode="External"/><Relationship Id="rId275" Type="http://schemas.openxmlformats.org/officeDocument/2006/relationships/hyperlink" Target="../Downloads/Telegram%20Desktop/PHOTO/SN/nirali%20amal.jpg" TargetMode="External"/><Relationship Id="rId300" Type="http://schemas.openxmlformats.org/officeDocument/2006/relationships/hyperlink" Target="../Downloads/Telegram%20Desktop/PHOTO/SN/rupareliya.jpg" TargetMode="External"/><Relationship Id="rId482" Type="http://schemas.openxmlformats.org/officeDocument/2006/relationships/hyperlink" Target="mailto:falaks895@gmail.com" TargetMode="External"/><Relationship Id="rId538" Type="http://schemas.openxmlformats.org/officeDocument/2006/relationships/hyperlink" Target="mailto:kajalmori16058@gmail.com" TargetMode="External"/><Relationship Id="rId703" Type="http://schemas.openxmlformats.org/officeDocument/2006/relationships/hyperlink" Target="mailto:mittalsolanki999@gmail.com" TargetMode="External"/><Relationship Id="rId745" Type="http://schemas.openxmlformats.org/officeDocument/2006/relationships/hyperlink" Target="mailto:mudaliarpriya79@gmail.com" TargetMode="External"/><Relationship Id="rId81" Type="http://schemas.openxmlformats.org/officeDocument/2006/relationships/hyperlink" Target="../Downloads/Telegram%20Desktop/PHOTO/Emp%20Photo/VE1432.jpg" TargetMode="External"/><Relationship Id="rId135" Type="http://schemas.openxmlformats.org/officeDocument/2006/relationships/hyperlink" Target="../Downloads/Telegram%20Desktop/PHOTO/Photos%20of%20lab.tech/1370.jpg" TargetMode="External"/><Relationship Id="rId177" Type="http://schemas.openxmlformats.org/officeDocument/2006/relationships/hyperlink" Target="../Downloads/Telegram%20Desktop/PHOTO/DEO/laxmi.jpg" TargetMode="External"/><Relationship Id="rId342" Type="http://schemas.openxmlformats.org/officeDocument/2006/relationships/hyperlink" Target="../Downloads/Telegram%20Desktop/PHOTO/All%20pic/1418.jpg" TargetMode="External"/><Relationship Id="rId384" Type="http://schemas.openxmlformats.org/officeDocument/2006/relationships/hyperlink" Target="../Downloads/Telegram%20Desktop/PHOTO/SN2/1434.jpg" TargetMode="External"/><Relationship Id="rId591" Type="http://schemas.openxmlformats.org/officeDocument/2006/relationships/hyperlink" Target="mailto:hari.radadiya1998@gmail.com" TargetMode="External"/><Relationship Id="rId605" Type="http://schemas.openxmlformats.org/officeDocument/2006/relationships/hyperlink" Target="mailto:dipikachavda2710@gmail.com" TargetMode="External"/><Relationship Id="rId202" Type="http://schemas.openxmlformats.org/officeDocument/2006/relationships/hyperlink" Target="../Downloads/Telegram%20Desktop/PHOTO/SN/1053.jpg" TargetMode="External"/><Relationship Id="rId244" Type="http://schemas.openxmlformats.org/officeDocument/2006/relationships/hyperlink" Target="../Downloads/Telegram%20Desktop/PHOTO/SN/1445.jpg" TargetMode="External"/><Relationship Id="rId647" Type="http://schemas.openxmlformats.org/officeDocument/2006/relationships/hyperlink" Target="mailto:patelhetu624@gmail.com" TargetMode="External"/><Relationship Id="rId689" Type="http://schemas.openxmlformats.org/officeDocument/2006/relationships/hyperlink" Target="mailto:davepinal3@gmail.com" TargetMode="External"/><Relationship Id="rId39" Type="http://schemas.openxmlformats.org/officeDocument/2006/relationships/hyperlink" Target="../Downloads/Telegram%20Desktop/PHOTO/Emp%20Photo/VE1265.jpg" TargetMode="External"/><Relationship Id="rId286" Type="http://schemas.openxmlformats.org/officeDocument/2006/relationships/hyperlink" Target="../Downloads/Telegram%20Desktop/PHOTO/SN/pratiksha%20ch.jpg" TargetMode="External"/><Relationship Id="rId451" Type="http://schemas.openxmlformats.org/officeDocument/2006/relationships/hyperlink" Target="../Downloads/Telegram%20Desktop/PHOTO/VE1490.jpg" TargetMode="External"/><Relationship Id="rId493" Type="http://schemas.openxmlformats.org/officeDocument/2006/relationships/hyperlink" Target="mailto:hetalahir965@gmail.com" TargetMode="External"/><Relationship Id="rId507" Type="http://schemas.openxmlformats.org/officeDocument/2006/relationships/hyperlink" Target="mailto:shivavansh5666@gmail.com" TargetMode="External"/><Relationship Id="rId549" Type="http://schemas.openxmlformats.org/officeDocument/2006/relationships/hyperlink" Target="mailto:rushikabarad616@gmail.com" TargetMode="External"/><Relationship Id="rId714" Type="http://schemas.openxmlformats.org/officeDocument/2006/relationships/hyperlink" Target="mailto:dhruvishaparekh1210@gmail.com" TargetMode="External"/><Relationship Id="rId50" Type="http://schemas.openxmlformats.org/officeDocument/2006/relationships/hyperlink" Target="../Downloads/Telegram%20Desktop/PHOTO/Emp%20Photo/VE1371.jpg" TargetMode="External"/><Relationship Id="rId104" Type="http://schemas.openxmlformats.org/officeDocument/2006/relationships/hyperlink" Target="../Downloads/Telegram%20Desktop/PHOTO/Emp%20Photo%201/VE1377.jpg" TargetMode="External"/><Relationship Id="rId146" Type="http://schemas.openxmlformats.org/officeDocument/2006/relationships/hyperlink" Target="../Downloads/Telegram%20Desktop/PHOTO/DEO/1117.jpg" TargetMode="External"/><Relationship Id="rId188" Type="http://schemas.openxmlformats.org/officeDocument/2006/relationships/hyperlink" Target="../Downloads/Telegram%20Desktop/PHOTO/DEO/parmar%20priyanka.jpg" TargetMode="External"/><Relationship Id="rId311" Type="http://schemas.openxmlformats.org/officeDocument/2006/relationships/hyperlink" Target="../Downloads/Telegram%20Desktop/PHOTO/SN/urvashi%20baria.jpg" TargetMode="External"/><Relationship Id="rId353" Type="http://schemas.openxmlformats.org/officeDocument/2006/relationships/hyperlink" Target="../Downloads/Telegram%20Desktop/PHOTO/SN2/1102.jpg" TargetMode="External"/><Relationship Id="rId395" Type="http://schemas.openxmlformats.org/officeDocument/2006/relationships/hyperlink" Target="../Downloads/Telegram%20Desktop/PHOTO/All%20pic/1454.jpg" TargetMode="External"/><Relationship Id="rId409" Type="http://schemas.openxmlformats.org/officeDocument/2006/relationships/hyperlink" Target="../Downloads/Telegram%20Desktop/PHOTO/Photos%20of%20lab.tech/1010.jpg" TargetMode="External"/><Relationship Id="rId560" Type="http://schemas.openxmlformats.org/officeDocument/2006/relationships/hyperlink" Target="mailto:manishc67618@gamil.com" TargetMode="External"/><Relationship Id="rId92" Type="http://schemas.openxmlformats.org/officeDocument/2006/relationships/hyperlink" Target="../Downloads/Telegram%20Desktop/PHOTO/Emp%20Photo%201/VE1174.jpg" TargetMode="External"/><Relationship Id="rId213" Type="http://schemas.openxmlformats.org/officeDocument/2006/relationships/hyperlink" Target="../Downloads/Telegram%20Desktop/PHOTO/SN/1130.jpg" TargetMode="External"/><Relationship Id="rId420" Type="http://schemas.openxmlformats.org/officeDocument/2006/relationships/hyperlink" Target="mailto:riddhi01m@gmail.com" TargetMode="External"/><Relationship Id="rId616" Type="http://schemas.openxmlformats.org/officeDocument/2006/relationships/hyperlink" Target="mailto:dhruvipanchal2462@gmail.com" TargetMode="External"/><Relationship Id="rId658" Type="http://schemas.openxmlformats.org/officeDocument/2006/relationships/hyperlink" Target="mailto:jeet21032002@gmail.com" TargetMode="External"/><Relationship Id="rId255" Type="http://schemas.openxmlformats.org/officeDocument/2006/relationships/hyperlink" Target="../Downloads/Telegram%20Desktop/PHOTO/SN/Dharmishtha%20chavda.jpg" TargetMode="External"/><Relationship Id="rId297" Type="http://schemas.openxmlformats.org/officeDocument/2006/relationships/hyperlink" Target="../Downloads/Telegram%20Desktop/PHOTO/SN/reena%20rathawa.jpg" TargetMode="External"/><Relationship Id="rId462" Type="http://schemas.openxmlformats.org/officeDocument/2006/relationships/hyperlink" Target="../Downloads/Telegram%20Desktop/PHOTO/VE1336.jpg" TargetMode="External"/><Relationship Id="rId518" Type="http://schemas.openxmlformats.org/officeDocument/2006/relationships/hyperlink" Target="mailto:pruthvichauhan881@gmail.com" TargetMode="External"/><Relationship Id="rId725" Type="http://schemas.openxmlformats.org/officeDocument/2006/relationships/hyperlink" Target="mailto:sharmashyam3005@gmail.com" TargetMode="External"/><Relationship Id="rId115" Type="http://schemas.openxmlformats.org/officeDocument/2006/relationships/hyperlink" Target="../Downloads/Telegram%20Desktop/PHOTO/Photos%20of%20lab.tech/1034.jpg" TargetMode="External"/><Relationship Id="rId157" Type="http://schemas.openxmlformats.org/officeDocument/2006/relationships/hyperlink" Target="../Downloads/Telegram%20Desktop/PHOTO/DEO/aanal.jpg" TargetMode="External"/><Relationship Id="rId322" Type="http://schemas.openxmlformats.org/officeDocument/2006/relationships/hyperlink" Target="../Downloads/Telegram%20Desktop/PHOTO/All%20pic/1084.jpg" TargetMode="External"/><Relationship Id="rId364" Type="http://schemas.openxmlformats.org/officeDocument/2006/relationships/hyperlink" Target="../Downloads/Telegram%20Desktop/PHOTO/SN2/1208.jpg" TargetMode="External"/><Relationship Id="rId61" Type="http://schemas.openxmlformats.org/officeDocument/2006/relationships/hyperlink" Target="../Downloads/Telegram%20Desktop/PHOTO/Emp%20Photo/VE1385.jpg" TargetMode="External"/><Relationship Id="rId199" Type="http://schemas.openxmlformats.org/officeDocument/2006/relationships/hyperlink" Target="../Downloads/Telegram%20Desktop/PHOTO/DEO/Vijay%20chau.jpg" TargetMode="External"/><Relationship Id="rId571" Type="http://schemas.openxmlformats.org/officeDocument/2006/relationships/hyperlink" Target="mailto:parthparmar1215@gmail.com" TargetMode="External"/><Relationship Id="rId627" Type="http://schemas.openxmlformats.org/officeDocument/2006/relationships/hyperlink" Target="mailto:prachidarji0912@gmail.com" TargetMode="External"/><Relationship Id="rId669" Type="http://schemas.openxmlformats.org/officeDocument/2006/relationships/hyperlink" Target="mailto:khumanbharat33@gmail.com" TargetMode="External"/><Relationship Id="rId19" Type="http://schemas.openxmlformats.org/officeDocument/2006/relationships/hyperlink" Target="file:///E:\PHOTO\Emp%20Photo\VE1123.jpg" TargetMode="External"/><Relationship Id="rId224" Type="http://schemas.openxmlformats.org/officeDocument/2006/relationships/hyperlink" Target="../Downloads/Telegram%20Desktop/PHOTO/SN/1263.jpg" TargetMode="External"/><Relationship Id="rId266" Type="http://schemas.openxmlformats.org/officeDocument/2006/relationships/hyperlink" Target="../Downloads/Telegram%20Desktop/PHOTO/SN/katara%20aakash.jpg" TargetMode="External"/><Relationship Id="rId431" Type="http://schemas.openxmlformats.org/officeDocument/2006/relationships/hyperlink" Target="../Downloads/Telegram%20Desktop/PHOTO/1469.jpg" TargetMode="External"/><Relationship Id="rId473" Type="http://schemas.openxmlformats.org/officeDocument/2006/relationships/hyperlink" Target="mailto:vidhidarji19@gmail.com" TargetMode="External"/><Relationship Id="rId529" Type="http://schemas.openxmlformats.org/officeDocument/2006/relationships/hyperlink" Target="mailto:patelmittal11112001@gmail.com" TargetMode="External"/><Relationship Id="rId680" Type="http://schemas.openxmlformats.org/officeDocument/2006/relationships/hyperlink" Target="mailto:shivpalsinhvasaiya109@gmail.com" TargetMode="External"/><Relationship Id="rId736" Type="http://schemas.openxmlformats.org/officeDocument/2006/relationships/hyperlink" Target="mailto:prajapatimohini734@gmail.com" TargetMode="External"/><Relationship Id="rId30" Type="http://schemas.openxmlformats.org/officeDocument/2006/relationships/hyperlink" Target="file:///E:\PHOTO\Emp%20Photo\VE1199.jpg" TargetMode="External"/><Relationship Id="rId126" Type="http://schemas.openxmlformats.org/officeDocument/2006/relationships/hyperlink" Target="../Downloads/Telegram%20Desktop/PHOTO/Photos%20of%20lab.tech/1109.jpg" TargetMode="External"/><Relationship Id="rId168" Type="http://schemas.openxmlformats.org/officeDocument/2006/relationships/hyperlink" Target="../Downloads/Telegram%20Desktop/PHOTO/DEO/Harshad%20parmar.jpg" TargetMode="External"/><Relationship Id="rId333" Type="http://schemas.openxmlformats.org/officeDocument/2006/relationships/hyperlink" Target="../Downloads/Telegram%20Desktop/PHOTO/All%20pic/1165.jpg" TargetMode="External"/><Relationship Id="rId540" Type="http://schemas.openxmlformats.org/officeDocument/2006/relationships/hyperlink" Target="mailto:vaghelagoral5379@gmail.com" TargetMode="External"/><Relationship Id="rId72" Type="http://schemas.openxmlformats.org/officeDocument/2006/relationships/hyperlink" Target="../Downloads/Telegram%20Desktop/PHOTO/Emp%20Photo/VE1403.jpg" TargetMode="External"/><Relationship Id="rId375" Type="http://schemas.openxmlformats.org/officeDocument/2006/relationships/hyperlink" Target="../Downloads/Telegram%20Desktop/PHOTO/SN2/1272.jpg" TargetMode="External"/><Relationship Id="rId582" Type="http://schemas.openxmlformats.org/officeDocument/2006/relationships/hyperlink" Target="mailto:parmarhiral1205@gmail.com" TargetMode="External"/><Relationship Id="rId638" Type="http://schemas.openxmlformats.org/officeDocument/2006/relationships/hyperlink" Target="mailto:arbinaabrarali1221@gmail.com" TargetMode="External"/><Relationship Id="rId3" Type="http://schemas.openxmlformats.org/officeDocument/2006/relationships/hyperlink" Target="file:///E:\PHOTO\Emp%20Photo\VE1021.jpg" TargetMode="External"/><Relationship Id="rId235" Type="http://schemas.openxmlformats.org/officeDocument/2006/relationships/hyperlink" Target="../Downloads/Telegram%20Desktop/PHOTO/SN/1366.jpg" TargetMode="External"/><Relationship Id="rId277" Type="http://schemas.openxmlformats.org/officeDocument/2006/relationships/hyperlink" Target="../Downloads/Telegram%20Desktop/PHOTO/SN/niruben.jpg" TargetMode="External"/><Relationship Id="rId400" Type="http://schemas.openxmlformats.org/officeDocument/2006/relationships/hyperlink" Target="../Downloads/Telegram%20Desktop/PHOTO/All%20pic/1459.jpg" TargetMode="External"/><Relationship Id="rId442" Type="http://schemas.openxmlformats.org/officeDocument/2006/relationships/hyperlink" Target="../Downloads/Telegram%20Desktop/PHOTO/VE1481.jpg" TargetMode="External"/><Relationship Id="rId484" Type="http://schemas.openxmlformats.org/officeDocument/2006/relationships/hyperlink" Target="mailto:dev6383@gmail.com" TargetMode="External"/><Relationship Id="rId705" Type="http://schemas.openxmlformats.org/officeDocument/2006/relationships/hyperlink" Target="mailto:jahanvir492@gmail.com" TargetMode="External"/><Relationship Id="rId137" Type="http://schemas.openxmlformats.org/officeDocument/2006/relationships/hyperlink" Target="../Downloads/Telegram%20Desktop/PHOTO/Photos%20of%20lab.tech/1423.jpg" TargetMode="External"/><Relationship Id="rId302" Type="http://schemas.openxmlformats.org/officeDocument/2006/relationships/hyperlink" Target="../Downloads/Telegram%20Desktop/PHOTO/SN/Sheetal%20gamit.jpg" TargetMode="External"/><Relationship Id="rId344" Type="http://schemas.openxmlformats.org/officeDocument/2006/relationships/hyperlink" Target="../Downloads/Telegram%20Desktop/PHOTO/All%20pic/1440.jpg" TargetMode="External"/><Relationship Id="rId691" Type="http://schemas.openxmlformats.org/officeDocument/2006/relationships/hyperlink" Target="mailto:shiivanirajput2001@gmail.com" TargetMode="External"/><Relationship Id="rId747" Type="http://schemas.openxmlformats.org/officeDocument/2006/relationships/hyperlink" Target="mailto:MITTALPRAJAPATI1712@GMAIL.COM" TargetMode="External"/><Relationship Id="rId41" Type="http://schemas.openxmlformats.org/officeDocument/2006/relationships/hyperlink" Target="../Downloads/Telegram%20Desktop/PHOTO/Emp%20Photo/VE1304.jpg" TargetMode="External"/><Relationship Id="rId83" Type="http://schemas.openxmlformats.org/officeDocument/2006/relationships/hyperlink" Target="../Downloads/Telegram%20Desktop/PHOTO/Emp%20Photo%201/VE1033.jpg" TargetMode="External"/><Relationship Id="rId179" Type="http://schemas.openxmlformats.org/officeDocument/2006/relationships/hyperlink" Target="../Downloads/Telegram%20Desktop/PHOTO/DEO/makwana%20karan.jpg" TargetMode="External"/><Relationship Id="rId386" Type="http://schemas.openxmlformats.org/officeDocument/2006/relationships/hyperlink" Target="../Downloads/Telegram%20Desktop/PHOTO/SN2/1439.jpg" TargetMode="External"/><Relationship Id="rId551" Type="http://schemas.openxmlformats.org/officeDocument/2006/relationships/hyperlink" Target="mailto:vishalpatani304@gmail.com" TargetMode="External"/><Relationship Id="rId593" Type="http://schemas.openxmlformats.org/officeDocument/2006/relationships/hyperlink" Target="mailto:dhimantdadlia0379@gmail.com" TargetMode="External"/><Relationship Id="rId607" Type="http://schemas.openxmlformats.org/officeDocument/2006/relationships/hyperlink" Target="mailto:rakeshparengi799@gmail.com" TargetMode="External"/><Relationship Id="rId649" Type="http://schemas.openxmlformats.org/officeDocument/2006/relationships/hyperlink" Target="mailto:priyashihadiyal6@gmail.com" TargetMode="External"/><Relationship Id="rId190" Type="http://schemas.openxmlformats.org/officeDocument/2006/relationships/hyperlink" Target="../Downloads/Telegram%20Desktop/PHOTO/DEO/rashmika%20parmar.jpg" TargetMode="External"/><Relationship Id="rId204" Type="http://schemas.openxmlformats.org/officeDocument/2006/relationships/hyperlink" Target="../Downloads/Telegram%20Desktop/PHOTO/SN/1059.jpg" TargetMode="External"/><Relationship Id="rId246" Type="http://schemas.openxmlformats.org/officeDocument/2006/relationships/hyperlink" Target="../Downloads/Telegram%20Desktop/PHOTO/SN/1447.jpg" TargetMode="External"/><Relationship Id="rId288" Type="http://schemas.openxmlformats.org/officeDocument/2006/relationships/hyperlink" Target="../Downloads/Telegram%20Desktop/PHOTO/SN/Priti%20patel.jpg" TargetMode="External"/><Relationship Id="rId411" Type="http://schemas.openxmlformats.org/officeDocument/2006/relationships/hyperlink" Target="mailto:makwanareena1996@gmail.com" TargetMode="External"/><Relationship Id="rId453" Type="http://schemas.openxmlformats.org/officeDocument/2006/relationships/hyperlink" Target="../Downloads/Telegram%20Desktop/PHOTO/VE1493.jpg" TargetMode="External"/><Relationship Id="rId509" Type="http://schemas.openxmlformats.org/officeDocument/2006/relationships/hyperlink" Target="mailto:babariyayasika4618@gmail.com" TargetMode="External"/><Relationship Id="rId660" Type="http://schemas.openxmlformats.org/officeDocument/2006/relationships/hyperlink" Target="mailto:darji8309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Downloads/Telegram%20Desktop/PHOTO/3013.jpg" TargetMode="External"/><Relationship Id="rId13" Type="http://schemas.openxmlformats.org/officeDocument/2006/relationships/hyperlink" Target="../Downloads/Telegram%20Desktop/PHOTO/3007.jpg" TargetMode="External"/><Relationship Id="rId3" Type="http://schemas.openxmlformats.org/officeDocument/2006/relationships/hyperlink" Target="../Downloads/Telegram%20Desktop/PHOTO/3008..jpg" TargetMode="External"/><Relationship Id="rId7" Type="http://schemas.openxmlformats.org/officeDocument/2006/relationships/hyperlink" Target="../Downloads/Telegram%20Desktop/PHOTO/3012.jpg" TargetMode="External"/><Relationship Id="rId12" Type="http://schemas.openxmlformats.org/officeDocument/2006/relationships/hyperlink" Target="../Downloads/Telegram%20Desktop/PHOTO/3004.jpg" TargetMode="External"/><Relationship Id="rId2" Type="http://schemas.openxmlformats.org/officeDocument/2006/relationships/hyperlink" Target="../Downloads/Telegram%20Desktop/PHOTO/3006.jpg" TargetMode="External"/><Relationship Id="rId1" Type="http://schemas.openxmlformats.org/officeDocument/2006/relationships/hyperlink" Target="../Downloads/Telegram%20Desktop/PHOTO/3002.jpg" TargetMode="External"/><Relationship Id="rId6" Type="http://schemas.openxmlformats.org/officeDocument/2006/relationships/hyperlink" Target="../Downloads/Telegram%20Desktop/PHOTO/3011-%20bhavnagar.jpg" TargetMode="External"/><Relationship Id="rId11" Type="http://schemas.openxmlformats.org/officeDocument/2006/relationships/hyperlink" Target="../Downloads/Telegram%20Desktop/PHOTO/3003.jpg" TargetMode="External"/><Relationship Id="rId5" Type="http://schemas.openxmlformats.org/officeDocument/2006/relationships/hyperlink" Target="../Downloads/Telegram%20Desktop/PHOTO/3010.jpg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../Downloads/Telegram%20Desktop/PHOTO/3016.jpg" TargetMode="External"/><Relationship Id="rId4" Type="http://schemas.openxmlformats.org/officeDocument/2006/relationships/hyperlink" Target="../Downloads/Telegram%20Desktop/PHOTO/3009.jpg" TargetMode="External"/><Relationship Id="rId9" Type="http://schemas.openxmlformats.org/officeDocument/2006/relationships/hyperlink" Target="../Downloads/Telegram%20Desktop/PHOTO/3014.jpg" TargetMode="External"/><Relationship Id="rId14" Type="http://schemas.openxmlformats.org/officeDocument/2006/relationships/hyperlink" Target="../Downloads/Telegram%20Desktop/PHOTO/3005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Downloads/Telegram%20Desktop/PHOTO/2005.jpg" TargetMode="External"/><Relationship Id="rId13" Type="http://schemas.openxmlformats.org/officeDocument/2006/relationships/hyperlink" Target="../Downloads/Telegram%20Desktop/PHOTO/2012.jpg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../Downloads/Telegram%20Desktop/PHOTO/2006.jpg" TargetMode="External"/><Relationship Id="rId7" Type="http://schemas.openxmlformats.org/officeDocument/2006/relationships/hyperlink" Target="../Downloads/Telegram%20Desktop/PHOTO/2015.jpg" TargetMode="External"/><Relationship Id="rId12" Type="http://schemas.openxmlformats.org/officeDocument/2006/relationships/hyperlink" Target="../Downloads/Telegram%20Desktop/PHOTO/2010.jpg" TargetMode="External"/><Relationship Id="rId17" Type="http://schemas.openxmlformats.org/officeDocument/2006/relationships/hyperlink" Target="../Downloads/Telegram%20Desktop/PHOTO/2019.jpg" TargetMode="External"/><Relationship Id="rId2" Type="http://schemas.openxmlformats.org/officeDocument/2006/relationships/hyperlink" Target="../Downloads/Telegram%20Desktop/PHOTO/2004.jpg" TargetMode="External"/><Relationship Id="rId16" Type="http://schemas.openxmlformats.org/officeDocument/2006/relationships/hyperlink" Target="../Downloads/Telegram%20Desktop/PHOTO/2002.jpg" TargetMode="External"/><Relationship Id="rId1" Type="http://schemas.openxmlformats.org/officeDocument/2006/relationships/hyperlink" Target="../Downloads/Telegram%20Desktop/PHOTO/2013.jpg" TargetMode="External"/><Relationship Id="rId6" Type="http://schemas.openxmlformats.org/officeDocument/2006/relationships/hyperlink" Target="../Downloads/Telegram%20Desktop/PHOTO/2014.jpg" TargetMode="External"/><Relationship Id="rId11" Type="http://schemas.openxmlformats.org/officeDocument/2006/relationships/hyperlink" Target="../Downloads/Telegram%20Desktop/PHOTO/2009.jpg" TargetMode="External"/><Relationship Id="rId5" Type="http://schemas.openxmlformats.org/officeDocument/2006/relationships/hyperlink" Target="../Downloads/Telegram%20Desktop/PHOTO/2016.jpg" TargetMode="External"/><Relationship Id="rId15" Type="http://schemas.openxmlformats.org/officeDocument/2006/relationships/hyperlink" Target="../Downloads/Telegram%20Desktop/PHOTO/2017.jpg" TargetMode="External"/><Relationship Id="rId10" Type="http://schemas.openxmlformats.org/officeDocument/2006/relationships/hyperlink" Target="../Downloads/Telegram%20Desktop/PHOTO/2008.jpg" TargetMode="External"/><Relationship Id="rId4" Type="http://schemas.openxmlformats.org/officeDocument/2006/relationships/hyperlink" Target="../Downloads/Telegram%20Desktop/PHOTO/2003.jpg" TargetMode="External"/><Relationship Id="rId9" Type="http://schemas.openxmlformats.org/officeDocument/2006/relationships/hyperlink" Target="../Downloads/Telegram%20Desktop/PHOTO/2007.jpg" TargetMode="External"/><Relationship Id="rId14" Type="http://schemas.openxmlformats.org/officeDocument/2006/relationships/hyperlink" Target="../Downloads/Telegram%20Desktop/PHOTO/2011.jp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Downloads/Telegram%20Desktop/PHOTO/4004.jpg" TargetMode="External"/><Relationship Id="rId13" Type="http://schemas.openxmlformats.org/officeDocument/2006/relationships/hyperlink" Target="../Downloads/Telegram%20Desktop/PHOTO/4005.jpg" TargetMode="External"/><Relationship Id="rId18" Type="http://schemas.openxmlformats.org/officeDocument/2006/relationships/printerSettings" Target="../printerSettings/printerSettings4.bin"/><Relationship Id="rId3" Type="http://schemas.openxmlformats.org/officeDocument/2006/relationships/hyperlink" Target="../Downloads/Telegram%20Desktop/PHOTO/4012.jpg" TargetMode="External"/><Relationship Id="rId7" Type="http://schemas.openxmlformats.org/officeDocument/2006/relationships/hyperlink" Target="../Downloads/Telegram%20Desktop/PHOTO/4003.jpg" TargetMode="External"/><Relationship Id="rId12" Type="http://schemas.openxmlformats.org/officeDocument/2006/relationships/hyperlink" Target="../Downloads/Telegram%20Desktop/PHOTO/4007.jpg" TargetMode="External"/><Relationship Id="rId17" Type="http://schemas.openxmlformats.org/officeDocument/2006/relationships/hyperlink" Target="../Downloads/Telegram%20Desktop/PHOTO/4017.jpg" TargetMode="External"/><Relationship Id="rId2" Type="http://schemas.openxmlformats.org/officeDocument/2006/relationships/hyperlink" Target="../Downloads/Telegram%20Desktop/PHOTO/4013.jpg" TargetMode="External"/><Relationship Id="rId16" Type="http://schemas.openxmlformats.org/officeDocument/2006/relationships/hyperlink" Target="../Downloads/Telegram%20Desktop/PHOTO/SN/Pooja%20Prajapati%20r.jpg" TargetMode="External"/><Relationship Id="rId1" Type="http://schemas.openxmlformats.org/officeDocument/2006/relationships/hyperlink" Target="../Downloads/Telegram%20Desktop/PHOTO/4006.jpg" TargetMode="External"/><Relationship Id="rId6" Type="http://schemas.openxmlformats.org/officeDocument/2006/relationships/hyperlink" Target="../Downloads/Telegram%20Desktop/PHOTO/4010.jpg" TargetMode="External"/><Relationship Id="rId11" Type="http://schemas.openxmlformats.org/officeDocument/2006/relationships/hyperlink" Target="../Downloads/Telegram%20Desktop/PHOTO/4001.jpg" TargetMode="External"/><Relationship Id="rId5" Type="http://schemas.openxmlformats.org/officeDocument/2006/relationships/hyperlink" Target="../Downloads/Telegram%20Desktop/PHOTO/4002.jpg" TargetMode="External"/><Relationship Id="rId15" Type="http://schemas.openxmlformats.org/officeDocument/2006/relationships/hyperlink" Target="../Downloads/Telegram%20Desktop/PHOTO/4015.jpg" TargetMode="External"/><Relationship Id="rId10" Type="http://schemas.openxmlformats.org/officeDocument/2006/relationships/hyperlink" Target="../Downloads/Telegram%20Desktop/PHOTO/4014.jpg" TargetMode="External"/><Relationship Id="rId4" Type="http://schemas.openxmlformats.org/officeDocument/2006/relationships/hyperlink" Target="../Downloads/Telegram%20Desktop/PHOTO/4009.jpg" TargetMode="External"/><Relationship Id="rId9" Type="http://schemas.openxmlformats.org/officeDocument/2006/relationships/hyperlink" Target="../Downloads/Telegram%20Desktop/PHOTO/4008.jpg" TargetMode="External"/><Relationship Id="rId14" Type="http://schemas.openxmlformats.org/officeDocument/2006/relationships/hyperlink" Target="../Downloads/Telegram%20Desktop/PHOTO/4011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82"/>
  <sheetViews>
    <sheetView tabSelected="1" topLeftCell="D1" workbookViewId="0">
      <pane ySplit="2" topLeftCell="A311" activePane="bottomLeft" state="frozen"/>
      <selection pane="bottomLeft" activeCell="O315" sqref="O315"/>
    </sheetView>
  </sheetViews>
  <sheetFormatPr defaultColWidth="9.140625" defaultRowHeight="15"/>
  <cols>
    <col min="1" max="1" width="5.7109375" style="3" customWidth="1"/>
    <col min="2" max="2" width="15.85546875" style="3" bestFit="1" customWidth="1"/>
    <col min="3" max="4" width="25.7109375" style="6" customWidth="1"/>
    <col min="5" max="5" width="18.7109375" style="3" customWidth="1"/>
    <col min="6" max="6" width="23.42578125" style="3" customWidth="1"/>
    <col min="7" max="7" width="11.7109375" style="3" customWidth="1"/>
    <col min="8" max="8" width="18.7109375" style="3" customWidth="1"/>
    <col min="9" max="9" width="13.7109375" style="3" customWidth="1"/>
    <col min="10" max="11" width="15.7109375" style="3" customWidth="1"/>
    <col min="12" max="12" width="18.7109375" style="3" customWidth="1"/>
    <col min="13" max="13" width="15.7109375" style="6" customWidth="1"/>
    <col min="14" max="14" width="15.7109375" style="3" customWidth="1"/>
    <col min="15" max="15" width="15.7109375" style="6" customWidth="1"/>
    <col min="16" max="16" width="18.7109375" style="3" customWidth="1"/>
    <col min="17" max="17" width="20.7109375" style="3" customWidth="1"/>
    <col min="18" max="18" width="15.7109375" style="6" customWidth="1"/>
    <col min="19" max="19" width="24.28515625" style="6" bestFit="1" customWidth="1"/>
    <col min="20" max="20" width="19.7109375" style="2" customWidth="1"/>
    <col min="21" max="21" width="16.7109375" style="2" customWidth="1"/>
    <col min="22" max="22" width="17.85546875" style="2" customWidth="1"/>
    <col min="23" max="23" width="18.7109375" style="2" customWidth="1"/>
    <col min="24" max="24" width="22.7109375" style="2" customWidth="1"/>
    <col min="25" max="25" width="37.28515625" style="1" customWidth="1"/>
    <col min="26" max="26" width="18.7109375" style="2" customWidth="1"/>
    <col min="27" max="28" width="45.7109375" style="1" customWidth="1"/>
    <col min="29" max="29" width="9.85546875" style="2" customWidth="1"/>
    <col min="30" max="32" width="9.7109375" style="2" customWidth="1"/>
    <col min="33" max="33" width="34.140625" style="2" bestFit="1" customWidth="1"/>
    <col min="34" max="35" width="15.7109375" style="2" customWidth="1"/>
    <col min="36" max="36" width="15.7109375" style="3" hidden="1" customWidth="1"/>
    <col min="37" max="37" width="9.140625" style="79" customWidth="1"/>
    <col min="38" max="39" width="9.140625" style="3"/>
    <col min="40" max="40" width="14.28515625" style="3" bestFit="1" customWidth="1"/>
    <col min="41" max="41" width="13.7109375" style="3" bestFit="1" customWidth="1"/>
    <col min="42" max="16384" width="9.140625" style="3"/>
  </cols>
  <sheetData>
    <row r="1" spans="1:40" ht="43.15" customHeight="1">
      <c r="A1" s="9" t="s">
        <v>3755</v>
      </c>
      <c r="B1" s="7"/>
      <c r="C1" s="7"/>
      <c r="D1" s="7"/>
      <c r="E1" s="7" t="s">
        <v>6461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0"/>
      <c r="Y1" s="7"/>
      <c r="Z1" s="7"/>
      <c r="AA1" s="106"/>
      <c r="AB1" s="106"/>
      <c r="AC1" s="8"/>
      <c r="AD1" s="8"/>
      <c r="AE1" s="8"/>
      <c r="AF1" s="8"/>
      <c r="AG1" s="8"/>
      <c r="AH1" s="8"/>
      <c r="AI1" s="8"/>
    </row>
    <row r="2" spans="1:40" s="4" customFormat="1" ht="48.75" customHeight="1">
      <c r="A2" s="120" t="s">
        <v>0</v>
      </c>
      <c r="B2" s="120" t="s">
        <v>3672</v>
      </c>
      <c r="C2" s="120" t="s">
        <v>1</v>
      </c>
      <c r="D2" s="120" t="s">
        <v>2</v>
      </c>
      <c r="E2" s="121" t="s">
        <v>3</v>
      </c>
      <c r="F2" s="121" t="s">
        <v>4</v>
      </c>
      <c r="G2" s="120" t="s">
        <v>5</v>
      </c>
      <c r="H2" s="120" t="s">
        <v>3674</v>
      </c>
      <c r="I2" s="122" t="s">
        <v>7</v>
      </c>
      <c r="J2" s="122" t="s">
        <v>6</v>
      </c>
      <c r="K2" s="122" t="s">
        <v>8</v>
      </c>
      <c r="L2" s="120" t="s">
        <v>9</v>
      </c>
      <c r="M2" s="120" t="s">
        <v>10</v>
      </c>
      <c r="N2" s="120" t="s">
        <v>11</v>
      </c>
      <c r="O2" s="120" t="s">
        <v>12</v>
      </c>
      <c r="P2" s="120" t="s">
        <v>13</v>
      </c>
      <c r="Q2" s="120" t="s">
        <v>14</v>
      </c>
      <c r="R2" s="120" t="s">
        <v>15</v>
      </c>
      <c r="S2" s="120" t="s">
        <v>16</v>
      </c>
      <c r="T2" s="123" t="s">
        <v>17</v>
      </c>
      <c r="U2" s="123" t="s">
        <v>19</v>
      </c>
      <c r="V2" s="123" t="s">
        <v>18</v>
      </c>
      <c r="W2" s="123" t="s">
        <v>20</v>
      </c>
      <c r="X2" s="123" t="s">
        <v>21</v>
      </c>
      <c r="Y2" s="123" t="s">
        <v>3679</v>
      </c>
      <c r="Z2" s="123" t="s">
        <v>3680</v>
      </c>
      <c r="AA2" s="123" t="s">
        <v>22</v>
      </c>
      <c r="AB2" s="123" t="s">
        <v>23</v>
      </c>
      <c r="AC2" s="123" t="s">
        <v>24</v>
      </c>
      <c r="AD2" s="123" t="s">
        <v>25</v>
      </c>
      <c r="AE2" s="123" t="s">
        <v>26</v>
      </c>
      <c r="AF2" s="123" t="s">
        <v>27</v>
      </c>
      <c r="AG2" s="123" t="s">
        <v>28</v>
      </c>
      <c r="AH2" s="123" t="s">
        <v>29</v>
      </c>
      <c r="AI2" s="123" t="s">
        <v>30</v>
      </c>
      <c r="AJ2" s="122" t="s">
        <v>6</v>
      </c>
      <c r="AK2" s="226" t="s">
        <v>5955</v>
      </c>
      <c r="AL2" s="227"/>
      <c r="AM2" s="228"/>
    </row>
    <row r="3" spans="1:40" ht="47.25" customHeight="1">
      <c r="A3" s="137">
        <f>SUBTOTAL(3,$B$3:B3)</f>
        <v>1</v>
      </c>
      <c r="B3" s="164" t="s">
        <v>34</v>
      </c>
      <c r="C3" s="165" t="s">
        <v>35</v>
      </c>
      <c r="D3" s="124" t="s">
        <v>35</v>
      </c>
      <c r="E3" s="124" t="s">
        <v>36</v>
      </c>
      <c r="F3" s="124" t="s">
        <v>37</v>
      </c>
      <c r="G3" s="137" t="s">
        <v>2345</v>
      </c>
      <c r="H3" s="124" t="s">
        <v>38</v>
      </c>
      <c r="I3" s="137" t="s">
        <v>40</v>
      </c>
      <c r="J3" s="137" t="s">
        <v>39</v>
      </c>
      <c r="K3" s="124" t="s">
        <v>41</v>
      </c>
      <c r="L3" s="137" t="s">
        <v>42</v>
      </c>
      <c r="M3" s="124" t="s">
        <v>43</v>
      </c>
      <c r="N3" s="166">
        <v>44866</v>
      </c>
      <c r="O3" s="124" t="s">
        <v>44</v>
      </c>
      <c r="P3" s="137" t="s">
        <v>2347</v>
      </c>
      <c r="Q3" s="137" t="s">
        <v>3676</v>
      </c>
      <c r="R3" s="124" t="s">
        <v>45</v>
      </c>
      <c r="S3" s="124">
        <f>VLOOKUP(B3,'[1]SN Salary Sheet'!$A$4:$D$207,4,0)</f>
        <v>28142</v>
      </c>
      <c r="T3" s="125">
        <v>101208804914</v>
      </c>
      <c r="U3" s="126" t="s">
        <v>47</v>
      </c>
      <c r="V3" s="126" t="s">
        <v>46</v>
      </c>
      <c r="W3" s="126" t="s">
        <v>48</v>
      </c>
      <c r="X3" s="126" t="s">
        <v>49</v>
      </c>
      <c r="Y3" s="167" t="s">
        <v>51</v>
      </c>
      <c r="Z3" s="126" t="s">
        <v>50</v>
      </c>
      <c r="AA3" s="167" t="s">
        <v>52</v>
      </c>
      <c r="AB3" s="167" t="s">
        <v>52</v>
      </c>
      <c r="AC3" s="164" t="s">
        <v>34</v>
      </c>
      <c r="AD3" s="140"/>
      <c r="AE3" s="126"/>
      <c r="AF3" s="126"/>
      <c r="AG3" s="168" t="s">
        <v>5353</v>
      </c>
      <c r="AH3" s="126"/>
      <c r="AI3" s="126"/>
      <c r="AJ3" s="127" t="s">
        <v>39</v>
      </c>
      <c r="AK3" s="128"/>
      <c r="AL3" s="129"/>
      <c r="AM3" s="129"/>
    </row>
    <row r="4" spans="1:40" ht="47.25" customHeight="1">
      <c r="A4" s="137">
        <f>SUBTOTAL(3,$B$3:B4)</f>
        <v>2</v>
      </c>
      <c r="B4" s="164" t="s">
        <v>53</v>
      </c>
      <c r="C4" s="165" t="s">
        <v>54</v>
      </c>
      <c r="D4" s="124" t="s">
        <v>55</v>
      </c>
      <c r="E4" s="124" t="s">
        <v>56</v>
      </c>
      <c r="F4" s="124" t="s">
        <v>3687</v>
      </c>
      <c r="G4" s="137" t="s">
        <v>2345</v>
      </c>
      <c r="H4" s="124" t="s">
        <v>57</v>
      </c>
      <c r="I4" s="137" t="s">
        <v>40</v>
      </c>
      <c r="J4" s="137" t="s">
        <v>58</v>
      </c>
      <c r="K4" s="124" t="s">
        <v>41</v>
      </c>
      <c r="L4" s="137" t="s">
        <v>42</v>
      </c>
      <c r="M4" s="124" t="s">
        <v>43</v>
      </c>
      <c r="N4" s="166">
        <v>44866</v>
      </c>
      <c r="O4" s="124" t="s">
        <v>44</v>
      </c>
      <c r="P4" s="137" t="s">
        <v>2347</v>
      </c>
      <c r="Q4" s="137" t="s">
        <v>3676</v>
      </c>
      <c r="R4" s="124" t="s">
        <v>59</v>
      </c>
      <c r="S4" s="124">
        <f>VLOOKUP(B4,'[1]SN Salary Sheet'!$A$4:$D$207,4,0)</f>
        <v>28022</v>
      </c>
      <c r="T4" s="125">
        <v>101585604680</v>
      </c>
      <c r="U4" s="126" t="s">
        <v>61</v>
      </c>
      <c r="V4" s="126" t="s">
        <v>60</v>
      </c>
      <c r="W4" s="126" t="s">
        <v>62</v>
      </c>
      <c r="X4" s="126" t="s">
        <v>63</v>
      </c>
      <c r="Y4" s="167" t="s">
        <v>65</v>
      </c>
      <c r="Z4" s="126" t="s">
        <v>64</v>
      </c>
      <c r="AA4" s="167" t="s">
        <v>66</v>
      </c>
      <c r="AB4" s="167" t="s">
        <v>66</v>
      </c>
      <c r="AC4" s="164" t="s">
        <v>53</v>
      </c>
      <c r="AD4" s="140"/>
      <c r="AE4" s="126"/>
      <c r="AF4" s="126"/>
      <c r="AG4" s="168" t="s">
        <v>5274</v>
      </c>
      <c r="AH4" s="126"/>
      <c r="AI4" s="126"/>
      <c r="AJ4" s="127" t="s">
        <v>58</v>
      </c>
      <c r="AK4" s="128"/>
      <c r="AL4" s="129"/>
      <c r="AM4" s="129"/>
    </row>
    <row r="5" spans="1:40" ht="47.25" customHeight="1">
      <c r="A5" s="137">
        <f>SUBTOTAL(3,$B$3:B5)</f>
        <v>3</v>
      </c>
      <c r="B5" s="164" t="s">
        <v>67</v>
      </c>
      <c r="C5" s="165" t="s">
        <v>68</v>
      </c>
      <c r="D5" s="124" t="s">
        <v>69</v>
      </c>
      <c r="E5" s="124" t="s">
        <v>70</v>
      </c>
      <c r="F5" s="124" t="s">
        <v>71</v>
      </c>
      <c r="G5" s="137" t="s">
        <v>2345</v>
      </c>
      <c r="H5" s="124" t="s">
        <v>72</v>
      </c>
      <c r="I5" s="137" t="s">
        <v>40</v>
      </c>
      <c r="J5" s="137" t="s">
        <v>73</v>
      </c>
      <c r="K5" s="124" t="s">
        <v>41</v>
      </c>
      <c r="L5" s="137" t="s">
        <v>42</v>
      </c>
      <c r="M5" s="124" t="s">
        <v>43</v>
      </c>
      <c r="N5" s="166">
        <v>44866</v>
      </c>
      <c r="O5" s="124" t="s">
        <v>44</v>
      </c>
      <c r="P5" s="137" t="s">
        <v>2347</v>
      </c>
      <c r="Q5" s="137" t="s">
        <v>3676</v>
      </c>
      <c r="R5" s="124" t="s">
        <v>74</v>
      </c>
      <c r="S5" s="124">
        <f>VLOOKUP(B5,'[1]SN Salary Sheet'!$A$4:$D$207,4,0)</f>
        <v>28176</v>
      </c>
      <c r="T5" s="125">
        <v>101370080028</v>
      </c>
      <c r="U5" s="126" t="s">
        <v>76</v>
      </c>
      <c r="V5" s="126" t="s">
        <v>75</v>
      </c>
      <c r="W5" s="126" t="s">
        <v>77</v>
      </c>
      <c r="X5" s="126" t="s">
        <v>78</v>
      </c>
      <c r="Y5" s="167" t="s">
        <v>51</v>
      </c>
      <c r="Z5" s="126" t="s">
        <v>50</v>
      </c>
      <c r="AA5" s="167" t="s">
        <v>79</v>
      </c>
      <c r="AB5" s="167" t="s">
        <v>79</v>
      </c>
      <c r="AC5" s="164" t="s">
        <v>67</v>
      </c>
      <c r="AD5" s="140"/>
      <c r="AE5" s="126"/>
      <c r="AF5" s="126"/>
      <c r="AG5" s="168" t="s">
        <v>5328</v>
      </c>
      <c r="AH5" s="126"/>
      <c r="AI5" s="126"/>
      <c r="AJ5" s="127" t="s">
        <v>73</v>
      </c>
      <c r="AK5" s="128"/>
      <c r="AL5" s="129"/>
      <c r="AM5" s="129"/>
    </row>
    <row r="6" spans="1:40" ht="47.25" customHeight="1">
      <c r="A6" s="137">
        <f>SUBTOTAL(3,$B$3:B6)</f>
        <v>4</v>
      </c>
      <c r="B6" s="164" t="s">
        <v>80</v>
      </c>
      <c r="C6" s="165" t="s">
        <v>81</v>
      </c>
      <c r="D6" s="124" t="s">
        <v>81</v>
      </c>
      <c r="E6" s="124" t="s">
        <v>82</v>
      </c>
      <c r="F6" s="124" t="s">
        <v>83</v>
      </c>
      <c r="G6" s="137" t="s">
        <v>2345</v>
      </c>
      <c r="H6" s="124" t="s">
        <v>84</v>
      </c>
      <c r="I6" s="137" t="s">
        <v>40</v>
      </c>
      <c r="J6" s="137" t="s">
        <v>85</v>
      </c>
      <c r="K6" s="124" t="s">
        <v>41</v>
      </c>
      <c r="L6" s="137" t="s">
        <v>42</v>
      </c>
      <c r="M6" s="124" t="s">
        <v>43</v>
      </c>
      <c r="N6" s="166">
        <v>44866</v>
      </c>
      <c r="O6" s="124" t="s">
        <v>44</v>
      </c>
      <c r="P6" s="137" t="s">
        <v>2347</v>
      </c>
      <c r="Q6" s="137" t="s">
        <v>3676</v>
      </c>
      <c r="R6" s="124" t="s">
        <v>86</v>
      </c>
      <c r="S6" s="124">
        <f>VLOOKUP(B6,'[1]SN Salary Sheet'!$A$4:$D$207,4,0)</f>
        <v>28300</v>
      </c>
      <c r="T6" s="130">
        <v>101784791940</v>
      </c>
      <c r="U6" s="126" t="s">
        <v>88</v>
      </c>
      <c r="V6" s="131" t="s">
        <v>87</v>
      </c>
      <c r="W6" s="126" t="s">
        <v>89</v>
      </c>
      <c r="X6" s="126" t="s">
        <v>90</v>
      </c>
      <c r="Y6" s="167" t="s">
        <v>65</v>
      </c>
      <c r="Z6" s="126" t="s">
        <v>91</v>
      </c>
      <c r="AA6" s="167" t="s">
        <v>92</v>
      </c>
      <c r="AB6" s="167" t="s">
        <v>92</v>
      </c>
      <c r="AC6" s="164" t="s">
        <v>80</v>
      </c>
      <c r="AD6" s="140"/>
      <c r="AE6" s="126"/>
      <c r="AF6" s="126"/>
      <c r="AG6" s="168" t="s">
        <v>5326</v>
      </c>
      <c r="AH6" s="126"/>
      <c r="AI6" s="126"/>
      <c r="AJ6" s="127" t="s">
        <v>85</v>
      </c>
      <c r="AK6" s="128"/>
      <c r="AL6" s="129"/>
      <c r="AM6" s="129"/>
    </row>
    <row r="7" spans="1:40" ht="47.25" customHeight="1">
      <c r="A7" s="137">
        <f>SUBTOTAL(3,$B$3:B7)</f>
        <v>5</v>
      </c>
      <c r="B7" s="164" t="s">
        <v>93</v>
      </c>
      <c r="C7" s="165" t="s">
        <v>94</v>
      </c>
      <c r="D7" s="124" t="s">
        <v>95</v>
      </c>
      <c r="E7" s="124" t="s">
        <v>96</v>
      </c>
      <c r="F7" s="124" t="s">
        <v>97</v>
      </c>
      <c r="G7" s="137" t="s">
        <v>2345</v>
      </c>
      <c r="H7" s="124" t="s">
        <v>98</v>
      </c>
      <c r="I7" s="137" t="s">
        <v>40</v>
      </c>
      <c r="J7" s="137" t="s">
        <v>99</v>
      </c>
      <c r="K7" s="124" t="s">
        <v>41</v>
      </c>
      <c r="L7" s="137" t="s">
        <v>42</v>
      </c>
      <c r="M7" s="124" t="s">
        <v>43</v>
      </c>
      <c r="N7" s="166">
        <v>44866</v>
      </c>
      <c r="O7" s="124" t="s">
        <v>44</v>
      </c>
      <c r="P7" s="137" t="s">
        <v>2347</v>
      </c>
      <c r="Q7" s="137" t="s">
        <v>3676</v>
      </c>
      <c r="R7" s="124" t="s">
        <v>100</v>
      </c>
      <c r="S7" s="124">
        <f>VLOOKUP(B7,'[1]SN Salary Sheet'!$A$4:$D$207,4,0)</f>
        <v>28124</v>
      </c>
      <c r="T7" s="130">
        <v>101457996853</v>
      </c>
      <c r="U7" s="126" t="s">
        <v>101</v>
      </c>
      <c r="V7" s="132" t="s">
        <v>3712</v>
      </c>
      <c r="W7" s="126" t="s">
        <v>102</v>
      </c>
      <c r="X7" s="126" t="s">
        <v>103</v>
      </c>
      <c r="Y7" s="167" t="s">
        <v>105</v>
      </c>
      <c r="Z7" s="126" t="s">
        <v>104</v>
      </c>
      <c r="AA7" s="167" t="s">
        <v>106</v>
      </c>
      <c r="AB7" s="167" t="s">
        <v>106</v>
      </c>
      <c r="AC7" s="164" t="s">
        <v>93</v>
      </c>
      <c r="AD7" s="140"/>
      <c r="AE7" s="126"/>
      <c r="AF7" s="126"/>
      <c r="AG7" s="168" t="s">
        <v>5084</v>
      </c>
      <c r="AH7" s="126"/>
      <c r="AI7" s="126"/>
      <c r="AJ7" s="127" t="s">
        <v>99</v>
      </c>
      <c r="AK7" s="128"/>
      <c r="AL7" s="129"/>
      <c r="AM7" s="129"/>
    </row>
    <row r="8" spans="1:40" ht="47.25" customHeight="1">
      <c r="A8" s="137">
        <f>SUBTOTAL(3,$B$3:B8)</f>
        <v>6</v>
      </c>
      <c r="B8" s="164" t="s">
        <v>107</v>
      </c>
      <c r="C8" s="165" t="s">
        <v>108</v>
      </c>
      <c r="D8" s="124" t="s">
        <v>109</v>
      </c>
      <c r="E8" s="124" t="s">
        <v>110</v>
      </c>
      <c r="F8" s="124" t="s">
        <v>111</v>
      </c>
      <c r="G8" s="137" t="s">
        <v>2345</v>
      </c>
      <c r="H8" s="124" t="s">
        <v>84</v>
      </c>
      <c r="I8" s="137" t="s">
        <v>40</v>
      </c>
      <c r="J8" s="137" t="s">
        <v>112</v>
      </c>
      <c r="K8" s="124" t="s">
        <v>41</v>
      </c>
      <c r="L8" s="137" t="s">
        <v>42</v>
      </c>
      <c r="M8" s="124" t="s">
        <v>43</v>
      </c>
      <c r="N8" s="166">
        <v>44866</v>
      </c>
      <c r="O8" s="124" t="s">
        <v>44</v>
      </c>
      <c r="P8" s="137" t="s">
        <v>2347</v>
      </c>
      <c r="Q8" s="137" t="s">
        <v>3676</v>
      </c>
      <c r="R8" s="124" t="s">
        <v>113</v>
      </c>
      <c r="S8" s="124">
        <f>VLOOKUP(B8,'[1]SN Salary Sheet'!$A$4:$D$207,4,0)</f>
        <v>28046</v>
      </c>
      <c r="T8" s="130">
        <v>101779406306</v>
      </c>
      <c r="U8" s="126" t="s">
        <v>114</v>
      </c>
      <c r="V8" s="126" t="s">
        <v>3713</v>
      </c>
      <c r="W8" s="126" t="s">
        <v>115</v>
      </c>
      <c r="X8" s="126" t="s">
        <v>116</v>
      </c>
      <c r="Y8" s="167" t="s">
        <v>65</v>
      </c>
      <c r="Z8" s="126" t="s">
        <v>117</v>
      </c>
      <c r="AA8" s="167" t="s">
        <v>118</v>
      </c>
      <c r="AB8" s="167" t="s">
        <v>118</v>
      </c>
      <c r="AC8" s="164" t="s">
        <v>107</v>
      </c>
      <c r="AD8" s="140"/>
      <c r="AE8" s="126"/>
      <c r="AF8" s="126"/>
      <c r="AG8" s="168" t="s">
        <v>5314</v>
      </c>
      <c r="AH8" s="126"/>
      <c r="AI8" s="126"/>
      <c r="AJ8" s="127" t="s">
        <v>112</v>
      </c>
      <c r="AK8" s="128"/>
      <c r="AL8" s="129"/>
      <c r="AM8" s="129"/>
    </row>
    <row r="9" spans="1:40" ht="47.25" customHeight="1">
      <c r="A9" s="137">
        <f>SUBTOTAL(3,$B$3:B9)</f>
        <v>7</v>
      </c>
      <c r="B9" s="164" t="s">
        <v>119</v>
      </c>
      <c r="C9" s="165" t="s">
        <v>120</v>
      </c>
      <c r="D9" s="124" t="s">
        <v>121</v>
      </c>
      <c r="E9" s="124" t="s">
        <v>122</v>
      </c>
      <c r="F9" s="124" t="s">
        <v>123</v>
      </c>
      <c r="G9" s="137" t="s">
        <v>2345</v>
      </c>
      <c r="H9" s="124" t="s">
        <v>124</v>
      </c>
      <c r="I9" s="137" t="s">
        <v>40</v>
      </c>
      <c r="J9" s="137" t="s">
        <v>125</v>
      </c>
      <c r="K9" s="124" t="s">
        <v>41</v>
      </c>
      <c r="L9" s="137" t="s">
        <v>42</v>
      </c>
      <c r="M9" s="124" t="s">
        <v>43</v>
      </c>
      <c r="N9" s="166">
        <v>44866</v>
      </c>
      <c r="O9" s="124" t="s">
        <v>44</v>
      </c>
      <c r="P9" s="137" t="s">
        <v>2347</v>
      </c>
      <c r="Q9" s="137" t="s">
        <v>3676</v>
      </c>
      <c r="R9" s="124" t="s">
        <v>126</v>
      </c>
      <c r="S9" s="124">
        <f>VLOOKUP(B9,'[1]SN Salary Sheet'!$A$4:$D$207,4,0)</f>
        <v>28166</v>
      </c>
      <c r="T9" s="125">
        <v>101368969073</v>
      </c>
      <c r="U9" s="126" t="s">
        <v>128</v>
      </c>
      <c r="V9" s="126" t="s">
        <v>127</v>
      </c>
      <c r="W9" s="126" t="s">
        <v>129</v>
      </c>
      <c r="X9" s="126" t="s">
        <v>130</v>
      </c>
      <c r="Y9" s="167" t="s">
        <v>132</v>
      </c>
      <c r="Z9" s="126" t="s">
        <v>131</v>
      </c>
      <c r="AA9" s="167" t="s">
        <v>133</v>
      </c>
      <c r="AB9" s="167" t="s">
        <v>133</v>
      </c>
      <c r="AC9" s="164" t="s">
        <v>119</v>
      </c>
      <c r="AD9" s="140"/>
      <c r="AE9" s="126"/>
      <c r="AF9" s="126"/>
      <c r="AG9" s="168" t="s">
        <v>5361</v>
      </c>
      <c r="AH9" s="126"/>
      <c r="AI9" s="126"/>
      <c r="AJ9" s="127" t="s">
        <v>125</v>
      </c>
      <c r="AK9" s="128"/>
      <c r="AL9" s="129"/>
      <c r="AM9" s="129"/>
    </row>
    <row r="10" spans="1:40" ht="47.25" customHeight="1">
      <c r="A10" s="137">
        <f>SUBTOTAL(3,$B$3:B10)</f>
        <v>8</v>
      </c>
      <c r="B10" s="164" t="s">
        <v>134</v>
      </c>
      <c r="C10" s="165" t="s">
        <v>135</v>
      </c>
      <c r="D10" s="124" t="s">
        <v>135</v>
      </c>
      <c r="E10" s="124" t="s">
        <v>136</v>
      </c>
      <c r="F10" s="124" t="s">
        <v>137</v>
      </c>
      <c r="G10" s="137" t="s">
        <v>2345</v>
      </c>
      <c r="H10" s="124" t="s">
        <v>138</v>
      </c>
      <c r="I10" s="137" t="s">
        <v>40</v>
      </c>
      <c r="J10" s="137" t="s">
        <v>139</v>
      </c>
      <c r="K10" s="124" t="s">
        <v>41</v>
      </c>
      <c r="L10" s="137" t="s">
        <v>42</v>
      </c>
      <c r="M10" s="124" t="s">
        <v>43</v>
      </c>
      <c r="N10" s="166">
        <v>44866</v>
      </c>
      <c r="O10" s="124" t="s">
        <v>44</v>
      </c>
      <c r="P10" s="137" t="s">
        <v>2347</v>
      </c>
      <c r="Q10" s="137" t="s">
        <v>3676</v>
      </c>
      <c r="R10" s="124" t="s">
        <v>140</v>
      </c>
      <c r="S10" s="124">
        <f>VLOOKUP(B10,'[1]SN Salary Sheet'!$A$4:$D$207,4,0)</f>
        <v>28175</v>
      </c>
      <c r="T10" s="125">
        <v>101317331501</v>
      </c>
      <c r="U10" s="126" t="s">
        <v>142</v>
      </c>
      <c r="V10" s="126" t="s">
        <v>141</v>
      </c>
      <c r="W10" s="126" t="s">
        <v>143</v>
      </c>
      <c r="X10" s="126" t="s">
        <v>144</v>
      </c>
      <c r="Y10" s="167" t="s">
        <v>146</v>
      </c>
      <c r="Z10" s="126" t="s">
        <v>145</v>
      </c>
      <c r="AA10" s="167" t="s">
        <v>147</v>
      </c>
      <c r="AB10" s="167" t="s">
        <v>147</v>
      </c>
      <c r="AC10" s="164" t="s">
        <v>134</v>
      </c>
      <c r="AD10" s="140"/>
      <c r="AE10" s="126"/>
      <c r="AF10" s="126"/>
      <c r="AG10" s="168" t="s">
        <v>5436</v>
      </c>
      <c r="AH10" s="126"/>
      <c r="AI10" s="126"/>
      <c r="AJ10" s="127" t="s">
        <v>139</v>
      </c>
      <c r="AK10" s="128"/>
      <c r="AL10" s="129"/>
      <c r="AM10" s="129"/>
      <c r="AN10" s="3">
        <f>2024-1997</f>
        <v>27</v>
      </c>
    </row>
    <row r="11" spans="1:40" ht="47.25" customHeight="1">
      <c r="A11" s="137">
        <f>SUBTOTAL(3,$B$3:B11)</f>
        <v>9</v>
      </c>
      <c r="B11" s="164" t="s">
        <v>148</v>
      </c>
      <c r="C11" s="165" t="s">
        <v>149</v>
      </c>
      <c r="D11" s="124" t="s">
        <v>150</v>
      </c>
      <c r="E11" s="124" t="s">
        <v>110</v>
      </c>
      <c r="F11" s="124" t="s">
        <v>151</v>
      </c>
      <c r="G11" s="137" t="s">
        <v>2345</v>
      </c>
      <c r="H11" s="124" t="s">
        <v>84</v>
      </c>
      <c r="I11" s="137" t="s">
        <v>40</v>
      </c>
      <c r="J11" s="137" t="s">
        <v>152</v>
      </c>
      <c r="K11" s="124" t="s">
        <v>41</v>
      </c>
      <c r="L11" s="137" t="s">
        <v>42</v>
      </c>
      <c r="M11" s="124" t="s">
        <v>43</v>
      </c>
      <c r="N11" s="166">
        <v>44866</v>
      </c>
      <c r="O11" s="124" t="s">
        <v>44</v>
      </c>
      <c r="P11" s="137" t="s">
        <v>2347</v>
      </c>
      <c r="Q11" s="137" t="s">
        <v>3676</v>
      </c>
      <c r="R11" s="124" t="s">
        <v>153</v>
      </c>
      <c r="S11" s="124">
        <f>VLOOKUP(B11,'[1]SN Salary Sheet'!$A$4:$D$207,4,0)</f>
        <v>28146</v>
      </c>
      <c r="T11" s="125">
        <v>101545405059</v>
      </c>
      <c r="U11" s="126" t="s">
        <v>155</v>
      </c>
      <c r="V11" s="126" t="s">
        <v>154</v>
      </c>
      <c r="W11" s="126" t="s">
        <v>156</v>
      </c>
      <c r="X11" s="126" t="s">
        <v>157</v>
      </c>
      <c r="Y11" s="167" t="s">
        <v>65</v>
      </c>
      <c r="Z11" s="126" t="s">
        <v>117</v>
      </c>
      <c r="AA11" s="167" t="s">
        <v>118</v>
      </c>
      <c r="AB11" s="167" t="s">
        <v>118</v>
      </c>
      <c r="AC11" s="164" t="s">
        <v>148</v>
      </c>
      <c r="AD11" s="140"/>
      <c r="AE11" s="126"/>
      <c r="AF11" s="126"/>
      <c r="AG11" s="168" t="s">
        <v>5352</v>
      </c>
      <c r="AH11" s="126"/>
      <c r="AI11" s="126"/>
      <c r="AJ11" s="127" t="s">
        <v>152</v>
      </c>
      <c r="AK11" s="128"/>
      <c r="AL11" s="129"/>
      <c r="AM11" s="129"/>
    </row>
    <row r="12" spans="1:40" ht="47.25" customHeight="1">
      <c r="A12" s="137">
        <f>SUBTOTAL(3,$B$3:B12)</f>
        <v>10</v>
      </c>
      <c r="B12" s="164" t="s">
        <v>158</v>
      </c>
      <c r="C12" s="165" t="s">
        <v>159</v>
      </c>
      <c r="D12" s="124" t="s">
        <v>160</v>
      </c>
      <c r="E12" s="124" t="s">
        <v>161</v>
      </c>
      <c r="F12" s="124" t="s">
        <v>162</v>
      </c>
      <c r="G12" s="137" t="s">
        <v>2345</v>
      </c>
      <c r="H12" s="124" t="s">
        <v>163</v>
      </c>
      <c r="I12" s="137" t="s">
        <v>40</v>
      </c>
      <c r="J12" s="137" t="s">
        <v>164</v>
      </c>
      <c r="K12" s="124" t="s">
        <v>41</v>
      </c>
      <c r="L12" s="137" t="s">
        <v>42</v>
      </c>
      <c r="M12" s="124" t="s">
        <v>43</v>
      </c>
      <c r="N12" s="166">
        <v>44866</v>
      </c>
      <c r="O12" s="124" t="s">
        <v>44</v>
      </c>
      <c r="P12" s="137" t="s">
        <v>2347</v>
      </c>
      <c r="Q12" s="137" t="s">
        <v>3676</v>
      </c>
      <c r="R12" s="124" t="s">
        <v>165</v>
      </c>
      <c r="S12" s="124">
        <f>VLOOKUP(B12,'[1]SN Salary Sheet'!$A$4:$D$207,4,0)</f>
        <v>28241</v>
      </c>
      <c r="T12" s="125">
        <v>101637889311</v>
      </c>
      <c r="U12" s="126" t="s">
        <v>6485</v>
      </c>
      <c r="V12" s="126" t="s">
        <v>166</v>
      </c>
      <c r="W12" s="126" t="s">
        <v>167</v>
      </c>
      <c r="X12" s="126" t="s">
        <v>168</v>
      </c>
      <c r="Y12" s="167" t="s">
        <v>170</v>
      </c>
      <c r="Z12" s="126" t="s">
        <v>169</v>
      </c>
      <c r="AA12" s="167" t="s">
        <v>171</v>
      </c>
      <c r="AB12" s="167" t="s">
        <v>171</v>
      </c>
      <c r="AC12" s="164" t="s">
        <v>158</v>
      </c>
      <c r="AD12" s="140"/>
      <c r="AE12" s="126"/>
      <c r="AF12" s="126"/>
      <c r="AG12" s="168" t="s">
        <v>5342</v>
      </c>
      <c r="AH12" s="126"/>
      <c r="AI12" s="126"/>
      <c r="AJ12" s="127" t="s">
        <v>164</v>
      </c>
      <c r="AK12" s="128"/>
      <c r="AL12" s="129"/>
      <c r="AM12" s="129"/>
    </row>
    <row r="13" spans="1:40" ht="47.25" customHeight="1">
      <c r="A13" s="137">
        <f>SUBTOTAL(3,$B$3:B13)</f>
        <v>11</v>
      </c>
      <c r="B13" s="169" t="s">
        <v>172</v>
      </c>
      <c r="C13" s="124" t="s">
        <v>173</v>
      </c>
      <c r="D13" s="124" t="s">
        <v>174</v>
      </c>
      <c r="E13" s="124" t="s">
        <v>175</v>
      </c>
      <c r="F13" s="124" t="s">
        <v>176</v>
      </c>
      <c r="G13" s="137" t="s">
        <v>2345</v>
      </c>
      <c r="H13" s="124" t="s">
        <v>177</v>
      </c>
      <c r="I13" s="137" t="s">
        <v>40</v>
      </c>
      <c r="J13" s="137" t="s">
        <v>178</v>
      </c>
      <c r="K13" s="124" t="s">
        <v>41</v>
      </c>
      <c r="L13" s="137" t="s">
        <v>42</v>
      </c>
      <c r="M13" s="124" t="s">
        <v>43</v>
      </c>
      <c r="N13" s="166">
        <v>44866</v>
      </c>
      <c r="O13" s="124" t="s">
        <v>44</v>
      </c>
      <c r="P13" s="137" t="s">
        <v>2347</v>
      </c>
      <c r="Q13" s="137" t="s">
        <v>3676</v>
      </c>
      <c r="R13" s="124" t="s">
        <v>179</v>
      </c>
      <c r="S13" s="124" t="e">
        <f>VLOOKUP(B13,'[1]SN Salary Sheet'!$A$4:$D$207,4,0)</f>
        <v>#N/A</v>
      </c>
      <c r="T13" s="125">
        <v>101772958504</v>
      </c>
      <c r="U13" s="126" t="s">
        <v>6178</v>
      </c>
      <c r="V13" s="131" t="s">
        <v>180</v>
      </c>
      <c r="W13" s="126" t="s">
        <v>181</v>
      </c>
      <c r="X13" s="126" t="s">
        <v>182</v>
      </c>
      <c r="Y13" s="167" t="s">
        <v>132</v>
      </c>
      <c r="Z13" s="126" t="s">
        <v>183</v>
      </c>
      <c r="AA13" s="167" t="s">
        <v>184</v>
      </c>
      <c r="AB13" s="167" t="s">
        <v>184</v>
      </c>
      <c r="AC13" s="164" t="s">
        <v>172</v>
      </c>
      <c r="AD13" s="140"/>
      <c r="AE13" s="126"/>
      <c r="AF13" s="126"/>
      <c r="AG13" s="168" t="s">
        <v>5095</v>
      </c>
      <c r="AH13" s="126"/>
      <c r="AI13" s="126"/>
      <c r="AJ13" s="127" t="s">
        <v>178</v>
      </c>
      <c r="AK13" s="128"/>
      <c r="AL13" s="129"/>
      <c r="AM13" s="129"/>
    </row>
    <row r="14" spans="1:40" ht="47.25" customHeight="1">
      <c r="A14" s="137">
        <f>SUBTOTAL(3,$B$3:B14)</f>
        <v>12</v>
      </c>
      <c r="B14" s="164" t="s">
        <v>185</v>
      </c>
      <c r="C14" s="165" t="s">
        <v>186</v>
      </c>
      <c r="D14" s="124" t="s">
        <v>187</v>
      </c>
      <c r="E14" s="124" t="s">
        <v>188</v>
      </c>
      <c r="F14" s="124" t="s">
        <v>189</v>
      </c>
      <c r="G14" s="137" t="s">
        <v>2389</v>
      </c>
      <c r="H14" s="124" t="s">
        <v>190</v>
      </c>
      <c r="I14" s="137" t="s">
        <v>40</v>
      </c>
      <c r="J14" s="137" t="s">
        <v>191</v>
      </c>
      <c r="K14" s="124" t="s">
        <v>41</v>
      </c>
      <c r="L14" s="137" t="s">
        <v>42</v>
      </c>
      <c r="M14" s="124" t="s">
        <v>43</v>
      </c>
      <c r="N14" s="166">
        <v>44866</v>
      </c>
      <c r="O14" s="124" t="s">
        <v>44</v>
      </c>
      <c r="P14" s="137" t="s">
        <v>2347</v>
      </c>
      <c r="Q14" s="137" t="s">
        <v>3676</v>
      </c>
      <c r="R14" s="124" t="s">
        <v>192</v>
      </c>
      <c r="S14" s="124">
        <f>VLOOKUP(B14,'[1]SN Salary Sheet'!$A$4:$D$207,4,0)</f>
        <v>18877</v>
      </c>
      <c r="T14" s="125">
        <v>101379459290</v>
      </c>
      <c r="U14" s="126" t="s">
        <v>6484</v>
      </c>
      <c r="V14" s="131" t="s">
        <v>193</v>
      </c>
      <c r="W14" s="126" t="s">
        <v>194</v>
      </c>
      <c r="X14" s="126" t="s">
        <v>195</v>
      </c>
      <c r="Y14" s="167" t="s">
        <v>65</v>
      </c>
      <c r="Z14" s="126" t="s">
        <v>196</v>
      </c>
      <c r="AA14" s="167" t="s">
        <v>197</v>
      </c>
      <c r="AB14" s="167" t="s">
        <v>197</v>
      </c>
      <c r="AC14" s="164" t="s">
        <v>185</v>
      </c>
      <c r="AD14" s="140"/>
      <c r="AE14" s="126"/>
      <c r="AF14" s="126"/>
      <c r="AG14" s="168" t="s">
        <v>5316</v>
      </c>
      <c r="AH14" s="126"/>
      <c r="AI14" s="126"/>
      <c r="AJ14" s="127" t="s">
        <v>191</v>
      </c>
      <c r="AK14" s="128"/>
      <c r="AL14" s="129"/>
      <c r="AM14" s="129"/>
    </row>
    <row r="15" spans="1:40" ht="47.25" customHeight="1">
      <c r="A15" s="137">
        <f>SUBTOTAL(3,$B$3:B15)</f>
        <v>13</v>
      </c>
      <c r="B15" s="164" t="s">
        <v>198</v>
      </c>
      <c r="C15" s="165" t="s">
        <v>199</v>
      </c>
      <c r="D15" s="124" t="s">
        <v>200</v>
      </c>
      <c r="E15" s="124" t="s">
        <v>161</v>
      </c>
      <c r="F15" s="124" t="s">
        <v>3688</v>
      </c>
      <c r="G15" s="137" t="s">
        <v>2345</v>
      </c>
      <c r="H15" s="124" t="s">
        <v>201</v>
      </c>
      <c r="I15" s="137" t="s">
        <v>40</v>
      </c>
      <c r="J15" s="137" t="s">
        <v>202</v>
      </c>
      <c r="K15" s="124" t="s">
        <v>41</v>
      </c>
      <c r="L15" s="137" t="s">
        <v>42</v>
      </c>
      <c r="M15" s="124" t="s">
        <v>43</v>
      </c>
      <c r="N15" s="166">
        <v>44866</v>
      </c>
      <c r="O15" s="124" t="s">
        <v>44</v>
      </c>
      <c r="P15" s="137" t="s">
        <v>2347</v>
      </c>
      <c r="Q15" s="137" t="s">
        <v>3676</v>
      </c>
      <c r="R15" s="124" t="s">
        <v>203</v>
      </c>
      <c r="S15" s="124" t="e">
        <f>VLOOKUP(B15,'[1]SN Salary Sheet'!$A$4:$D$207,4,0)</f>
        <v>#N/A</v>
      </c>
      <c r="T15" s="125">
        <v>101753281104</v>
      </c>
      <c r="U15" s="126" t="s">
        <v>6178</v>
      </c>
      <c r="V15" s="126" t="s">
        <v>204</v>
      </c>
      <c r="W15" s="126" t="s">
        <v>205</v>
      </c>
      <c r="X15" s="126" t="s">
        <v>206</v>
      </c>
      <c r="Y15" s="167" t="s">
        <v>65</v>
      </c>
      <c r="Z15" s="126" t="s">
        <v>207</v>
      </c>
      <c r="AA15" s="167" t="s">
        <v>208</v>
      </c>
      <c r="AB15" s="167" t="s">
        <v>208</v>
      </c>
      <c r="AC15" s="164" t="s">
        <v>198</v>
      </c>
      <c r="AD15" s="140"/>
      <c r="AE15" s="126"/>
      <c r="AF15" s="126"/>
      <c r="AG15" s="168" t="s">
        <v>5286</v>
      </c>
      <c r="AH15" s="126"/>
      <c r="AI15" s="126"/>
      <c r="AJ15" s="127" t="s">
        <v>202</v>
      </c>
      <c r="AK15" s="128"/>
      <c r="AL15" s="129"/>
      <c r="AM15" s="129"/>
    </row>
    <row r="16" spans="1:40" ht="47.25" customHeight="1">
      <c r="A16" s="137">
        <f>SUBTOTAL(3,$B$3:B16)</f>
        <v>14</v>
      </c>
      <c r="B16" s="164" t="s">
        <v>209</v>
      </c>
      <c r="C16" s="165" t="s">
        <v>210</v>
      </c>
      <c r="D16" s="124" t="s">
        <v>211</v>
      </c>
      <c r="E16" s="124" t="s">
        <v>212</v>
      </c>
      <c r="F16" s="124" t="s">
        <v>213</v>
      </c>
      <c r="G16" s="137" t="s">
        <v>2345</v>
      </c>
      <c r="H16" s="124" t="s">
        <v>214</v>
      </c>
      <c r="I16" s="137" t="s">
        <v>40</v>
      </c>
      <c r="J16" s="137" t="s">
        <v>178</v>
      </c>
      <c r="K16" s="124" t="s">
        <v>41</v>
      </c>
      <c r="L16" s="137" t="s">
        <v>42</v>
      </c>
      <c r="M16" s="124" t="s">
        <v>43</v>
      </c>
      <c r="N16" s="166">
        <v>44866</v>
      </c>
      <c r="O16" s="124" t="s">
        <v>44</v>
      </c>
      <c r="P16" s="137" t="s">
        <v>2347</v>
      </c>
      <c r="Q16" s="137" t="s">
        <v>3676</v>
      </c>
      <c r="R16" s="124" t="s">
        <v>215</v>
      </c>
      <c r="S16" s="124" t="e">
        <f>VLOOKUP(B16,'[1]SN Salary Sheet'!$A$4:$D$207,4,0)</f>
        <v>#N/A</v>
      </c>
      <c r="T16" s="125">
        <v>101772363391</v>
      </c>
      <c r="U16" s="126" t="s">
        <v>217</v>
      </c>
      <c r="V16" s="126" t="s">
        <v>216</v>
      </c>
      <c r="W16" s="126" t="s">
        <v>218</v>
      </c>
      <c r="X16" s="170" t="s">
        <v>219</v>
      </c>
      <c r="Y16" s="167" t="s">
        <v>146</v>
      </c>
      <c r="Z16" s="171" t="s">
        <v>220</v>
      </c>
      <c r="AA16" s="167" t="s">
        <v>221</v>
      </c>
      <c r="AB16" s="167" t="s">
        <v>221</v>
      </c>
      <c r="AC16" s="164" t="s">
        <v>209</v>
      </c>
      <c r="AD16" s="140"/>
      <c r="AE16" s="126"/>
      <c r="AF16" s="126"/>
      <c r="AG16" s="168" t="s">
        <v>5415</v>
      </c>
      <c r="AH16" s="126"/>
      <c r="AI16" s="126"/>
      <c r="AJ16" s="127" t="s">
        <v>178</v>
      </c>
      <c r="AK16" s="128"/>
      <c r="AL16" s="129"/>
      <c r="AM16" s="129"/>
    </row>
    <row r="17" spans="1:39" ht="47.25" customHeight="1">
      <c r="A17" s="137">
        <f>SUBTOTAL(3,$B$3:B17)</f>
        <v>15</v>
      </c>
      <c r="B17" s="164" t="s">
        <v>222</v>
      </c>
      <c r="C17" s="165" t="s">
        <v>223</v>
      </c>
      <c r="D17" s="124" t="s">
        <v>223</v>
      </c>
      <c r="E17" s="124" t="s">
        <v>224</v>
      </c>
      <c r="F17" s="124" t="s">
        <v>225</v>
      </c>
      <c r="G17" s="137" t="s">
        <v>2389</v>
      </c>
      <c r="H17" s="124" t="s">
        <v>226</v>
      </c>
      <c r="I17" s="137" t="s">
        <v>40</v>
      </c>
      <c r="J17" s="137" t="s">
        <v>227</v>
      </c>
      <c r="K17" s="124" t="s">
        <v>41</v>
      </c>
      <c r="L17" s="137" t="s">
        <v>42</v>
      </c>
      <c r="M17" s="124" t="s">
        <v>43</v>
      </c>
      <c r="N17" s="166">
        <v>44866</v>
      </c>
      <c r="O17" s="124" t="s">
        <v>44</v>
      </c>
      <c r="P17" s="137" t="s">
        <v>2347</v>
      </c>
      <c r="Q17" s="137" t="s">
        <v>3676</v>
      </c>
      <c r="R17" s="124" t="s">
        <v>228</v>
      </c>
      <c r="S17" s="124">
        <f>VLOOKUP(B17,'[1]SN Salary Sheet'!$A$4:$D$207,4,0)</f>
        <v>28294</v>
      </c>
      <c r="T17" s="125">
        <v>101342160627</v>
      </c>
      <c r="U17" s="126" t="s">
        <v>230</v>
      </c>
      <c r="V17" s="126" t="s">
        <v>229</v>
      </c>
      <c r="W17" s="126" t="s">
        <v>231</v>
      </c>
      <c r="X17" s="126" t="s">
        <v>232</v>
      </c>
      <c r="Y17" s="167" t="s">
        <v>65</v>
      </c>
      <c r="Z17" s="126" t="s">
        <v>233</v>
      </c>
      <c r="AA17" s="167" t="s">
        <v>234</v>
      </c>
      <c r="AB17" s="167" t="s">
        <v>234</v>
      </c>
      <c r="AC17" s="164" t="s">
        <v>222</v>
      </c>
      <c r="AD17" s="140"/>
      <c r="AE17" s="126"/>
      <c r="AF17" s="126"/>
      <c r="AG17" s="168" t="s">
        <v>5291</v>
      </c>
      <c r="AH17" s="126"/>
      <c r="AI17" s="126"/>
      <c r="AJ17" s="127" t="s">
        <v>227</v>
      </c>
      <c r="AK17" s="128"/>
      <c r="AL17" s="129"/>
      <c r="AM17" s="129"/>
    </row>
    <row r="18" spans="1:39" ht="47.25" customHeight="1">
      <c r="A18" s="137">
        <f>SUBTOTAL(3,$B$3:B18)</f>
        <v>16</v>
      </c>
      <c r="B18" s="164" t="s">
        <v>235</v>
      </c>
      <c r="C18" s="165" t="s">
        <v>236</v>
      </c>
      <c r="D18" s="124" t="s">
        <v>237</v>
      </c>
      <c r="E18" s="124" t="s">
        <v>136</v>
      </c>
      <c r="F18" s="124" t="s">
        <v>238</v>
      </c>
      <c r="G18" s="137" t="s">
        <v>2345</v>
      </c>
      <c r="H18" s="124" t="s">
        <v>239</v>
      </c>
      <c r="I18" s="137" t="s">
        <v>40</v>
      </c>
      <c r="J18" s="137" t="s">
        <v>240</v>
      </c>
      <c r="K18" s="124" t="s">
        <v>41</v>
      </c>
      <c r="L18" s="137" t="s">
        <v>42</v>
      </c>
      <c r="M18" s="124" t="s">
        <v>43</v>
      </c>
      <c r="N18" s="166">
        <v>44866</v>
      </c>
      <c r="O18" s="124" t="s">
        <v>44</v>
      </c>
      <c r="P18" s="137" t="s">
        <v>2347</v>
      </c>
      <c r="Q18" s="137" t="s">
        <v>3676</v>
      </c>
      <c r="R18" s="124" t="s">
        <v>241</v>
      </c>
      <c r="S18" s="124" t="e">
        <f>VLOOKUP(B18,'[1]SN Salary Sheet'!$A$4:$D$207,4,0)</f>
        <v>#N/A</v>
      </c>
      <c r="T18" s="125">
        <v>101370080016</v>
      </c>
      <c r="U18" s="126" t="s">
        <v>243</v>
      </c>
      <c r="V18" s="126" t="s">
        <v>242</v>
      </c>
      <c r="W18" s="126" t="s">
        <v>244</v>
      </c>
      <c r="X18" s="126" t="s">
        <v>245</v>
      </c>
      <c r="Y18" s="167" t="s">
        <v>51</v>
      </c>
      <c r="Z18" s="126" t="s">
        <v>50</v>
      </c>
      <c r="AA18" s="167" t="s">
        <v>246</v>
      </c>
      <c r="AB18" s="167" t="s">
        <v>246</v>
      </c>
      <c r="AC18" s="164" t="s">
        <v>235</v>
      </c>
      <c r="AD18" s="140"/>
      <c r="AE18" s="126"/>
      <c r="AF18" s="126"/>
      <c r="AG18" s="168" t="s">
        <v>5322</v>
      </c>
      <c r="AH18" s="126"/>
      <c r="AI18" s="126"/>
      <c r="AJ18" s="127" t="s">
        <v>240</v>
      </c>
      <c r="AK18" s="128"/>
      <c r="AL18" s="129"/>
      <c r="AM18" s="129"/>
    </row>
    <row r="19" spans="1:39" ht="47.25" customHeight="1">
      <c r="A19" s="137">
        <f>SUBTOTAL(3,$B$3:B19)</f>
        <v>17</v>
      </c>
      <c r="B19" s="164" t="s">
        <v>247</v>
      </c>
      <c r="C19" s="165" t="s">
        <v>248</v>
      </c>
      <c r="D19" s="124" t="s">
        <v>248</v>
      </c>
      <c r="E19" s="124" t="s">
        <v>249</v>
      </c>
      <c r="F19" s="124" t="s">
        <v>250</v>
      </c>
      <c r="G19" s="137" t="s">
        <v>2345</v>
      </c>
      <c r="H19" s="124" t="s">
        <v>251</v>
      </c>
      <c r="I19" s="137" t="s">
        <v>40</v>
      </c>
      <c r="J19" s="137" t="s">
        <v>252</v>
      </c>
      <c r="K19" s="124" t="s">
        <v>41</v>
      </c>
      <c r="L19" s="137" t="s">
        <v>42</v>
      </c>
      <c r="M19" s="124" t="s">
        <v>43</v>
      </c>
      <c r="N19" s="166">
        <v>44866</v>
      </c>
      <c r="O19" s="124" t="s">
        <v>44</v>
      </c>
      <c r="P19" s="137" t="s">
        <v>2347</v>
      </c>
      <c r="Q19" s="137" t="s">
        <v>3676</v>
      </c>
      <c r="R19" s="124" t="s">
        <v>253</v>
      </c>
      <c r="S19" s="124">
        <f>VLOOKUP(B19,'[1]SN Salary Sheet'!$A$4:$D$207,4,0)</f>
        <v>28178</v>
      </c>
      <c r="T19" s="125">
        <v>101544533509</v>
      </c>
      <c r="U19" s="126" t="s">
        <v>255</v>
      </c>
      <c r="V19" s="126" t="s">
        <v>254</v>
      </c>
      <c r="W19" s="126" t="s">
        <v>256</v>
      </c>
      <c r="X19" s="126" t="s">
        <v>257</v>
      </c>
      <c r="Y19" s="167" t="s">
        <v>146</v>
      </c>
      <c r="Z19" s="126" t="s">
        <v>258</v>
      </c>
      <c r="AA19" s="167" t="s">
        <v>259</v>
      </c>
      <c r="AB19" s="167" t="s">
        <v>259</v>
      </c>
      <c r="AC19" s="164" t="s">
        <v>247</v>
      </c>
      <c r="AD19" s="140"/>
      <c r="AE19" s="126"/>
      <c r="AF19" s="126"/>
      <c r="AG19" s="168" t="s">
        <v>5374</v>
      </c>
      <c r="AH19" s="126"/>
      <c r="AI19" s="126"/>
      <c r="AJ19" s="127" t="s">
        <v>252</v>
      </c>
      <c r="AK19" s="128"/>
      <c r="AL19" s="129"/>
      <c r="AM19" s="129"/>
    </row>
    <row r="20" spans="1:39" ht="47.25" customHeight="1">
      <c r="A20" s="137">
        <f>SUBTOTAL(3,$B$3:B20)</f>
        <v>18</v>
      </c>
      <c r="B20" s="164" t="s">
        <v>260</v>
      </c>
      <c r="C20" s="165" t="s">
        <v>261</v>
      </c>
      <c r="D20" s="124" t="s">
        <v>262</v>
      </c>
      <c r="E20" s="124" t="s">
        <v>263</v>
      </c>
      <c r="F20" s="124" t="s">
        <v>493</v>
      </c>
      <c r="G20" s="137" t="s">
        <v>2345</v>
      </c>
      <c r="H20" s="124" t="s">
        <v>264</v>
      </c>
      <c r="I20" s="137" t="s">
        <v>40</v>
      </c>
      <c r="J20" s="137" t="s">
        <v>265</v>
      </c>
      <c r="K20" s="124" t="s">
        <v>41</v>
      </c>
      <c r="L20" s="137" t="s">
        <v>42</v>
      </c>
      <c r="M20" s="124" t="s">
        <v>43</v>
      </c>
      <c r="N20" s="166">
        <v>44866</v>
      </c>
      <c r="O20" s="124" t="s">
        <v>44</v>
      </c>
      <c r="P20" s="137" t="s">
        <v>2347</v>
      </c>
      <c r="Q20" s="137" t="s">
        <v>3676</v>
      </c>
      <c r="R20" s="124" t="s">
        <v>266</v>
      </c>
      <c r="S20" s="124">
        <f>VLOOKUP(B20,'[1]SN Salary Sheet'!$A$4:$D$207,4,0)</f>
        <v>28237</v>
      </c>
      <c r="T20" s="125">
        <v>101753281136</v>
      </c>
      <c r="U20" s="126" t="s">
        <v>6178</v>
      </c>
      <c r="V20" s="126" t="s">
        <v>267</v>
      </c>
      <c r="W20" s="126" t="s">
        <v>268</v>
      </c>
      <c r="X20" s="126" t="s">
        <v>269</v>
      </c>
      <c r="Y20" s="167" t="s">
        <v>271</v>
      </c>
      <c r="Z20" s="126" t="s">
        <v>270</v>
      </c>
      <c r="AA20" s="167" t="s">
        <v>272</v>
      </c>
      <c r="AB20" s="167" t="s">
        <v>272</v>
      </c>
      <c r="AC20" s="164" t="s">
        <v>260</v>
      </c>
      <c r="AD20" s="140"/>
      <c r="AE20" s="126"/>
      <c r="AF20" s="126"/>
      <c r="AG20" s="168" t="s">
        <v>5339</v>
      </c>
      <c r="AH20" s="126"/>
      <c r="AI20" s="126"/>
      <c r="AJ20" s="127" t="s">
        <v>265</v>
      </c>
      <c r="AK20" s="128"/>
      <c r="AL20" s="129"/>
      <c r="AM20" s="129"/>
    </row>
    <row r="21" spans="1:39" ht="47.25" customHeight="1">
      <c r="A21" s="137">
        <f>SUBTOTAL(3,$B$3:B21)</f>
        <v>19</v>
      </c>
      <c r="B21" s="164" t="s">
        <v>273</v>
      </c>
      <c r="C21" s="165" t="s">
        <v>274</v>
      </c>
      <c r="D21" s="124" t="s">
        <v>275</v>
      </c>
      <c r="E21" s="124" t="s">
        <v>276</v>
      </c>
      <c r="F21" s="124" t="s">
        <v>277</v>
      </c>
      <c r="G21" s="137" t="s">
        <v>2389</v>
      </c>
      <c r="H21" s="124" t="s">
        <v>278</v>
      </c>
      <c r="I21" s="137" t="s">
        <v>40</v>
      </c>
      <c r="J21" s="137" t="s">
        <v>279</v>
      </c>
      <c r="K21" s="124" t="s">
        <v>280</v>
      </c>
      <c r="L21" s="137" t="s">
        <v>42</v>
      </c>
      <c r="M21" s="124" t="s">
        <v>43</v>
      </c>
      <c r="N21" s="166">
        <v>44866</v>
      </c>
      <c r="O21" s="124" t="s">
        <v>44</v>
      </c>
      <c r="P21" s="137" t="s">
        <v>2347</v>
      </c>
      <c r="Q21" s="137" t="s">
        <v>3676</v>
      </c>
      <c r="R21" s="124" t="s">
        <v>281</v>
      </c>
      <c r="S21" s="124">
        <f>VLOOKUP(B21,'[1]SN Salary Sheet'!$A$4:$D$207,4,0)</f>
        <v>28107</v>
      </c>
      <c r="T21" s="125">
        <v>101258607119</v>
      </c>
      <c r="U21" s="126" t="s">
        <v>283</v>
      </c>
      <c r="V21" s="126" t="s">
        <v>282</v>
      </c>
      <c r="W21" s="126" t="s">
        <v>284</v>
      </c>
      <c r="X21" s="126" t="s">
        <v>285</v>
      </c>
      <c r="Y21" s="167" t="s">
        <v>287</v>
      </c>
      <c r="Z21" s="126" t="s">
        <v>286</v>
      </c>
      <c r="AA21" s="167" t="s">
        <v>288</v>
      </c>
      <c r="AB21" s="167" t="s">
        <v>288</v>
      </c>
      <c r="AC21" s="164" t="s">
        <v>273</v>
      </c>
      <c r="AD21" s="140"/>
      <c r="AE21" s="126"/>
      <c r="AF21" s="126"/>
      <c r="AG21" s="168" t="s">
        <v>5329</v>
      </c>
      <c r="AH21" s="126"/>
      <c r="AI21" s="126"/>
      <c r="AJ21" s="127" t="s">
        <v>279</v>
      </c>
      <c r="AK21" s="128"/>
      <c r="AL21" s="129"/>
      <c r="AM21" s="129"/>
    </row>
    <row r="22" spans="1:39" ht="47.25" customHeight="1">
      <c r="A22" s="137">
        <f>SUBTOTAL(3,$B$3:B22)</f>
        <v>20</v>
      </c>
      <c r="B22" s="164" t="s">
        <v>289</v>
      </c>
      <c r="C22" s="165" t="s">
        <v>290</v>
      </c>
      <c r="D22" s="124" t="s">
        <v>290</v>
      </c>
      <c r="E22" s="124" t="s">
        <v>291</v>
      </c>
      <c r="F22" s="124" t="s">
        <v>3671</v>
      </c>
      <c r="G22" s="137" t="s">
        <v>2345</v>
      </c>
      <c r="H22" s="124" t="s">
        <v>292</v>
      </c>
      <c r="I22" s="137" t="s">
        <v>40</v>
      </c>
      <c r="J22" s="137" t="s">
        <v>293</v>
      </c>
      <c r="K22" s="124" t="s">
        <v>41</v>
      </c>
      <c r="L22" s="137" t="s">
        <v>42</v>
      </c>
      <c r="M22" s="124" t="s">
        <v>43</v>
      </c>
      <c r="N22" s="166">
        <v>44866</v>
      </c>
      <c r="O22" s="124" t="s">
        <v>44</v>
      </c>
      <c r="P22" s="137" t="s">
        <v>2347</v>
      </c>
      <c r="Q22" s="137" t="s">
        <v>3676</v>
      </c>
      <c r="R22" s="124" t="s">
        <v>294</v>
      </c>
      <c r="S22" s="124">
        <f>VLOOKUP(B22,'[1]SN Salary Sheet'!$A$4:$D$207,4,0)</f>
        <v>28021</v>
      </c>
      <c r="T22" s="125">
        <v>101765542297</v>
      </c>
      <c r="U22" s="126" t="s">
        <v>6468</v>
      </c>
      <c r="V22" s="131" t="s">
        <v>295</v>
      </c>
      <c r="W22" s="126" t="s">
        <v>296</v>
      </c>
      <c r="X22" s="135" t="s">
        <v>297</v>
      </c>
      <c r="Y22" s="167" t="s">
        <v>299</v>
      </c>
      <c r="Z22" s="126" t="s">
        <v>298</v>
      </c>
      <c r="AA22" s="167" t="s">
        <v>300</v>
      </c>
      <c r="AB22" s="167" t="s">
        <v>300</v>
      </c>
      <c r="AC22" s="164" t="s">
        <v>289</v>
      </c>
      <c r="AD22" s="140"/>
      <c r="AE22" s="126"/>
      <c r="AF22" s="126"/>
      <c r="AG22" s="168" t="s">
        <v>5424</v>
      </c>
      <c r="AH22" s="126"/>
      <c r="AI22" s="126"/>
      <c r="AJ22" s="127" t="s">
        <v>293</v>
      </c>
      <c r="AK22" s="128"/>
      <c r="AL22" s="129"/>
      <c r="AM22" s="129"/>
    </row>
    <row r="23" spans="1:39" ht="47.25" customHeight="1">
      <c r="A23" s="137">
        <f>SUBTOTAL(3,$B$3:B23)</f>
        <v>21</v>
      </c>
      <c r="B23" s="164" t="s">
        <v>301</v>
      </c>
      <c r="C23" s="165" t="s">
        <v>302</v>
      </c>
      <c r="D23" s="124" t="s">
        <v>303</v>
      </c>
      <c r="E23" s="124" t="s">
        <v>136</v>
      </c>
      <c r="F23" s="124" t="s">
        <v>304</v>
      </c>
      <c r="G23" s="137" t="s">
        <v>2389</v>
      </c>
      <c r="H23" s="124" t="s">
        <v>305</v>
      </c>
      <c r="I23" s="137" t="s">
        <v>40</v>
      </c>
      <c r="J23" s="137" t="s">
        <v>306</v>
      </c>
      <c r="K23" s="124" t="s">
        <v>41</v>
      </c>
      <c r="L23" s="137" t="s">
        <v>42</v>
      </c>
      <c r="M23" s="124" t="s">
        <v>43</v>
      </c>
      <c r="N23" s="166">
        <v>44866</v>
      </c>
      <c r="O23" s="124" t="s">
        <v>44</v>
      </c>
      <c r="P23" s="137" t="s">
        <v>2347</v>
      </c>
      <c r="Q23" s="137" t="s">
        <v>3676</v>
      </c>
      <c r="R23" s="124" t="s">
        <v>307</v>
      </c>
      <c r="S23" s="124" t="e">
        <f>VLOOKUP(B23,'[1]SN Salary Sheet'!$A$4:$D$207,4,0)</f>
        <v>#N/A</v>
      </c>
      <c r="T23" s="125">
        <v>101545045161</v>
      </c>
      <c r="U23" s="126" t="s">
        <v>309</v>
      </c>
      <c r="V23" s="126" t="s">
        <v>308</v>
      </c>
      <c r="W23" s="126" t="s">
        <v>310</v>
      </c>
      <c r="X23" s="126" t="s">
        <v>311</v>
      </c>
      <c r="Y23" s="167" t="s">
        <v>146</v>
      </c>
      <c r="Z23" s="126" t="s">
        <v>312</v>
      </c>
      <c r="AA23" s="167" t="s">
        <v>313</v>
      </c>
      <c r="AB23" s="167" t="s">
        <v>313</v>
      </c>
      <c r="AC23" s="164" t="s">
        <v>301</v>
      </c>
      <c r="AD23" s="140"/>
      <c r="AE23" s="126"/>
      <c r="AF23" s="126"/>
      <c r="AG23" s="168" t="s">
        <v>5459</v>
      </c>
      <c r="AH23" s="126"/>
      <c r="AI23" s="126"/>
      <c r="AJ23" s="127" t="s">
        <v>306</v>
      </c>
      <c r="AK23" s="128"/>
      <c r="AL23" s="129"/>
      <c r="AM23" s="129"/>
    </row>
    <row r="24" spans="1:39" ht="47.25" customHeight="1">
      <c r="A24" s="137">
        <f>SUBTOTAL(3,$B$3:B24)</f>
        <v>22</v>
      </c>
      <c r="B24" s="164" t="s">
        <v>314</v>
      </c>
      <c r="C24" s="165" t="s">
        <v>315</v>
      </c>
      <c r="D24" s="124" t="s">
        <v>316</v>
      </c>
      <c r="E24" s="124" t="s">
        <v>317</v>
      </c>
      <c r="F24" s="124" t="s">
        <v>318</v>
      </c>
      <c r="G24" s="137" t="s">
        <v>2389</v>
      </c>
      <c r="H24" s="124" t="s">
        <v>319</v>
      </c>
      <c r="I24" s="137" t="s">
        <v>40</v>
      </c>
      <c r="J24" s="137" t="s">
        <v>320</v>
      </c>
      <c r="K24" s="124" t="s">
        <v>280</v>
      </c>
      <c r="L24" s="137" t="s">
        <v>42</v>
      </c>
      <c r="M24" s="124" t="s">
        <v>43</v>
      </c>
      <c r="N24" s="166">
        <v>44866</v>
      </c>
      <c r="O24" s="124" t="s">
        <v>44</v>
      </c>
      <c r="P24" s="137" t="s">
        <v>2347</v>
      </c>
      <c r="Q24" s="137" t="s">
        <v>3676</v>
      </c>
      <c r="R24" s="124" t="s">
        <v>321</v>
      </c>
      <c r="S24" s="124">
        <f>VLOOKUP(B24,'[1]SN Salary Sheet'!$A$4:$D$207,4,0)</f>
        <v>28226</v>
      </c>
      <c r="T24" s="125">
        <v>101017309022</v>
      </c>
      <c r="U24" s="126" t="s">
        <v>323</v>
      </c>
      <c r="V24" s="126" t="s">
        <v>322</v>
      </c>
      <c r="W24" s="135" t="s">
        <v>324</v>
      </c>
      <c r="X24" s="126" t="s">
        <v>325</v>
      </c>
      <c r="Y24" s="167" t="s">
        <v>326</v>
      </c>
      <c r="Z24" s="172" t="s">
        <v>436</v>
      </c>
      <c r="AA24" s="167" t="s">
        <v>327</v>
      </c>
      <c r="AB24" s="167" t="s">
        <v>327</v>
      </c>
      <c r="AC24" s="164" t="s">
        <v>314</v>
      </c>
      <c r="AD24" s="140"/>
      <c r="AE24" s="126"/>
      <c r="AF24" s="126"/>
      <c r="AG24" s="168" t="s">
        <v>5364</v>
      </c>
      <c r="AH24" s="126"/>
      <c r="AI24" s="126"/>
      <c r="AJ24" s="127" t="s">
        <v>320</v>
      </c>
      <c r="AK24" s="128"/>
      <c r="AL24" s="129"/>
      <c r="AM24" s="129"/>
    </row>
    <row r="25" spans="1:39" ht="47.25" customHeight="1">
      <c r="A25" s="137">
        <f>SUBTOTAL(3,$B$3:B25)</f>
        <v>23</v>
      </c>
      <c r="B25" s="169" t="s">
        <v>3686</v>
      </c>
      <c r="C25" s="124" t="s">
        <v>4813</v>
      </c>
      <c r="D25" s="124" t="s">
        <v>329</v>
      </c>
      <c r="E25" s="124" t="s">
        <v>330</v>
      </c>
      <c r="F25" s="124" t="s">
        <v>331</v>
      </c>
      <c r="G25" s="137" t="s">
        <v>2345</v>
      </c>
      <c r="H25" s="124" t="s">
        <v>332</v>
      </c>
      <c r="I25" s="137" t="s">
        <v>40</v>
      </c>
      <c r="J25" s="137" t="s">
        <v>333</v>
      </c>
      <c r="K25" s="124" t="s">
        <v>41</v>
      </c>
      <c r="L25" s="137" t="s">
        <v>42</v>
      </c>
      <c r="M25" s="124" t="s">
        <v>43</v>
      </c>
      <c r="N25" s="166">
        <v>44866</v>
      </c>
      <c r="O25" s="124" t="s">
        <v>44</v>
      </c>
      <c r="P25" s="137" t="s">
        <v>2347</v>
      </c>
      <c r="Q25" s="137" t="s">
        <v>3676</v>
      </c>
      <c r="R25" s="124" t="s">
        <v>334</v>
      </c>
      <c r="S25" s="124" t="e">
        <f>VLOOKUP(B25,'[1]SN Salary Sheet'!$A$4:$D$207,4,0)</f>
        <v>#N/A</v>
      </c>
      <c r="T25" s="125">
        <v>101765543228</v>
      </c>
      <c r="U25" s="126" t="s">
        <v>336</v>
      </c>
      <c r="V25" s="126" t="s">
        <v>335</v>
      </c>
      <c r="W25" s="126" t="s">
        <v>337</v>
      </c>
      <c r="X25" s="126" t="s">
        <v>338</v>
      </c>
      <c r="Y25" s="167" t="s">
        <v>339</v>
      </c>
      <c r="Z25" s="126" t="s">
        <v>298</v>
      </c>
      <c r="AA25" s="167" t="s">
        <v>340</v>
      </c>
      <c r="AB25" s="167" t="s">
        <v>340</v>
      </c>
      <c r="AC25" s="164" t="s">
        <v>3686</v>
      </c>
      <c r="AD25" s="140"/>
      <c r="AE25" s="126"/>
      <c r="AF25" s="126"/>
      <c r="AG25" s="168" t="s">
        <v>5441</v>
      </c>
      <c r="AH25" s="126"/>
      <c r="AI25" s="126"/>
      <c r="AJ25" s="127" t="s">
        <v>333</v>
      </c>
      <c r="AK25" s="128"/>
      <c r="AL25" s="129"/>
      <c r="AM25" s="129"/>
    </row>
    <row r="26" spans="1:39" ht="47.25" customHeight="1">
      <c r="A26" s="137">
        <f>SUBTOTAL(3,$B$3:B26)</f>
        <v>24</v>
      </c>
      <c r="B26" s="164" t="s">
        <v>341</v>
      </c>
      <c r="C26" s="165" t="s">
        <v>342</v>
      </c>
      <c r="D26" s="124" t="s">
        <v>342</v>
      </c>
      <c r="E26" s="124" t="s">
        <v>343</v>
      </c>
      <c r="F26" s="124" t="s">
        <v>344</v>
      </c>
      <c r="G26" s="137" t="s">
        <v>2389</v>
      </c>
      <c r="H26" s="124" t="s">
        <v>345</v>
      </c>
      <c r="I26" s="137" t="s">
        <v>40</v>
      </c>
      <c r="J26" s="137" t="s">
        <v>346</v>
      </c>
      <c r="K26" s="124" t="s">
        <v>41</v>
      </c>
      <c r="L26" s="137" t="s">
        <v>42</v>
      </c>
      <c r="M26" s="124" t="s">
        <v>43</v>
      </c>
      <c r="N26" s="166">
        <v>44866</v>
      </c>
      <c r="O26" s="124" t="s">
        <v>44</v>
      </c>
      <c r="P26" s="137" t="s">
        <v>2347</v>
      </c>
      <c r="Q26" s="137" t="s">
        <v>3676</v>
      </c>
      <c r="R26" s="124" t="s">
        <v>347</v>
      </c>
      <c r="S26" s="124">
        <f>VLOOKUP(B26,'[1]SN Salary Sheet'!$A$4:$D$207,4,0)</f>
        <v>28231</v>
      </c>
      <c r="T26" s="125">
        <v>101772958486</v>
      </c>
      <c r="U26" s="126" t="s">
        <v>349</v>
      </c>
      <c r="V26" s="131" t="s">
        <v>348</v>
      </c>
      <c r="W26" s="126" t="s">
        <v>350</v>
      </c>
      <c r="X26" s="126" t="s">
        <v>351</v>
      </c>
      <c r="Y26" s="167" t="s">
        <v>65</v>
      </c>
      <c r="Z26" s="126" t="s">
        <v>352</v>
      </c>
      <c r="AA26" s="167" t="s">
        <v>6475</v>
      </c>
      <c r="AB26" s="167" t="s">
        <v>6475</v>
      </c>
      <c r="AC26" s="164" t="s">
        <v>341</v>
      </c>
      <c r="AD26" s="140"/>
      <c r="AE26" s="126"/>
      <c r="AF26" s="126"/>
      <c r="AG26" s="168" t="s">
        <v>5242</v>
      </c>
      <c r="AH26" s="126"/>
      <c r="AI26" s="126"/>
      <c r="AJ26" s="127" t="s">
        <v>346</v>
      </c>
      <c r="AK26" s="128"/>
      <c r="AL26" s="129"/>
      <c r="AM26" s="129"/>
    </row>
    <row r="27" spans="1:39" ht="47.25" customHeight="1">
      <c r="A27" s="137">
        <f>SUBTOTAL(3,$B$3:B27)</f>
        <v>25</v>
      </c>
      <c r="B27" s="164" t="s">
        <v>353</v>
      </c>
      <c r="C27" s="165" t="s">
        <v>354</v>
      </c>
      <c r="D27" s="124" t="s">
        <v>355</v>
      </c>
      <c r="E27" s="124" t="s">
        <v>356</v>
      </c>
      <c r="F27" s="124" t="s">
        <v>357</v>
      </c>
      <c r="G27" s="137" t="s">
        <v>2345</v>
      </c>
      <c r="H27" s="124" t="s">
        <v>190</v>
      </c>
      <c r="I27" s="137" t="s">
        <v>40</v>
      </c>
      <c r="J27" s="173">
        <v>35651</v>
      </c>
      <c r="K27" s="124" t="s">
        <v>41</v>
      </c>
      <c r="L27" s="137" t="s">
        <v>42</v>
      </c>
      <c r="M27" s="124" t="s">
        <v>43</v>
      </c>
      <c r="N27" s="166">
        <v>44866</v>
      </c>
      <c r="O27" s="124" t="s">
        <v>44</v>
      </c>
      <c r="P27" s="137" t="s">
        <v>2347</v>
      </c>
      <c r="Q27" s="137" t="s">
        <v>3676</v>
      </c>
      <c r="R27" s="124" t="s">
        <v>358</v>
      </c>
      <c r="S27" s="124">
        <f>VLOOKUP(B27,'[1]SN Salary Sheet'!$A$4:$D$207,4,0)</f>
        <v>28156</v>
      </c>
      <c r="T27" s="125">
        <v>101667735135</v>
      </c>
      <c r="U27" s="126" t="s">
        <v>6466</v>
      </c>
      <c r="V27" s="126" t="s">
        <v>359</v>
      </c>
      <c r="W27" s="126" t="s">
        <v>360</v>
      </c>
      <c r="X27" s="126" t="s">
        <v>361</v>
      </c>
      <c r="Y27" s="167" t="s">
        <v>363</v>
      </c>
      <c r="Z27" s="126" t="s">
        <v>362</v>
      </c>
      <c r="AA27" s="167" t="s">
        <v>364</v>
      </c>
      <c r="AB27" s="167" t="s">
        <v>364</v>
      </c>
      <c r="AC27" s="164" t="s">
        <v>353</v>
      </c>
      <c r="AD27" s="140"/>
      <c r="AE27" s="126"/>
      <c r="AF27" s="126"/>
      <c r="AG27" s="168" t="s">
        <v>5357</v>
      </c>
      <c r="AH27" s="126"/>
      <c r="AI27" s="126"/>
      <c r="AJ27" s="133">
        <v>35651</v>
      </c>
      <c r="AK27" s="128"/>
      <c r="AL27" s="129"/>
      <c r="AM27" s="129"/>
    </row>
    <row r="28" spans="1:39" ht="47.25" customHeight="1">
      <c r="A28" s="137">
        <f>SUBTOTAL(3,$B$3:B28)</f>
        <v>26</v>
      </c>
      <c r="B28" s="164" t="s">
        <v>365</v>
      </c>
      <c r="C28" s="165" t="s">
        <v>366</v>
      </c>
      <c r="D28" s="124" t="s">
        <v>367</v>
      </c>
      <c r="E28" s="124" t="s">
        <v>249</v>
      </c>
      <c r="F28" s="124" t="s">
        <v>3689</v>
      </c>
      <c r="G28" s="137" t="s">
        <v>2345</v>
      </c>
      <c r="H28" s="124" t="s">
        <v>368</v>
      </c>
      <c r="I28" s="137" t="s">
        <v>40</v>
      </c>
      <c r="J28" s="173" t="s">
        <v>369</v>
      </c>
      <c r="K28" s="124" t="s">
        <v>41</v>
      </c>
      <c r="L28" s="137" t="s">
        <v>42</v>
      </c>
      <c r="M28" s="124" t="s">
        <v>43</v>
      </c>
      <c r="N28" s="166">
        <v>44866</v>
      </c>
      <c r="O28" s="124" t="s">
        <v>44</v>
      </c>
      <c r="P28" s="137" t="s">
        <v>2347</v>
      </c>
      <c r="Q28" s="137" t="s">
        <v>3676</v>
      </c>
      <c r="R28" s="124">
        <v>7898912498</v>
      </c>
      <c r="S28" s="124">
        <f>VLOOKUP(B28,'[1]SN Salary Sheet'!$A$4:$D$207,4,0)</f>
        <v>28151</v>
      </c>
      <c r="T28" s="125">
        <v>101568411941</v>
      </c>
      <c r="U28" s="126" t="s">
        <v>371</v>
      </c>
      <c r="V28" s="126" t="s">
        <v>370</v>
      </c>
      <c r="W28" s="126" t="s">
        <v>372</v>
      </c>
      <c r="X28" s="126" t="s">
        <v>373</v>
      </c>
      <c r="Y28" s="167" t="s">
        <v>132</v>
      </c>
      <c r="Z28" s="126" t="s">
        <v>374</v>
      </c>
      <c r="AA28" s="167" t="s">
        <v>375</v>
      </c>
      <c r="AB28" s="167" t="s">
        <v>375</v>
      </c>
      <c r="AC28" s="164" t="s">
        <v>365</v>
      </c>
      <c r="AD28" s="140"/>
      <c r="AE28" s="126"/>
      <c r="AF28" s="126"/>
      <c r="AG28" s="168" t="s">
        <v>5348</v>
      </c>
      <c r="AH28" s="126"/>
      <c r="AI28" s="126"/>
      <c r="AJ28" s="133" t="s">
        <v>369</v>
      </c>
      <c r="AK28" s="128"/>
      <c r="AL28" s="129"/>
      <c r="AM28" s="129"/>
    </row>
    <row r="29" spans="1:39" ht="47.25" customHeight="1">
      <c r="A29" s="137">
        <f>SUBTOTAL(3,$B$3:B29)</f>
        <v>27</v>
      </c>
      <c r="B29" s="164" t="s">
        <v>376</v>
      </c>
      <c r="C29" s="165" t="s">
        <v>377</v>
      </c>
      <c r="D29" s="124" t="s">
        <v>378</v>
      </c>
      <c r="E29" s="124" t="s">
        <v>379</v>
      </c>
      <c r="F29" s="124" t="s">
        <v>380</v>
      </c>
      <c r="G29" s="137" t="s">
        <v>2345</v>
      </c>
      <c r="H29" s="124" t="s">
        <v>381</v>
      </c>
      <c r="I29" s="137" t="s">
        <v>40</v>
      </c>
      <c r="J29" s="173" t="s">
        <v>382</v>
      </c>
      <c r="K29" s="124" t="s">
        <v>41</v>
      </c>
      <c r="L29" s="137" t="s">
        <v>42</v>
      </c>
      <c r="M29" s="124" t="s">
        <v>43</v>
      </c>
      <c r="N29" s="166">
        <v>44866</v>
      </c>
      <c r="O29" s="124" t="s">
        <v>44</v>
      </c>
      <c r="P29" s="137" t="s">
        <v>2347</v>
      </c>
      <c r="Q29" s="137" t="s">
        <v>3676</v>
      </c>
      <c r="R29" s="124" t="s">
        <v>383</v>
      </c>
      <c r="S29" s="124">
        <f>VLOOKUP(B29,'[1]SN Salary Sheet'!$A$4:$D$207,4,0)</f>
        <v>28111</v>
      </c>
      <c r="T29" s="125">
        <v>101210948254</v>
      </c>
      <c r="U29" s="126" t="s">
        <v>385</v>
      </c>
      <c r="V29" s="126" t="s">
        <v>384</v>
      </c>
      <c r="W29" s="126" t="s">
        <v>6472</v>
      </c>
      <c r="X29" s="126" t="s">
        <v>386</v>
      </c>
      <c r="Y29" s="167" t="s">
        <v>51</v>
      </c>
      <c r="Z29" s="126" t="s">
        <v>50</v>
      </c>
      <c r="AA29" s="167" t="s">
        <v>6473</v>
      </c>
      <c r="AB29" s="167" t="s">
        <v>6473</v>
      </c>
      <c r="AC29" s="164" t="s">
        <v>376</v>
      </c>
      <c r="AD29" s="140"/>
      <c r="AE29" s="126"/>
      <c r="AF29" s="126"/>
      <c r="AG29" s="168" t="s">
        <v>5368</v>
      </c>
      <c r="AH29" s="126"/>
      <c r="AI29" s="126"/>
      <c r="AJ29" s="133" t="s">
        <v>382</v>
      </c>
      <c r="AK29" s="128"/>
      <c r="AL29" s="129"/>
      <c r="AM29" s="129"/>
    </row>
    <row r="30" spans="1:39" ht="47.25" customHeight="1">
      <c r="A30" s="137">
        <f>SUBTOTAL(3,$B$3:B30)</f>
        <v>28</v>
      </c>
      <c r="B30" s="169" t="s">
        <v>387</v>
      </c>
      <c r="C30" s="124" t="s">
        <v>388</v>
      </c>
      <c r="D30" s="124" t="s">
        <v>389</v>
      </c>
      <c r="E30" s="124" t="s">
        <v>390</v>
      </c>
      <c r="F30" s="124" t="s">
        <v>391</v>
      </c>
      <c r="G30" s="137" t="s">
        <v>2345</v>
      </c>
      <c r="H30" s="124" t="s">
        <v>392</v>
      </c>
      <c r="I30" s="137" t="s">
        <v>40</v>
      </c>
      <c r="J30" s="173" t="s">
        <v>393</v>
      </c>
      <c r="K30" s="124" t="s">
        <v>41</v>
      </c>
      <c r="L30" s="137" t="s">
        <v>42</v>
      </c>
      <c r="M30" s="124" t="s">
        <v>43</v>
      </c>
      <c r="N30" s="166">
        <v>44866</v>
      </c>
      <c r="O30" s="124" t="s">
        <v>44</v>
      </c>
      <c r="P30" s="137" t="s">
        <v>2347</v>
      </c>
      <c r="Q30" s="137" t="s">
        <v>3676</v>
      </c>
      <c r="R30" s="124" t="s">
        <v>394</v>
      </c>
      <c r="S30" s="124" t="e">
        <f>VLOOKUP(B30,'[1]SN Salary Sheet'!$A$4:$D$207,4,0)</f>
        <v>#N/A</v>
      </c>
      <c r="T30" s="125">
        <v>101378318614</v>
      </c>
      <c r="U30" s="126" t="s">
        <v>396</v>
      </c>
      <c r="V30" s="126" t="s">
        <v>395</v>
      </c>
      <c r="W30" s="126" t="s">
        <v>397</v>
      </c>
      <c r="X30" s="126">
        <v>20309509565</v>
      </c>
      <c r="Y30" s="167" t="s">
        <v>65</v>
      </c>
      <c r="Z30" s="126" t="s">
        <v>398</v>
      </c>
      <c r="AA30" s="167" t="s">
        <v>399</v>
      </c>
      <c r="AB30" s="167" t="s">
        <v>399</v>
      </c>
      <c r="AC30" s="164" t="s">
        <v>387</v>
      </c>
      <c r="AD30" s="140"/>
      <c r="AE30" s="126"/>
      <c r="AF30" s="126"/>
      <c r="AG30" s="168" t="s">
        <v>5313</v>
      </c>
      <c r="AH30" s="126"/>
      <c r="AI30" s="126"/>
      <c r="AJ30" s="133" t="s">
        <v>393</v>
      </c>
      <c r="AK30" s="128"/>
      <c r="AL30" s="129"/>
      <c r="AM30" s="129"/>
    </row>
    <row r="31" spans="1:39" ht="47.25" customHeight="1">
      <c r="A31" s="137">
        <f>SUBTOTAL(3,$B$3:B31)</f>
        <v>29</v>
      </c>
      <c r="B31" s="169" t="s">
        <v>400</v>
      </c>
      <c r="C31" s="124" t="s">
        <v>401</v>
      </c>
      <c r="D31" s="124" t="s">
        <v>3690</v>
      </c>
      <c r="E31" s="124" t="s">
        <v>402</v>
      </c>
      <c r="F31" s="124" t="s">
        <v>403</v>
      </c>
      <c r="G31" s="137" t="s">
        <v>2345</v>
      </c>
      <c r="H31" s="124" t="s">
        <v>404</v>
      </c>
      <c r="I31" s="173" t="s">
        <v>40</v>
      </c>
      <c r="J31" s="173" t="s">
        <v>405</v>
      </c>
      <c r="K31" s="174" t="s">
        <v>41</v>
      </c>
      <c r="L31" s="137" t="s">
        <v>42</v>
      </c>
      <c r="M31" s="124" t="s">
        <v>43</v>
      </c>
      <c r="N31" s="166">
        <v>44866</v>
      </c>
      <c r="O31" s="124" t="s">
        <v>44</v>
      </c>
      <c r="P31" s="137" t="s">
        <v>2347</v>
      </c>
      <c r="Q31" s="137" t="s">
        <v>3676</v>
      </c>
      <c r="R31" s="124" t="s">
        <v>406</v>
      </c>
      <c r="S31" s="124" t="e">
        <f>VLOOKUP(B31,'[1]SN Salary Sheet'!$A$4:$D$207,4,0)</f>
        <v>#N/A</v>
      </c>
      <c r="T31" s="125">
        <v>101772958493</v>
      </c>
      <c r="U31" s="126" t="s">
        <v>408</v>
      </c>
      <c r="V31" s="131" t="s">
        <v>407</v>
      </c>
      <c r="W31" s="135" t="s">
        <v>409</v>
      </c>
      <c r="X31" s="132" t="s">
        <v>410</v>
      </c>
      <c r="Y31" s="175" t="s">
        <v>146</v>
      </c>
      <c r="Z31" s="172" t="s">
        <v>3677</v>
      </c>
      <c r="AA31" s="167" t="s">
        <v>411</v>
      </c>
      <c r="AB31" s="167" t="s">
        <v>411</v>
      </c>
      <c r="AC31" s="164" t="s">
        <v>400</v>
      </c>
      <c r="AD31" s="140"/>
      <c r="AE31" s="126"/>
      <c r="AF31" s="126"/>
      <c r="AG31" s="168" t="s">
        <v>5435</v>
      </c>
      <c r="AH31" s="126"/>
      <c r="AI31" s="126"/>
      <c r="AJ31" s="133" t="s">
        <v>405</v>
      </c>
      <c r="AK31" s="128"/>
      <c r="AL31" s="129"/>
      <c r="AM31" s="129"/>
    </row>
    <row r="32" spans="1:39" ht="47.25" customHeight="1">
      <c r="A32" s="137">
        <f>SUBTOTAL(3,$B$3:B32)</f>
        <v>30</v>
      </c>
      <c r="B32" s="164" t="s">
        <v>412</v>
      </c>
      <c r="C32" s="165" t="s">
        <v>413</v>
      </c>
      <c r="D32" s="124" t="s">
        <v>414</v>
      </c>
      <c r="E32" s="124" t="s">
        <v>415</v>
      </c>
      <c r="F32" s="124" t="s">
        <v>416</v>
      </c>
      <c r="G32" s="137" t="s">
        <v>2389</v>
      </c>
      <c r="H32" s="124" t="s">
        <v>417</v>
      </c>
      <c r="I32" s="137" t="s">
        <v>40</v>
      </c>
      <c r="J32" s="173" t="s">
        <v>418</v>
      </c>
      <c r="K32" s="124" t="s">
        <v>280</v>
      </c>
      <c r="L32" s="137" t="s">
        <v>42</v>
      </c>
      <c r="M32" s="124" t="s">
        <v>43</v>
      </c>
      <c r="N32" s="166">
        <v>44866</v>
      </c>
      <c r="O32" s="124" t="s">
        <v>44</v>
      </c>
      <c r="P32" s="137" t="s">
        <v>2347</v>
      </c>
      <c r="Q32" s="137" t="s">
        <v>3676</v>
      </c>
      <c r="R32" s="124" t="s">
        <v>419</v>
      </c>
      <c r="S32" s="124">
        <f>VLOOKUP(B32,'[1]SN Salary Sheet'!$A$4:$D$207,4,0)</f>
        <v>28130</v>
      </c>
      <c r="T32" s="125">
        <v>101586820533</v>
      </c>
      <c r="U32" s="126" t="s">
        <v>421</v>
      </c>
      <c r="V32" s="126" t="s">
        <v>420</v>
      </c>
      <c r="W32" s="126" t="s">
        <v>422</v>
      </c>
      <c r="X32" s="126" t="s">
        <v>423</v>
      </c>
      <c r="Y32" s="167" t="s">
        <v>132</v>
      </c>
      <c r="Z32" s="126" t="s">
        <v>374</v>
      </c>
      <c r="AA32" s="167" t="s">
        <v>424</v>
      </c>
      <c r="AB32" s="167" t="s">
        <v>424</v>
      </c>
      <c r="AC32" s="164" t="s">
        <v>412</v>
      </c>
      <c r="AD32" s="140"/>
      <c r="AE32" s="126"/>
      <c r="AF32" s="126"/>
      <c r="AG32" s="168" t="s">
        <v>5347</v>
      </c>
      <c r="AH32" s="126"/>
      <c r="AI32" s="126"/>
      <c r="AJ32" s="133" t="s">
        <v>418</v>
      </c>
      <c r="AK32" s="128"/>
      <c r="AL32" s="129"/>
      <c r="AM32" s="129"/>
    </row>
    <row r="33" spans="1:39" ht="47.25" customHeight="1">
      <c r="A33" s="137">
        <f>SUBTOTAL(3,$B$3:B33)</f>
        <v>31</v>
      </c>
      <c r="B33" s="164" t="s">
        <v>425</v>
      </c>
      <c r="C33" s="165" t="s">
        <v>426</v>
      </c>
      <c r="D33" s="124" t="s">
        <v>427</v>
      </c>
      <c r="E33" s="124" t="s">
        <v>428</v>
      </c>
      <c r="F33" s="124" t="s">
        <v>429</v>
      </c>
      <c r="G33" s="137" t="s">
        <v>2345</v>
      </c>
      <c r="H33" s="124" t="s">
        <v>430</v>
      </c>
      <c r="I33" s="137" t="s">
        <v>40</v>
      </c>
      <c r="J33" s="173" t="s">
        <v>265</v>
      </c>
      <c r="K33" s="124" t="s">
        <v>41</v>
      </c>
      <c r="L33" s="137" t="s">
        <v>42</v>
      </c>
      <c r="M33" s="124" t="s">
        <v>43</v>
      </c>
      <c r="N33" s="166">
        <v>44866</v>
      </c>
      <c r="O33" s="124" t="s">
        <v>44</v>
      </c>
      <c r="P33" s="137" t="s">
        <v>2347</v>
      </c>
      <c r="Q33" s="137" t="s">
        <v>3676</v>
      </c>
      <c r="R33" s="124" t="s">
        <v>431</v>
      </c>
      <c r="S33" s="124">
        <f>VLOOKUP(B33,'[1]SN Salary Sheet'!$A$4:$D$207,4,0)</f>
        <v>28297</v>
      </c>
      <c r="T33" s="130">
        <v>101784791972</v>
      </c>
      <c r="U33" s="126" t="s">
        <v>433</v>
      </c>
      <c r="V33" s="131" t="s">
        <v>432</v>
      </c>
      <c r="W33" s="126" t="s">
        <v>434</v>
      </c>
      <c r="X33" s="126" t="s">
        <v>435</v>
      </c>
      <c r="Y33" s="167" t="s">
        <v>326</v>
      </c>
      <c r="Z33" s="126" t="s">
        <v>436</v>
      </c>
      <c r="AA33" s="167" t="s">
        <v>437</v>
      </c>
      <c r="AB33" s="167" t="s">
        <v>437</v>
      </c>
      <c r="AC33" s="164" t="s">
        <v>425</v>
      </c>
      <c r="AD33" s="140"/>
      <c r="AE33" s="126"/>
      <c r="AF33" s="126"/>
      <c r="AG33" s="168" t="s">
        <v>5425</v>
      </c>
      <c r="AH33" s="126"/>
      <c r="AI33" s="126"/>
      <c r="AJ33" s="133" t="s">
        <v>265</v>
      </c>
      <c r="AK33" s="128"/>
      <c r="AL33" s="129"/>
      <c r="AM33" s="129"/>
    </row>
    <row r="34" spans="1:39" ht="47.25" customHeight="1">
      <c r="A34" s="137">
        <f>SUBTOTAL(3,$B$3:B34)</f>
        <v>32</v>
      </c>
      <c r="B34" s="164" t="s">
        <v>438</v>
      </c>
      <c r="C34" s="165" t="s">
        <v>439</v>
      </c>
      <c r="D34" s="124" t="s">
        <v>439</v>
      </c>
      <c r="E34" s="124" t="s">
        <v>415</v>
      </c>
      <c r="F34" s="124" t="s">
        <v>440</v>
      </c>
      <c r="G34" s="137" t="s">
        <v>2345</v>
      </c>
      <c r="H34" s="124" t="s">
        <v>441</v>
      </c>
      <c r="I34" s="137" t="s">
        <v>40</v>
      </c>
      <c r="J34" s="173" t="s">
        <v>442</v>
      </c>
      <c r="K34" s="124" t="s">
        <v>41</v>
      </c>
      <c r="L34" s="137" t="s">
        <v>42</v>
      </c>
      <c r="M34" s="124" t="s">
        <v>43</v>
      </c>
      <c r="N34" s="166">
        <v>44866</v>
      </c>
      <c r="O34" s="124" t="s">
        <v>44</v>
      </c>
      <c r="P34" s="137" t="s">
        <v>2347</v>
      </c>
      <c r="Q34" s="137" t="s">
        <v>3676</v>
      </c>
      <c r="R34" s="124">
        <v>7698779595</v>
      </c>
      <c r="S34" s="124">
        <f>VLOOKUP(B34,'[1]SN Salary Sheet'!$A$4:$D$207,4,0)</f>
        <v>28054</v>
      </c>
      <c r="T34" s="125">
        <v>101545405085</v>
      </c>
      <c r="U34" s="126" t="s">
        <v>444</v>
      </c>
      <c r="V34" s="126" t="s">
        <v>443</v>
      </c>
      <c r="W34" s="126" t="s">
        <v>445</v>
      </c>
      <c r="X34" s="126" t="s">
        <v>446</v>
      </c>
      <c r="Y34" s="167" t="s">
        <v>146</v>
      </c>
      <c r="Z34" s="126" t="s">
        <v>447</v>
      </c>
      <c r="AA34" s="167" t="s">
        <v>448</v>
      </c>
      <c r="AB34" s="167" t="s">
        <v>448</v>
      </c>
      <c r="AC34" s="164" t="s">
        <v>438</v>
      </c>
      <c r="AD34" s="140"/>
      <c r="AE34" s="126"/>
      <c r="AF34" s="126"/>
      <c r="AG34" s="168" t="s">
        <v>5418</v>
      </c>
      <c r="AH34" s="126"/>
      <c r="AI34" s="126"/>
      <c r="AJ34" s="133" t="s">
        <v>442</v>
      </c>
      <c r="AK34" s="128"/>
      <c r="AL34" s="129"/>
      <c r="AM34" s="129"/>
    </row>
    <row r="35" spans="1:39" ht="47.25" customHeight="1">
      <c r="A35" s="137">
        <f>SUBTOTAL(3,$B$3:B35)</f>
        <v>33</v>
      </c>
      <c r="B35" s="164" t="s">
        <v>449</v>
      </c>
      <c r="C35" s="165" t="s">
        <v>450</v>
      </c>
      <c r="D35" s="124" t="s">
        <v>451</v>
      </c>
      <c r="E35" s="124" t="s">
        <v>452</v>
      </c>
      <c r="F35" s="124" t="s">
        <v>453</v>
      </c>
      <c r="G35" s="137" t="s">
        <v>2345</v>
      </c>
      <c r="H35" s="124" t="s">
        <v>454</v>
      </c>
      <c r="I35" s="137" t="s">
        <v>40</v>
      </c>
      <c r="J35" s="173" t="s">
        <v>455</v>
      </c>
      <c r="K35" s="124" t="s">
        <v>41</v>
      </c>
      <c r="L35" s="137" t="s">
        <v>42</v>
      </c>
      <c r="M35" s="124" t="s">
        <v>43</v>
      </c>
      <c r="N35" s="166">
        <v>44866</v>
      </c>
      <c r="O35" s="124" t="s">
        <v>44</v>
      </c>
      <c r="P35" s="137" t="s">
        <v>2347</v>
      </c>
      <c r="Q35" s="137" t="s">
        <v>3676</v>
      </c>
      <c r="R35" s="124" t="s">
        <v>456</v>
      </c>
      <c r="S35" s="124">
        <f>VLOOKUP(B35,'[1]SN Salary Sheet'!$A$4:$D$207,4,0)</f>
        <v>28112</v>
      </c>
      <c r="T35" s="125">
        <v>101545045126</v>
      </c>
      <c r="U35" s="176" t="s">
        <v>6492</v>
      </c>
      <c r="V35" s="126" t="s">
        <v>457</v>
      </c>
      <c r="W35" s="176" t="s">
        <v>458</v>
      </c>
      <c r="X35" s="126" t="s">
        <v>459</v>
      </c>
      <c r="Y35" s="167" t="s">
        <v>146</v>
      </c>
      <c r="Z35" s="126" t="s">
        <v>460</v>
      </c>
      <c r="AA35" s="167" t="s">
        <v>461</v>
      </c>
      <c r="AB35" s="167" t="s">
        <v>461</v>
      </c>
      <c r="AC35" s="164" t="s">
        <v>449</v>
      </c>
      <c r="AD35" s="140"/>
      <c r="AE35" s="126"/>
      <c r="AF35" s="126"/>
      <c r="AG35" s="168" t="s">
        <v>5358</v>
      </c>
      <c r="AH35" s="126"/>
      <c r="AI35" s="126"/>
      <c r="AJ35" s="133" t="s">
        <v>455</v>
      </c>
      <c r="AK35" s="128"/>
      <c r="AL35" s="129"/>
      <c r="AM35" s="129"/>
    </row>
    <row r="36" spans="1:39" ht="47.25" customHeight="1">
      <c r="A36" s="137">
        <f>SUBTOTAL(3,$B$3:B36)</f>
        <v>34</v>
      </c>
      <c r="B36" s="169" t="s">
        <v>462</v>
      </c>
      <c r="C36" s="124" t="s">
        <v>463</v>
      </c>
      <c r="D36" s="124" t="s">
        <v>463</v>
      </c>
      <c r="E36" s="124" t="s">
        <v>161</v>
      </c>
      <c r="F36" s="124" t="s">
        <v>464</v>
      </c>
      <c r="G36" s="137" t="s">
        <v>2345</v>
      </c>
      <c r="H36" s="124" t="s">
        <v>465</v>
      </c>
      <c r="I36" s="137" t="s">
        <v>40</v>
      </c>
      <c r="J36" s="173" t="s">
        <v>466</v>
      </c>
      <c r="K36" s="124" t="s">
        <v>280</v>
      </c>
      <c r="L36" s="137" t="s">
        <v>42</v>
      </c>
      <c r="M36" s="124" t="s">
        <v>43</v>
      </c>
      <c r="N36" s="166">
        <v>44866</v>
      </c>
      <c r="O36" s="124" t="s">
        <v>44</v>
      </c>
      <c r="P36" s="137" t="s">
        <v>2347</v>
      </c>
      <c r="Q36" s="137" t="s">
        <v>3676</v>
      </c>
      <c r="R36" s="124" t="s">
        <v>467</v>
      </c>
      <c r="S36" s="124" t="e">
        <f>VLOOKUP(B36,'[1]SN Salary Sheet'!$A$4:$D$207,4,0)</f>
        <v>#N/A</v>
      </c>
      <c r="T36" s="125">
        <v>101753281094</v>
      </c>
      <c r="U36" s="126" t="s">
        <v>6178</v>
      </c>
      <c r="V36" s="126" t="s">
        <v>468</v>
      </c>
      <c r="W36" s="126" t="s">
        <v>469</v>
      </c>
      <c r="X36" s="126" t="s">
        <v>470</v>
      </c>
      <c r="Y36" s="167" t="s">
        <v>472</v>
      </c>
      <c r="Z36" s="126" t="s">
        <v>471</v>
      </c>
      <c r="AA36" s="167" t="s">
        <v>473</v>
      </c>
      <c r="AB36" s="167" t="s">
        <v>473</v>
      </c>
      <c r="AC36" s="164" t="s">
        <v>462</v>
      </c>
      <c r="AD36" s="140"/>
      <c r="AE36" s="126"/>
      <c r="AF36" s="126"/>
      <c r="AG36" s="168" t="s">
        <v>5296</v>
      </c>
      <c r="AH36" s="126"/>
      <c r="AI36" s="126"/>
      <c r="AJ36" s="133" t="s">
        <v>466</v>
      </c>
      <c r="AK36" s="128"/>
      <c r="AL36" s="129"/>
      <c r="AM36" s="129"/>
    </row>
    <row r="37" spans="1:39" ht="47.25" customHeight="1">
      <c r="A37" s="137">
        <f>SUBTOTAL(3,$B$3:B37)</f>
        <v>35</v>
      </c>
      <c r="B37" s="164" t="s">
        <v>474</v>
      </c>
      <c r="C37" s="165" t="s">
        <v>475</v>
      </c>
      <c r="D37" s="124" t="s">
        <v>476</v>
      </c>
      <c r="E37" s="124" t="s">
        <v>477</v>
      </c>
      <c r="F37" s="124" t="s">
        <v>478</v>
      </c>
      <c r="G37" s="137" t="s">
        <v>2345</v>
      </c>
      <c r="H37" s="124" t="s">
        <v>479</v>
      </c>
      <c r="I37" s="137" t="s">
        <v>40</v>
      </c>
      <c r="J37" s="173" t="s">
        <v>480</v>
      </c>
      <c r="K37" s="124" t="s">
        <v>41</v>
      </c>
      <c r="L37" s="137" t="s">
        <v>42</v>
      </c>
      <c r="M37" s="124" t="s">
        <v>43</v>
      </c>
      <c r="N37" s="166">
        <v>44866</v>
      </c>
      <c r="O37" s="124" t="s">
        <v>44</v>
      </c>
      <c r="P37" s="137" t="s">
        <v>2347</v>
      </c>
      <c r="Q37" s="137" t="s">
        <v>3676</v>
      </c>
      <c r="R37" s="124" t="s">
        <v>481</v>
      </c>
      <c r="S37" s="124">
        <f>VLOOKUP(B37,'[1]SN Salary Sheet'!$A$4:$D$207,4,0)</f>
        <v>28143</v>
      </c>
      <c r="T37" s="125">
        <v>101402181438</v>
      </c>
      <c r="U37" s="126" t="s">
        <v>483</v>
      </c>
      <c r="V37" s="126" t="s">
        <v>482</v>
      </c>
      <c r="W37" s="126" t="s">
        <v>484</v>
      </c>
      <c r="X37" s="126" t="s">
        <v>485</v>
      </c>
      <c r="Y37" s="167" t="s">
        <v>487</v>
      </c>
      <c r="Z37" s="126" t="s">
        <v>486</v>
      </c>
      <c r="AA37" s="167" t="s">
        <v>488</v>
      </c>
      <c r="AB37" s="167" t="s">
        <v>488</v>
      </c>
      <c r="AC37" s="164" t="s">
        <v>474</v>
      </c>
      <c r="AD37" s="140"/>
      <c r="AE37" s="126"/>
      <c r="AF37" s="126"/>
      <c r="AG37" s="168" t="s">
        <v>5427</v>
      </c>
      <c r="AH37" s="126"/>
      <c r="AI37" s="126"/>
      <c r="AJ37" s="133" t="s">
        <v>480</v>
      </c>
      <c r="AK37" s="128"/>
      <c r="AL37" s="129"/>
      <c r="AM37" s="129"/>
    </row>
    <row r="38" spans="1:39" ht="47.25" customHeight="1">
      <c r="A38" s="137">
        <f>SUBTOTAL(3,$B$3:B38)</f>
        <v>36</v>
      </c>
      <c r="B38" s="169" t="s">
        <v>489</v>
      </c>
      <c r="C38" s="124" t="s">
        <v>490</v>
      </c>
      <c r="D38" s="124" t="s">
        <v>491</v>
      </c>
      <c r="E38" s="124" t="s">
        <v>492</v>
      </c>
      <c r="F38" s="124" t="s">
        <v>493</v>
      </c>
      <c r="G38" s="137" t="s">
        <v>2345</v>
      </c>
      <c r="H38" s="124" t="s">
        <v>494</v>
      </c>
      <c r="I38" s="137" t="s">
        <v>40</v>
      </c>
      <c r="J38" s="173" t="s">
        <v>495</v>
      </c>
      <c r="K38" s="124" t="s">
        <v>41</v>
      </c>
      <c r="L38" s="137" t="s">
        <v>42</v>
      </c>
      <c r="M38" s="124" t="s">
        <v>43</v>
      </c>
      <c r="N38" s="166">
        <v>44866</v>
      </c>
      <c r="O38" s="124" t="s">
        <v>44</v>
      </c>
      <c r="P38" s="137" t="s">
        <v>2347</v>
      </c>
      <c r="Q38" s="137" t="s">
        <v>3676</v>
      </c>
      <c r="R38" s="124" t="s">
        <v>496</v>
      </c>
      <c r="S38" s="124" t="e">
        <f>VLOOKUP(B38,'[1]SN Salary Sheet'!$A$4:$D$207,4,0)</f>
        <v>#N/A</v>
      </c>
      <c r="T38" s="125">
        <v>101772958527</v>
      </c>
      <c r="U38" s="126" t="s">
        <v>498</v>
      </c>
      <c r="V38" s="131" t="s">
        <v>497</v>
      </c>
      <c r="W38" s="126" t="s">
        <v>499</v>
      </c>
      <c r="X38" s="126" t="s">
        <v>500</v>
      </c>
      <c r="Y38" s="167" t="s">
        <v>146</v>
      </c>
      <c r="Z38" s="126" t="s">
        <v>501</v>
      </c>
      <c r="AA38" s="167" t="s">
        <v>502</v>
      </c>
      <c r="AB38" s="167" t="s">
        <v>502</v>
      </c>
      <c r="AC38" s="164" t="s">
        <v>489</v>
      </c>
      <c r="AD38" s="140"/>
      <c r="AE38" s="126"/>
      <c r="AF38" s="126"/>
      <c r="AG38" s="168" t="s">
        <v>5367</v>
      </c>
      <c r="AH38" s="126"/>
      <c r="AI38" s="126"/>
      <c r="AJ38" s="133" t="s">
        <v>495</v>
      </c>
      <c r="AK38" s="128"/>
      <c r="AL38" s="129"/>
      <c r="AM38" s="129"/>
    </row>
    <row r="39" spans="1:39" ht="47.25" customHeight="1">
      <c r="A39" s="137">
        <f>SUBTOTAL(3,$B$3:B39)</f>
        <v>37</v>
      </c>
      <c r="B39" s="164" t="s">
        <v>503</v>
      </c>
      <c r="C39" s="165" t="s">
        <v>504</v>
      </c>
      <c r="D39" s="124" t="s">
        <v>505</v>
      </c>
      <c r="E39" s="124" t="s">
        <v>212</v>
      </c>
      <c r="F39" s="124" t="s">
        <v>506</v>
      </c>
      <c r="G39" s="137" t="s">
        <v>2345</v>
      </c>
      <c r="H39" s="124" t="s">
        <v>507</v>
      </c>
      <c r="I39" s="173" t="s">
        <v>40</v>
      </c>
      <c r="J39" s="173">
        <v>35915</v>
      </c>
      <c r="K39" s="174" t="s">
        <v>41</v>
      </c>
      <c r="L39" s="137" t="s">
        <v>42</v>
      </c>
      <c r="M39" s="124" t="s">
        <v>43</v>
      </c>
      <c r="N39" s="166">
        <v>44866</v>
      </c>
      <c r="O39" s="124" t="s">
        <v>44</v>
      </c>
      <c r="P39" s="137" t="s">
        <v>2347</v>
      </c>
      <c r="Q39" s="137" t="s">
        <v>3676</v>
      </c>
      <c r="R39" s="177" t="s">
        <v>508</v>
      </c>
      <c r="S39" s="124">
        <f>VLOOKUP(B39,'[1]SN Salary Sheet'!$A$4:$D$207,4,0)</f>
        <v>18925</v>
      </c>
      <c r="T39" s="134">
        <v>101379470057</v>
      </c>
      <c r="U39" s="126" t="s">
        <v>510</v>
      </c>
      <c r="V39" s="135" t="s">
        <v>509</v>
      </c>
      <c r="W39" s="135" t="s">
        <v>511</v>
      </c>
      <c r="X39" s="135" t="s">
        <v>512</v>
      </c>
      <c r="Y39" s="167" t="s">
        <v>65</v>
      </c>
      <c r="Z39" s="126" t="s">
        <v>513</v>
      </c>
      <c r="AA39" s="167" t="s">
        <v>514</v>
      </c>
      <c r="AB39" s="167" t="s">
        <v>514</v>
      </c>
      <c r="AC39" s="164" t="s">
        <v>503</v>
      </c>
      <c r="AD39" s="140"/>
      <c r="AE39" s="126"/>
      <c r="AF39" s="126"/>
      <c r="AG39" s="168" t="s">
        <v>5285</v>
      </c>
      <c r="AH39" s="126"/>
      <c r="AI39" s="126"/>
      <c r="AJ39" s="133">
        <v>35915</v>
      </c>
      <c r="AK39" s="128"/>
      <c r="AL39" s="129"/>
      <c r="AM39" s="129"/>
    </row>
    <row r="40" spans="1:39" ht="47.25" customHeight="1">
      <c r="A40" s="137">
        <f>SUBTOTAL(3,$B$3:B40)</f>
        <v>38</v>
      </c>
      <c r="B40" s="164" t="s">
        <v>515</v>
      </c>
      <c r="C40" s="165" t="s">
        <v>516</v>
      </c>
      <c r="D40" s="124" t="s">
        <v>517</v>
      </c>
      <c r="E40" s="124" t="s">
        <v>518</v>
      </c>
      <c r="F40" s="124" t="s">
        <v>519</v>
      </c>
      <c r="G40" s="137" t="s">
        <v>2345</v>
      </c>
      <c r="H40" s="124" t="s">
        <v>520</v>
      </c>
      <c r="I40" s="173" t="s">
        <v>40</v>
      </c>
      <c r="J40" s="173">
        <v>35582</v>
      </c>
      <c r="K40" s="174" t="s">
        <v>41</v>
      </c>
      <c r="L40" s="137" t="s">
        <v>42</v>
      </c>
      <c r="M40" s="124" t="s">
        <v>43</v>
      </c>
      <c r="N40" s="166">
        <v>44866</v>
      </c>
      <c r="O40" s="124" t="s">
        <v>44</v>
      </c>
      <c r="P40" s="137" t="s">
        <v>2347</v>
      </c>
      <c r="Q40" s="137" t="s">
        <v>3676</v>
      </c>
      <c r="R40" s="177" t="s">
        <v>521</v>
      </c>
      <c r="S40" s="124">
        <f>VLOOKUP(B40,'[1]SN Salary Sheet'!$A$4:$D$207,4,0)</f>
        <v>28039</v>
      </c>
      <c r="T40" s="134">
        <v>101545045190</v>
      </c>
      <c r="U40" s="126" t="s">
        <v>523</v>
      </c>
      <c r="V40" s="135" t="s">
        <v>522</v>
      </c>
      <c r="W40" s="135" t="s">
        <v>524</v>
      </c>
      <c r="X40" s="135" t="s">
        <v>525</v>
      </c>
      <c r="Y40" s="167" t="s">
        <v>326</v>
      </c>
      <c r="Z40" s="126" t="s">
        <v>526</v>
      </c>
      <c r="AA40" s="167" t="s">
        <v>527</v>
      </c>
      <c r="AB40" s="167" t="s">
        <v>527</v>
      </c>
      <c r="AC40" s="164" t="s">
        <v>515</v>
      </c>
      <c r="AD40" s="140"/>
      <c r="AE40" s="126"/>
      <c r="AF40" s="126"/>
      <c r="AG40" s="168" t="s">
        <v>5580</v>
      </c>
      <c r="AH40" s="126"/>
      <c r="AI40" s="126"/>
      <c r="AJ40" s="133">
        <v>35582</v>
      </c>
      <c r="AK40" s="128"/>
      <c r="AL40" s="129"/>
      <c r="AM40" s="129"/>
    </row>
    <row r="41" spans="1:39" ht="47.25" customHeight="1">
      <c r="A41" s="137">
        <f>SUBTOTAL(3,$B$3:B41)</f>
        <v>39</v>
      </c>
      <c r="B41" s="169" t="s">
        <v>528</v>
      </c>
      <c r="C41" s="124" t="s">
        <v>529</v>
      </c>
      <c r="D41" s="124" t="s">
        <v>530</v>
      </c>
      <c r="E41" s="124" t="s">
        <v>531</v>
      </c>
      <c r="F41" s="124" t="s">
        <v>532</v>
      </c>
      <c r="G41" s="137" t="s">
        <v>2389</v>
      </c>
      <c r="H41" s="124" t="s">
        <v>533</v>
      </c>
      <c r="I41" s="173" t="s">
        <v>40</v>
      </c>
      <c r="J41" s="173">
        <v>35294</v>
      </c>
      <c r="K41" s="174" t="s">
        <v>41</v>
      </c>
      <c r="L41" s="137" t="s">
        <v>42</v>
      </c>
      <c r="M41" s="124" t="s">
        <v>43</v>
      </c>
      <c r="N41" s="166">
        <v>44866</v>
      </c>
      <c r="O41" s="124" t="s">
        <v>44</v>
      </c>
      <c r="P41" s="137" t="s">
        <v>2347</v>
      </c>
      <c r="Q41" s="137" t="s">
        <v>3676</v>
      </c>
      <c r="R41" s="177" t="s">
        <v>534</v>
      </c>
      <c r="S41" s="124" t="e">
        <f>VLOOKUP(B41,'[1]SN Salary Sheet'!$A$4:$D$207,4,0)</f>
        <v>#N/A</v>
      </c>
      <c r="T41" s="134">
        <v>101309235546</v>
      </c>
      <c r="U41" s="126" t="s">
        <v>536</v>
      </c>
      <c r="V41" s="135" t="s">
        <v>535</v>
      </c>
      <c r="W41" s="135" t="s">
        <v>537</v>
      </c>
      <c r="X41" s="135" t="s">
        <v>538</v>
      </c>
      <c r="Y41" s="167" t="s">
        <v>132</v>
      </c>
      <c r="Z41" s="126" t="s">
        <v>539</v>
      </c>
      <c r="AA41" s="167" t="s">
        <v>540</v>
      </c>
      <c r="AB41" s="167" t="s">
        <v>540</v>
      </c>
      <c r="AC41" s="164" t="s">
        <v>528</v>
      </c>
      <c r="AD41" s="140"/>
      <c r="AE41" s="126"/>
      <c r="AF41" s="126"/>
      <c r="AG41" s="168" t="s">
        <v>5083</v>
      </c>
      <c r="AH41" s="126"/>
      <c r="AI41" s="126"/>
      <c r="AJ41" s="133">
        <v>35294</v>
      </c>
      <c r="AK41" s="128"/>
      <c r="AL41" s="129"/>
      <c r="AM41" s="129"/>
    </row>
    <row r="42" spans="1:39" ht="47.25" customHeight="1">
      <c r="A42" s="137">
        <f>SUBTOTAL(3,$B$3:B42)</f>
        <v>40</v>
      </c>
      <c r="B42" s="164" t="s">
        <v>541</v>
      </c>
      <c r="C42" s="165" t="s">
        <v>542</v>
      </c>
      <c r="D42" s="124" t="s">
        <v>543</v>
      </c>
      <c r="E42" s="124" t="s">
        <v>544</v>
      </c>
      <c r="F42" s="124" t="s">
        <v>545</v>
      </c>
      <c r="G42" s="137" t="s">
        <v>2345</v>
      </c>
      <c r="H42" s="124" t="s">
        <v>441</v>
      </c>
      <c r="I42" s="173" t="s">
        <v>40</v>
      </c>
      <c r="J42" s="173">
        <v>36037</v>
      </c>
      <c r="K42" s="174" t="s">
        <v>41</v>
      </c>
      <c r="L42" s="137" t="s">
        <v>42</v>
      </c>
      <c r="M42" s="124" t="s">
        <v>43</v>
      </c>
      <c r="N42" s="166">
        <v>44866</v>
      </c>
      <c r="O42" s="124" t="s">
        <v>44</v>
      </c>
      <c r="P42" s="137" t="s">
        <v>2347</v>
      </c>
      <c r="Q42" s="137" t="s">
        <v>3676</v>
      </c>
      <c r="R42" s="177" t="s">
        <v>546</v>
      </c>
      <c r="S42" s="124">
        <f>VLOOKUP(B42,'[1]SN Salary Sheet'!$A$4:$D$207,4,0)</f>
        <v>28155</v>
      </c>
      <c r="T42" s="134">
        <v>101616505397</v>
      </c>
      <c r="U42" s="126" t="s">
        <v>548</v>
      </c>
      <c r="V42" s="135" t="s">
        <v>547</v>
      </c>
      <c r="W42" s="135" t="s">
        <v>549</v>
      </c>
      <c r="X42" s="135" t="s">
        <v>550</v>
      </c>
      <c r="Y42" s="167" t="s">
        <v>552</v>
      </c>
      <c r="Z42" s="178" t="s">
        <v>551</v>
      </c>
      <c r="AA42" s="167" t="s">
        <v>553</v>
      </c>
      <c r="AB42" s="167" t="s">
        <v>553</v>
      </c>
      <c r="AC42" s="164" t="s">
        <v>541</v>
      </c>
      <c r="AD42" s="140"/>
      <c r="AE42" s="126"/>
      <c r="AF42" s="126"/>
      <c r="AG42" s="168" t="s">
        <v>5272</v>
      </c>
      <c r="AH42" s="126"/>
      <c r="AI42" s="126"/>
      <c r="AJ42" s="133">
        <v>36037</v>
      </c>
      <c r="AK42" s="128"/>
      <c r="AL42" s="129"/>
      <c r="AM42" s="129"/>
    </row>
    <row r="43" spans="1:39" ht="47.25" customHeight="1">
      <c r="A43" s="137">
        <f>SUBTOTAL(3,$B$3:B43)</f>
        <v>41</v>
      </c>
      <c r="B43" s="164" t="s">
        <v>554</v>
      </c>
      <c r="C43" s="165" t="s">
        <v>555</v>
      </c>
      <c r="D43" s="124" t="s">
        <v>556</v>
      </c>
      <c r="E43" s="124" t="s">
        <v>557</v>
      </c>
      <c r="F43" s="124" t="s">
        <v>558</v>
      </c>
      <c r="G43" s="137" t="s">
        <v>2389</v>
      </c>
      <c r="H43" s="124" t="s">
        <v>559</v>
      </c>
      <c r="I43" s="173" t="s">
        <v>40</v>
      </c>
      <c r="J43" s="173">
        <v>35036</v>
      </c>
      <c r="K43" s="174" t="s">
        <v>41</v>
      </c>
      <c r="L43" s="137" t="s">
        <v>42</v>
      </c>
      <c r="M43" s="124" t="s">
        <v>43</v>
      </c>
      <c r="N43" s="166">
        <v>44866</v>
      </c>
      <c r="O43" s="124" t="s">
        <v>44</v>
      </c>
      <c r="P43" s="137" t="s">
        <v>2347</v>
      </c>
      <c r="Q43" s="137" t="s">
        <v>3676</v>
      </c>
      <c r="R43" s="177" t="s">
        <v>560</v>
      </c>
      <c r="S43" s="124">
        <f>VLOOKUP(B43,'[1]SN Salary Sheet'!$A$4:$D$207,4,0)</f>
        <v>28169</v>
      </c>
      <c r="T43" s="125">
        <v>101503402026</v>
      </c>
      <c r="U43" s="126" t="s">
        <v>562</v>
      </c>
      <c r="V43" s="126" t="s">
        <v>561</v>
      </c>
      <c r="W43" s="135" t="s">
        <v>563</v>
      </c>
      <c r="X43" s="135" t="s">
        <v>564</v>
      </c>
      <c r="Y43" s="167" t="s">
        <v>146</v>
      </c>
      <c r="Z43" s="126" t="s">
        <v>565</v>
      </c>
      <c r="AA43" s="167" t="s">
        <v>566</v>
      </c>
      <c r="AB43" s="167" t="s">
        <v>566</v>
      </c>
      <c r="AC43" s="164" t="s">
        <v>554</v>
      </c>
      <c r="AD43" s="140"/>
      <c r="AE43" s="126"/>
      <c r="AF43" s="126"/>
      <c r="AG43" s="168" t="s">
        <v>5109</v>
      </c>
      <c r="AH43" s="126"/>
      <c r="AI43" s="126"/>
      <c r="AJ43" s="133">
        <v>35036</v>
      </c>
      <c r="AK43" s="128"/>
      <c r="AL43" s="129"/>
      <c r="AM43" s="129"/>
    </row>
    <row r="44" spans="1:39" ht="47.25" customHeight="1">
      <c r="A44" s="137">
        <f>SUBTOTAL(3,$B$3:B44)</f>
        <v>42</v>
      </c>
      <c r="B44" s="164" t="s">
        <v>567</v>
      </c>
      <c r="C44" s="165" t="s">
        <v>568</v>
      </c>
      <c r="D44" s="124" t="s">
        <v>568</v>
      </c>
      <c r="E44" s="124" t="s">
        <v>136</v>
      </c>
      <c r="F44" s="124" t="s">
        <v>569</v>
      </c>
      <c r="G44" s="137" t="s">
        <v>2345</v>
      </c>
      <c r="H44" s="124" t="s">
        <v>570</v>
      </c>
      <c r="I44" s="173" t="s">
        <v>40</v>
      </c>
      <c r="J44" s="173">
        <v>35431</v>
      </c>
      <c r="K44" s="174" t="s">
        <v>41</v>
      </c>
      <c r="L44" s="137" t="s">
        <v>42</v>
      </c>
      <c r="M44" s="124" t="s">
        <v>43</v>
      </c>
      <c r="N44" s="166">
        <v>44866</v>
      </c>
      <c r="O44" s="124" t="s">
        <v>44</v>
      </c>
      <c r="P44" s="137" t="s">
        <v>2347</v>
      </c>
      <c r="Q44" s="137" t="s">
        <v>3676</v>
      </c>
      <c r="R44" s="177" t="s">
        <v>571</v>
      </c>
      <c r="S44" s="124">
        <f>VLOOKUP(B44,'[1]SN Salary Sheet'!$A$4:$D$207,4,0)</f>
        <v>28105</v>
      </c>
      <c r="T44" s="125">
        <v>101434385626</v>
      </c>
      <c r="U44" s="126" t="s">
        <v>573</v>
      </c>
      <c r="V44" s="126" t="s">
        <v>572</v>
      </c>
      <c r="W44" s="135" t="s">
        <v>574</v>
      </c>
      <c r="X44" s="135" t="s">
        <v>575</v>
      </c>
      <c r="Y44" s="167" t="s">
        <v>146</v>
      </c>
      <c r="Z44" s="126" t="s">
        <v>576</v>
      </c>
      <c r="AA44" s="167" t="s">
        <v>577</v>
      </c>
      <c r="AB44" s="167" t="s">
        <v>577</v>
      </c>
      <c r="AC44" s="164" t="s">
        <v>567</v>
      </c>
      <c r="AD44" s="140"/>
      <c r="AE44" s="126"/>
      <c r="AF44" s="126"/>
      <c r="AG44" s="168" t="s">
        <v>5443</v>
      </c>
      <c r="AH44" s="126"/>
      <c r="AI44" s="126"/>
      <c r="AJ44" s="133">
        <v>35431</v>
      </c>
      <c r="AK44" s="128"/>
      <c r="AL44" s="129"/>
      <c r="AM44" s="129"/>
    </row>
    <row r="45" spans="1:39" ht="47.25" customHeight="1">
      <c r="A45" s="137">
        <f>SUBTOTAL(3,$B$3:B45)</f>
        <v>43</v>
      </c>
      <c r="B45" s="164" t="s">
        <v>578</v>
      </c>
      <c r="C45" s="165" t="s">
        <v>579</v>
      </c>
      <c r="D45" s="124" t="s">
        <v>579</v>
      </c>
      <c r="E45" s="124" t="s">
        <v>136</v>
      </c>
      <c r="F45" s="124" t="s">
        <v>580</v>
      </c>
      <c r="G45" s="137" t="s">
        <v>2345</v>
      </c>
      <c r="H45" s="124" t="s">
        <v>368</v>
      </c>
      <c r="I45" s="173" t="s">
        <v>40</v>
      </c>
      <c r="J45" s="173">
        <v>36126</v>
      </c>
      <c r="K45" s="174" t="s">
        <v>41</v>
      </c>
      <c r="L45" s="137" t="s">
        <v>42</v>
      </c>
      <c r="M45" s="124" t="s">
        <v>43</v>
      </c>
      <c r="N45" s="166">
        <v>44866</v>
      </c>
      <c r="O45" s="124" t="s">
        <v>44</v>
      </c>
      <c r="P45" s="137" t="s">
        <v>2347</v>
      </c>
      <c r="Q45" s="137" t="s">
        <v>3676</v>
      </c>
      <c r="R45" s="177" t="s">
        <v>581</v>
      </c>
      <c r="S45" s="124">
        <f>VLOOKUP(B45,'[1]SN Salary Sheet'!$A$4:$D$207,4,0)</f>
        <v>28264</v>
      </c>
      <c r="T45" s="125">
        <v>101677771368</v>
      </c>
      <c r="U45" s="126" t="s">
        <v>583</v>
      </c>
      <c r="V45" s="126" t="s">
        <v>582</v>
      </c>
      <c r="W45" s="135" t="s">
        <v>584</v>
      </c>
      <c r="X45" s="135" t="s">
        <v>585</v>
      </c>
      <c r="Y45" s="167" t="s">
        <v>587</v>
      </c>
      <c r="Z45" s="126" t="s">
        <v>586</v>
      </c>
      <c r="AA45" s="167" t="s">
        <v>588</v>
      </c>
      <c r="AB45" s="167" t="s">
        <v>588</v>
      </c>
      <c r="AC45" s="164" t="s">
        <v>578</v>
      </c>
      <c r="AD45" s="140"/>
      <c r="AE45" s="126"/>
      <c r="AF45" s="126"/>
      <c r="AG45" s="168" t="s">
        <v>5292</v>
      </c>
      <c r="AH45" s="126"/>
      <c r="AI45" s="126"/>
      <c r="AJ45" s="133">
        <v>36126</v>
      </c>
      <c r="AK45" s="128"/>
      <c r="AL45" s="129"/>
      <c r="AM45" s="129"/>
    </row>
    <row r="46" spans="1:39" ht="47.25" customHeight="1">
      <c r="A46" s="137">
        <f>SUBTOTAL(3,$B$3:B46)</f>
        <v>44</v>
      </c>
      <c r="B46" s="164" t="s">
        <v>589</v>
      </c>
      <c r="C46" s="165" t="s">
        <v>590</v>
      </c>
      <c r="D46" s="124" t="s">
        <v>591</v>
      </c>
      <c r="E46" s="124" t="s">
        <v>249</v>
      </c>
      <c r="F46" s="124" t="s">
        <v>592</v>
      </c>
      <c r="G46" s="137" t="s">
        <v>2389</v>
      </c>
      <c r="H46" s="124" t="s">
        <v>593</v>
      </c>
      <c r="I46" s="173" t="s">
        <v>40</v>
      </c>
      <c r="J46" s="173">
        <v>36360</v>
      </c>
      <c r="K46" s="174" t="s">
        <v>41</v>
      </c>
      <c r="L46" s="137" t="s">
        <v>42</v>
      </c>
      <c r="M46" s="124" t="s">
        <v>43</v>
      </c>
      <c r="N46" s="166">
        <v>44866</v>
      </c>
      <c r="O46" s="124" t="s">
        <v>44</v>
      </c>
      <c r="P46" s="137" t="s">
        <v>2347</v>
      </c>
      <c r="Q46" s="137" t="s">
        <v>3676</v>
      </c>
      <c r="R46" s="177" t="s">
        <v>594</v>
      </c>
      <c r="S46" s="124">
        <f>VLOOKUP(B46,'[1]SN Salary Sheet'!$A$4:$D$207,4,0)</f>
        <v>28047</v>
      </c>
      <c r="T46" s="125">
        <v>101698128303</v>
      </c>
      <c r="U46" s="126" t="s">
        <v>595</v>
      </c>
      <c r="V46" s="126" t="s">
        <v>3714</v>
      </c>
      <c r="W46" s="135" t="s">
        <v>596</v>
      </c>
      <c r="X46" s="135" t="s">
        <v>597</v>
      </c>
      <c r="Y46" s="167" t="s">
        <v>65</v>
      </c>
      <c r="Z46" s="126" t="s">
        <v>598</v>
      </c>
      <c r="AA46" s="167" t="s">
        <v>599</v>
      </c>
      <c r="AB46" s="167" t="s">
        <v>599</v>
      </c>
      <c r="AC46" s="164" t="s">
        <v>589</v>
      </c>
      <c r="AD46" s="140"/>
      <c r="AE46" s="126"/>
      <c r="AF46" s="126"/>
      <c r="AG46" s="168" t="s">
        <v>5105</v>
      </c>
      <c r="AH46" s="126"/>
      <c r="AI46" s="126"/>
      <c r="AJ46" s="133">
        <v>36360</v>
      </c>
      <c r="AK46" s="128"/>
      <c r="AL46" s="129"/>
      <c r="AM46" s="129"/>
    </row>
    <row r="47" spans="1:39" ht="47.25" customHeight="1">
      <c r="A47" s="137">
        <f>SUBTOTAL(3,$B$3:B47)</f>
        <v>45</v>
      </c>
      <c r="B47" s="164" t="s">
        <v>600</v>
      </c>
      <c r="C47" s="165" t="s">
        <v>601</v>
      </c>
      <c r="D47" s="124" t="s">
        <v>602</v>
      </c>
      <c r="E47" s="124" t="s">
        <v>603</v>
      </c>
      <c r="F47" s="124" t="s">
        <v>604</v>
      </c>
      <c r="G47" s="137" t="s">
        <v>2345</v>
      </c>
      <c r="H47" s="124" t="s">
        <v>605</v>
      </c>
      <c r="I47" s="173" t="s">
        <v>40</v>
      </c>
      <c r="J47" s="173">
        <v>35524</v>
      </c>
      <c r="K47" s="174" t="s">
        <v>41</v>
      </c>
      <c r="L47" s="137" t="s">
        <v>42</v>
      </c>
      <c r="M47" s="124" t="s">
        <v>43</v>
      </c>
      <c r="N47" s="166">
        <v>44866</v>
      </c>
      <c r="O47" s="124" t="s">
        <v>44</v>
      </c>
      <c r="P47" s="137" t="s">
        <v>2347</v>
      </c>
      <c r="Q47" s="137" t="s">
        <v>3676</v>
      </c>
      <c r="R47" s="177" t="s">
        <v>606</v>
      </c>
      <c r="S47" s="124">
        <f>VLOOKUP(B47,'[1]SN Salary Sheet'!$A$4:$D$207,4,0)</f>
        <v>28108</v>
      </c>
      <c r="T47" s="134">
        <v>101503402019</v>
      </c>
      <c r="U47" s="126" t="s">
        <v>608</v>
      </c>
      <c r="V47" s="135" t="s">
        <v>607</v>
      </c>
      <c r="W47" s="135" t="s">
        <v>609</v>
      </c>
      <c r="X47" s="135" t="s">
        <v>610</v>
      </c>
      <c r="Y47" s="167" t="s">
        <v>65</v>
      </c>
      <c r="Z47" s="126" t="s">
        <v>91</v>
      </c>
      <c r="AA47" s="167" t="s">
        <v>611</v>
      </c>
      <c r="AB47" s="167" t="s">
        <v>611</v>
      </c>
      <c r="AC47" s="164" t="s">
        <v>600</v>
      </c>
      <c r="AD47" s="140"/>
      <c r="AE47" s="126"/>
      <c r="AF47" s="126"/>
      <c r="AG47" s="168" t="s">
        <v>5420</v>
      </c>
      <c r="AH47" s="126"/>
      <c r="AI47" s="126"/>
      <c r="AJ47" s="133">
        <v>35524</v>
      </c>
      <c r="AK47" s="128"/>
      <c r="AL47" s="129"/>
      <c r="AM47" s="129"/>
    </row>
    <row r="48" spans="1:39" ht="47.25" customHeight="1">
      <c r="A48" s="137">
        <f>SUBTOTAL(3,$B$3:B48)</f>
        <v>46</v>
      </c>
      <c r="B48" s="164" t="s">
        <v>612</v>
      </c>
      <c r="C48" s="165" t="s">
        <v>3691</v>
      </c>
      <c r="D48" s="124" t="s">
        <v>3691</v>
      </c>
      <c r="E48" s="124" t="s">
        <v>136</v>
      </c>
      <c r="F48" s="124" t="s">
        <v>3689</v>
      </c>
      <c r="G48" s="137" t="s">
        <v>2345</v>
      </c>
      <c r="H48" s="124" t="s">
        <v>593</v>
      </c>
      <c r="I48" s="173" t="s">
        <v>40</v>
      </c>
      <c r="J48" s="173">
        <v>35647</v>
      </c>
      <c r="K48" s="174" t="s">
        <v>41</v>
      </c>
      <c r="L48" s="137" t="s">
        <v>42</v>
      </c>
      <c r="M48" s="124" t="s">
        <v>43</v>
      </c>
      <c r="N48" s="166">
        <v>44866</v>
      </c>
      <c r="O48" s="124" t="s">
        <v>44</v>
      </c>
      <c r="P48" s="137" t="s">
        <v>2347</v>
      </c>
      <c r="Q48" s="137" t="s">
        <v>3676</v>
      </c>
      <c r="R48" s="177" t="s">
        <v>613</v>
      </c>
      <c r="S48" s="124">
        <f>VLOOKUP(B48,'[1]SN Salary Sheet'!$A$4:$D$207,4,0)</f>
        <v>28118</v>
      </c>
      <c r="T48" s="134">
        <v>101680836899</v>
      </c>
      <c r="U48" s="126" t="s">
        <v>615</v>
      </c>
      <c r="V48" s="135" t="s">
        <v>614</v>
      </c>
      <c r="W48" s="135" t="s">
        <v>616</v>
      </c>
      <c r="X48" s="135" t="s">
        <v>617</v>
      </c>
      <c r="Y48" s="167" t="s">
        <v>619</v>
      </c>
      <c r="Z48" s="126" t="s">
        <v>618</v>
      </c>
      <c r="AA48" s="167" t="s">
        <v>6467</v>
      </c>
      <c r="AB48" s="167" t="s">
        <v>6467</v>
      </c>
      <c r="AC48" s="164" t="s">
        <v>612</v>
      </c>
      <c r="AD48" s="140"/>
      <c r="AE48" s="126"/>
      <c r="AF48" s="126"/>
      <c r="AG48" s="168" t="s">
        <v>5086</v>
      </c>
      <c r="AH48" s="126"/>
      <c r="AI48" s="126"/>
      <c r="AJ48" s="133">
        <v>35647</v>
      </c>
      <c r="AK48" s="128"/>
      <c r="AL48" s="129"/>
      <c r="AM48" s="129"/>
    </row>
    <row r="49" spans="1:39" ht="47.25" customHeight="1">
      <c r="A49" s="137">
        <f>SUBTOTAL(3,$B$3:B49)</f>
        <v>47</v>
      </c>
      <c r="B49" s="164" t="s">
        <v>620</v>
      </c>
      <c r="C49" s="165" t="s">
        <v>621</v>
      </c>
      <c r="D49" s="124" t="s">
        <v>622</v>
      </c>
      <c r="E49" s="124" t="s">
        <v>623</v>
      </c>
      <c r="F49" s="124" t="s">
        <v>624</v>
      </c>
      <c r="G49" s="137" t="s">
        <v>2345</v>
      </c>
      <c r="H49" s="124" t="s">
        <v>625</v>
      </c>
      <c r="I49" s="173" t="s">
        <v>40</v>
      </c>
      <c r="J49" s="173">
        <v>36509</v>
      </c>
      <c r="K49" s="174" t="s">
        <v>41</v>
      </c>
      <c r="L49" s="137" t="s">
        <v>42</v>
      </c>
      <c r="M49" s="124" t="s">
        <v>43</v>
      </c>
      <c r="N49" s="166">
        <v>44866</v>
      </c>
      <c r="O49" s="124" t="s">
        <v>44</v>
      </c>
      <c r="P49" s="137" t="s">
        <v>2347</v>
      </c>
      <c r="Q49" s="137" t="s">
        <v>3676</v>
      </c>
      <c r="R49" s="177" t="s">
        <v>626</v>
      </c>
      <c r="S49" s="124">
        <f>VLOOKUP(B49,'[1]SN Salary Sheet'!$A$4:$D$207,4,0)</f>
        <v>28128</v>
      </c>
      <c r="T49" s="134">
        <v>101596227768</v>
      </c>
      <c r="U49" s="126" t="s">
        <v>628</v>
      </c>
      <c r="V49" s="135" t="s">
        <v>627</v>
      </c>
      <c r="W49" s="135" t="s">
        <v>629</v>
      </c>
      <c r="X49" s="135" t="s">
        <v>630</v>
      </c>
      <c r="Y49" s="167" t="s">
        <v>146</v>
      </c>
      <c r="Z49" s="126" t="s">
        <v>631</v>
      </c>
      <c r="AA49" s="167" t="s">
        <v>3681</v>
      </c>
      <c r="AB49" s="167" t="s">
        <v>3681</v>
      </c>
      <c r="AC49" s="164" t="s">
        <v>620</v>
      </c>
      <c r="AD49" s="140"/>
      <c r="AE49" s="126"/>
      <c r="AF49" s="126"/>
      <c r="AG49" s="168" t="s">
        <v>5318</v>
      </c>
      <c r="AH49" s="126"/>
      <c r="AI49" s="126"/>
      <c r="AJ49" s="133">
        <v>36509</v>
      </c>
      <c r="AK49" s="128"/>
      <c r="AL49" s="129"/>
      <c r="AM49" s="129"/>
    </row>
    <row r="50" spans="1:39" ht="47.25" customHeight="1">
      <c r="A50" s="137">
        <f>SUBTOTAL(3,$B$3:B50)</f>
        <v>48</v>
      </c>
      <c r="B50" s="164" t="s">
        <v>632</v>
      </c>
      <c r="C50" s="165" t="s">
        <v>633</v>
      </c>
      <c r="D50" s="124" t="s">
        <v>634</v>
      </c>
      <c r="E50" s="124" t="s">
        <v>635</v>
      </c>
      <c r="F50" s="124" t="s">
        <v>636</v>
      </c>
      <c r="G50" s="137" t="s">
        <v>2389</v>
      </c>
      <c r="H50" s="124" t="s">
        <v>637</v>
      </c>
      <c r="I50" s="173" t="s">
        <v>40</v>
      </c>
      <c r="J50" s="173">
        <v>34861</v>
      </c>
      <c r="K50" s="174" t="s">
        <v>41</v>
      </c>
      <c r="L50" s="137" t="s">
        <v>42</v>
      </c>
      <c r="M50" s="124" t="s">
        <v>43</v>
      </c>
      <c r="N50" s="166">
        <v>44866</v>
      </c>
      <c r="O50" s="124" t="s">
        <v>44</v>
      </c>
      <c r="P50" s="137" t="s">
        <v>2347</v>
      </c>
      <c r="Q50" s="137" t="s">
        <v>3676</v>
      </c>
      <c r="R50" s="177" t="s">
        <v>638</v>
      </c>
      <c r="S50" s="124">
        <f>VLOOKUP(B50,'[1]SN Salary Sheet'!$A$4:$D$207,4,0)</f>
        <v>28041</v>
      </c>
      <c r="T50" s="130">
        <v>101491105237</v>
      </c>
      <c r="U50" s="126" t="s">
        <v>640</v>
      </c>
      <c r="V50" s="132" t="s">
        <v>639</v>
      </c>
      <c r="W50" s="135" t="s">
        <v>641</v>
      </c>
      <c r="X50" s="135" t="s">
        <v>642</v>
      </c>
      <c r="Y50" s="167" t="s">
        <v>65</v>
      </c>
      <c r="Z50" s="126" t="s">
        <v>643</v>
      </c>
      <c r="AA50" s="167" t="s">
        <v>644</v>
      </c>
      <c r="AB50" s="167" t="s">
        <v>644</v>
      </c>
      <c r="AC50" s="164" t="s">
        <v>632</v>
      </c>
      <c r="AD50" s="140"/>
      <c r="AE50" s="126"/>
      <c r="AF50" s="126"/>
      <c r="AG50" s="168" t="s">
        <v>5442</v>
      </c>
      <c r="AH50" s="126"/>
      <c r="AI50" s="126"/>
      <c r="AJ50" s="133">
        <v>34861</v>
      </c>
      <c r="AK50" s="128"/>
      <c r="AL50" s="129"/>
      <c r="AM50" s="129"/>
    </row>
    <row r="51" spans="1:39" ht="47.25" customHeight="1">
      <c r="A51" s="137">
        <f>SUBTOTAL(3,$B$3:B51)</f>
        <v>49</v>
      </c>
      <c r="B51" s="169" t="s">
        <v>645</v>
      </c>
      <c r="C51" s="124" t="s">
        <v>3692</v>
      </c>
      <c r="D51" s="124" t="s">
        <v>3693</v>
      </c>
      <c r="E51" s="124" t="s">
        <v>646</v>
      </c>
      <c r="F51" s="124" t="s">
        <v>3694</v>
      </c>
      <c r="G51" s="137" t="s">
        <v>2345</v>
      </c>
      <c r="H51" s="124" t="s">
        <v>647</v>
      </c>
      <c r="I51" s="173" t="s">
        <v>40</v>
      </c>
      <c r="J51" s="173">
        <v>36281</v>
      </c>
      <c r="K51" s="174" t="s">
        <v>41</v>
      </c>
      <c r="L51" s="137" t="s">
        <v>42</v>
      </c>
      <c r="M51" s="124" t="s">
        <v>43</v>
      </c>
      <c r="N51" s="166">
        <v>44866</v>
      </c>
      <c r="O51" s="124" t="s">
        <v>44</v>
      </c>
      <c r="P51" s="137" t="s">
        <v>2347</v>
      </c>
      <c r="Q51" s="137" t="s">
        <v>3676</v>
      </c>
      <c r="R51" s="177" t="s">
        <v>648</v>
      </c>
      <c r="S51" s="124" t="e">
        <f>VLOOKUP(B51,'[1]SN Salary Sheet'!$A$4:$D$207,4,0)</f>
        <v>#N/A</v>
      </c>
      <c r="T51" s="134">
        <v>101596227775</v>
      </c>
      <c r="U51" s="126" t="s">
        <v>650</v>
      </c>
      <c r="V51" s="135" t="s">
        <v>649</v>
      </c>
      <c r="W51" s="135" t="s">
        <v>651</v>
      </c>
      <c r="X51" s="135" t="s">
        <v>652</v>
      </c>
      <c r="Y51" s="167" t="s">
        <v>65</v>
      </c>
      <c r="Z51" s="126" t="s">
        <v>653</v>
      </c>
      <c r="AA51" s="167" t="s">
        <v>654</v>
      </c>
      <c r="AB51" s="167" t="s">
        <v>654</v>
      </c>
      <c r="AC51" s="164" t="s">
        <v>645</v>
      </c>
      <c r="AD51" s="140"/>
      <c r="AE51" s="126"/>
      <c r="AF51" s="126"/>
      <c r="AG51" s="168" t="s">
        <v>5085</v>
      </c>
      <c r="AH51" s="126"/>
      <c r="AI51" s="126"/>
      <c r="AJ51" s="133">
        <v>36281</v>
      </c>
      <c r="AK51" s="128"/>
      <c r="AL51" s="129"/>
      <c r="AM51" s="129"/>
    </row>
    <row r="52" spans="1:39" ht="47.25" customHeight="1">
      <c r="A52" s="137">
        <f>SUBTOTAL(3,$B$3:B52)</f>
        <v>50</v>
      </c>
      <c r="B52" s="164" t="s">
        <v>655</v>
      </c>
      <c r="C52" s="165" t="s">
        <v>656</v>
      </c>
      <c r="D52" s="124" t="s">
        <v>657</v>
      </c>
      <c r="E52" s="124" t="s">
        <v>291</v>
      </c>
      <c r="F52" s="124" t="s">
        <v>658</v>
      </c>
      <c r="G52" s="137" t="s">
        <v>2345</v>
      </c>
      <c r="H52" s="124" t="s">
        <v>659</v>
      </c>
      <c r="I52" s="173" t="s">
        <v>40</v>
      </c>
      <c r="J52" s="173">
        <v>36366</v>
      </c>
      <c r="K52" s="174" t="s">
        <v>41</v>
      </c>
      <c r="L52" s="137" t="s">
        <v>42</v>
      </c>
      <c r="M52" s="124" t="s">
        <v>43</v>
      </c>
      <c r="N52" s="166">
        <v>44866</v>
      </c>
      <c r="O52" s="124" t="s">
        <v>44</v>
      </c>
      <c r="P52" s="137" t="s">
        <v>2347</v>
      </c>
      <c r="Q52" s="137" t="s">
        <v>3676</v>
      </c>
      <c r="R52" s="177" t="s">
        <v>660</v>
      </c>
      <c r="S52" s="124">
        <f>VLOOKUP(B52,'[1]SN Salary Sheet'!$A$4:$D$207,4,0)</f>
        <v>28129</v>
      </c>
      <c r="T52" s="134">
        <v>101583533975</v>
      </c>
      <c r="U52" s="126" t="s">
        <v>662</v>
      </c>
      <c r="V52" s="135" t="s">
        <v>661</v>
      </c>
      <c r="W52" s="135" t="s">
        <v>663</v>
      </c>
      <c r="X52" s="135" t="s">
        <v>664</v>
      </c>
      <c r="Y52" s="167" t="s">
        <v>146</v>
      </c>
      <c r="Z52" s="126" t="s">
        <v>665</v>
      </c>
      <c r="AA52" s="167" t="s">
        <v>666</v>
      </c>
      <c r="AB52" s="167" t="s">
        <v>666</v>
      </c>
      <c r="AC52" s="164" t="s">
        <v>655</v>
      </c>
      <c r="AD52" s="140"/>
      <c r="AE52" s="126"/>
      <c r="AF52" s="126"/>
      <c r="AG52" s="168" t="s">
        <v>5294</v>
      </c>
      <c r="AH52" s="126"/>
      <c r="AI52" s="126"/>
      <c r="AJ52" s="133">
        <v>36366</v>
      </c>
      <c r="AK52" s="128"/>
      <c r="AL52" s="129"/>
      <c r="AM52" s="129"/>
    </row>
    <row r="53" spans="1:39" ht="47.25" customHeight="1">
      <c r="A53" s="137">
        <f>SUBTOTAL(3,$B$3:B53)</f>
        <v>51</v>
      </c>
      <c r="B53" s="164" t="s">
        <v>667</v>
      </c>
      <c r="C53" s="165" t="s">
        <v>668</v>
      </c>
      <c r="D53" s="124" t="s">
        <v>669</v>
      </c>
      <c r="E53" s="124" t="s">
        <v>670</v>
      </c>
      <c r="F53" s="124" t="s">
        <v>671</v>
      </c>
      <c r="G53" s="137" t="s">
        <v>2345</v>
      </c>
      <c r="H53" s="124" t="s">
        <v>672</v>
      </c>
      <c r="I53" s="173" t="s">
        <v>40</v>
      </c>
      <c r="J53" s="173">
        <v>35489</v>
      </c>
      <c r="K53" s="174" t="s">
        <v>41</v>
      </c>
      <c r="L53" s="137" t="s">
        <v>42</v>
      </c>
      <c r="M53" s="124" t="s">
        <v>43</v>
      </c>
      <c r="N53" s="166">
        <v>44866</v>
      </c>
      <c r="O53" s="124" t="s">
        <v>44</v>
      </c>
      <c r="P53" s="137" t="s">
        <v>2347</v>
      </c>
      <c r="Q53" s="137" t="s">
        <v>3676</v>
      </c>
      <c r="R53" s="177" t="s">
        <v>673</v>
      </c>
      <c r="S53" s="124">
        <f>VLOOKUP(B53,'[1]SN Salary Sheet'!$A$4:$D$207,4,0)</f>
        <v>28179</v>
      </c>
      <c r="T53" s="134">
        <v>101491105244</v>
      </c>
      <c r="U53" s="126" t="s">
        <v>6470</v>
      </c>
      <c r="V53" s="135" t="s">
        <v>674</v>
      </c>
      <c r="W53" s="126" t="s">
        <v>6469</v>
      </c>
      <c r="X53" s="135" t="s">
        <v>675</v>
      </c>
      <c r="Y53" s="167" t="s">
        <v>677</v>
      </c>
      <c r="Z53" s="126" t="s">
        <v>676</v>
      </c>
      <c r="AA53" s="167" t="s">
        <v>678</v>
      </c>
      <c r="AB53" s="167" t="s">
        <v>678</v>
      </c>
      <c r="AC53" s="164" t="s">
        <v>667</v>
      </c>
      <c r="AD53" s="140"/>
      <c r="AE53" s="126"/>
      <c r="AF53" s="126"/>
      <c r="AG53" s="168" t="s">
        <v>5317</v>
      </c>
      <c r="AH53" s="126"/>
      <c r="AI53" s="126"/>
      <c r="AJ53" s="133">
        <v>35489</v>
      </c>
      <c r="AK53" s="128"/>
      <c r="AL53" s="129"/>
      <c r="AM53" s="129"/>
    </row>
    <row r="54" spans="1:39" ht="47.25" customHeight="1">
      <c r="A54" s="137">
        <f>SUBTOTAL(3,$B$3:B54)</f>
        <v>52</v>
      </c>
      <c r="B54" s="164" t="s">
        <v>679</v>
      </c>
      <c r="C54" s="165" t="s">
        <v>680</v>
      </c>
      <c r="D54" s="124" t="s">
        <v>681</v>
      </c>
      <c r="E54" s="124" t="s">
        <v>682</v>
      </c>
      <c r="F54" s="124" t="s">
        <v>683</v>
      </c>
      <c r="G54" s="137" t="s">
        <v>2345</v>
      </c>
      <c r="H54" s="124" t="s">
        <v>684</v>
      </c>
      <c r="I54" s="173" t="s">
        <v>40</v>
      </c>
      <c r="J54" s="173">
        <v>36332</v>
      </c>
      <c r="K54" s="174" t="s">
        <v>41</v>
      </c>
      <c r="L54" s="137" t="s">
        <v>42</v>
      </c>
      <c r="M54" s="124" t="s">
        <v>43</v>
      </c>
      <c r="N54" s="166">
        <v>44866</v>
      </c>
      <c r="O54" s="124" t="s">
        <v>44</v>
      </c>
      <c r="P54" s="137" t="s">
        <v>2347</v>
      </c>
      <c r="Q54" s="137" t="s">
        <v>3676</v>
      </c>
      <c r="R54" s="177" t="s">
        <v>685</v>
      </c>
      <c r="S54" s="124">
        <f>VLOOKUP(B54,'[1]SN Salary Sheet'!$A$4:$D$207,4,0)</f>
        <v>28122</v>
      </c>
      <c r="T54" s="134">
        <v>101572778951</v>
      </c>
      <c r="U54" s="126" t="s">
        <v>687</v>
      </c>
      <c r="V54" s="135" t="s">
        <v>686</v>
      </c>
      <c r="W54" s="135" t="s">
        <v>688</v>
      </c>
      <c r="X54" s="135" t="s">
        <v>689</v>
      </c>
      <c r="Y54" s="167" t="s">
        <v>271</v>
      </c>
      <c r="Z54" s="126" t="s">
        <v>690</v>
      </c>
      <c r="AA54" s="167" t="s">
        <v>691</v>
      </c>
      <c r="AB54" s="167" t="s">
        <v>691</v>
      </c>
      <c r="AC54" s="164" t="s">
        <v>679</v>
      </c>
      <c r="AD54" s="140"/>
      <c r="AE54" s="126"/>
      <c r="AF54" s="126"/>
      <c r="AG54" s="168" t="s">
        <v>5273</v>
      </c>
      <c r="AH54" s="126"/>
      <c r="AI54" s="126"/>
      <c r="AJ54" s="133">
        <v>36332</v>
      </c>
      <c r="AK54" s="128"/>
      <c r="AL54" s="129"/>
      <c r="AM54" s="129"/>
    </row>
    <row r="55" spans="1:39" ht="47.25" customHeight="1">
      <c r="A55" s="137">
        <f>SUBTOTAL(3,$B$3:B55)</f>
        <v>53</v>
      </c>
      <c r="B55" s="164" t="s">
        <v>692</v>
      </c>
      <c r="C55" s="165" t="s">
        <v>3695</v>
      </c>
      <c r="D55" s="124" t="s">
        <v>693</v>
      </c>
      <c r="E55" s="124" t="s">
        <v>70</v>
      </c>
      <c r="F55" s="124" t="s">
        <v>403</v>
      </c>
      <c r="G55" s="137" t="s">
        <v>2345</v>
      </c>
      <c r="H55" s="124" t="s">
        <v>694</v>
      </c>
      <c r="I55" s="173" t="s">
        <v>40</v>
      </c>
      <c r="J55" s="173">
        <v>35300</v>
      </c>
      <c r="K55" s="174" t="s">
        <v>41</v>
      </c>
      <c r="L55" s="137" t="s">
        <v>42</v>
      </c>
      <c r="M55" s="124" t="s">
        <v>43</v>
      </c>
      <c r="N55" s="166">
        <v>44866</v>
      </c>
      <c r="O55" s="124" t="s">
        <v>44</v>
      </c>
      <c r="P55" s="137" t="s">
        <v>2347</v>
      </c>
      <c r="Q55" s="137" t="s">
        <v>3676</v>
      </c>
      <c r="R55" s="177" t="s">
        <v>695</v>
      </c>
      <c r="S55" s="124">
        <f>VLOOKUP(B55,'[1]SN Salary Sheet'!$A$4:$D$207,4,0)</f>
        <v>27920</v>
      </c>
      <c r="T55" s="134">
        <v>101282529829</v>
      </c>
      <c r="U55" s="126" t="s">
        <v>697</v>
      </c>
      <c r="V55" s="135" t="s">
        <v>696</v>
      </c>
      <c r="W55" s="135" t="s">
        <v>698</v>
      </c>
      <c r="X55" s="135" t="s">
        <v>699</v>
      </c>
      <c r="Y55" s="167" t="s">
        <v>51</v>
      </c>
      <c r="Z55" s="126" t="s">
        <v>50</v>
      </c>
      <c r="AA55" s="167" t="s">
        <v>6478</v>
      </c>
      <c r="AB55" s="167" t="s">
        <v>6478</v>
      </c>
      <c r="AC55" s="164" t="s">
        <v>692</v>
      </c>
      <c r="AD55" s="140"/>
      <c r="AE55" s="126"/>
      <c r="AF55" s="126"/>
      <c r="AG55" s="168" t="s">
        <v>5218</v>
      </c>
      <c r="AH55" s="126"/>
      <c r="AI55" s="126"/>
      <c r="AJ55" s="133">
        <v>35300</v>
      </c>
      <c r="AK55" s="128"/>
      <c r="AL55" s="129"/>
      <c r="AM55" s="129"/>
    </row>
    <row r="56" spans="1:39" ht="47.25" customHeight="1">
      <c r="A56" s="137">
        <f>SUBTOTAL(3,$B$3:B56)</f>
        <v>54</v>
      </c>
      <c r="B56" s="164" t="s">
        <v>700</v>
      </c>
      <c r="C56" s="165" t="s">
        <v>701</v>
      </c>
      <c r="D56" s="124" t="s">
        <v>701</v>
      </c>
      <c r="E56" s="124" t="s">
        <v>646</v>
      </c>
      <c r="F56" s="124" t="s">
        <v>162</v>
      </c>
      <c r="G56" s="137" t="s">
        <v>2345</v>
      </c>
      <c r="H56" s="124" t="s">
        <v>659</v>
      </c>
      <c r="I56" s="173" t="s">
        <v>702</v>
      </c>
      <c r="J56" s="173">
        <v>35339</v>
      </c>
      <c r="K56" s="174" t="s">
        <v>280</v>
      </c>
      <c r="L56" s="137" t="s">
        <v>42</v>
      </c>
      <c r="M56" s="124" t="s">
        <v>43</v>
      </c>
      <c r="N56" s="166">
        <v>44866</v>
      </c>
      <c r="O56" s="124" t="s">
        <v>44</v>
      </c>
      <c r="P56" s="137" t="s">
        <v>2347</v>
      </c>
      <c r="Q56" s="137" t="s">
        <v>3676</v>
      </c>
      <c r="R56" s="177" t="s">
        <v>703</v>
      </c>
      <c r="S56" s="124">
        <f>VLOOKUP(B56,'[1]SN Salary Sheet'!$A$4:$D$207,4,0)</f>
        <v>28127</v>
      </c>
      <c r="T56" s="134">
        <v>101406845895</v>
      </c>
      <c r="U56" s="126" t="s">
        <v>704</v>
      </c>
      <c r="V56" s="126" t="s">
        <v>3715</v>
      </c>
      <c r="W56" s="135" t="s">
        <v>705</v>
      </c>
      <c r="X56" s="135" t="s">
        <v>706</v>
      </c>
      <c r="Y56" s="167" t="s">
        <v>65</v>
      </c>
      <c r="Z56" s="126" t="s">
        <v>707</v>
      </c>
      <c r="AA56" s="167" t="s">
        <v>6479</v>
      </c>
      <c r="AB56" s="167" t="s">
        <v>6479</v>
      </c>
      <c r="AC56" s="164" t="s">
        <v>700</v>
      </c>
      <c r="AD56" s="140"/>
      <c r="AE56" s="126"/>
      <c r="AF56" s="126"/>
      <c r="AG56" s="168" t="s">
        <v>5437</v>
      </c>
      <c r="AH56" s="126"/>
      <c r="AI56" s="126"/>
      <c r="AJ56" s="133">
        <v>35339</v>
      </c>
      <c r="AK56" s="128"/>
      <c r="AL56" s="129"/>
      <c r="AM56" s="129"/>
    </row>
    <row r="57" spans="1:39" ht="47.25" customHeight="1">
      <c r="A57" s="137">
        <f>SUBTOTAL(3,$B$3:B57)</f>
        <v>55</v>
      </c>
      <c r="B57" s="164" t="s">
        <v>708</v>
      </c>
      <c r="C57" s="165" t="s">
        <v>709</v>
      </c>
      <c r="D57" s="124" t="s">
        <v>709</v>
      </c>
      <c r="E57" s="124" t="s">
        <v>291</v>
      </c>
      <c r="F57" s="124" t="s">
        <v>710</v>
      </c>
      <c r="G57" s="137" t="s">
        <v>2389</v>
      </c>
      <c r="H57" s="124" t="s">
        <v>711</v>
      </c>
      <c r="I57" s="173" t="s">
        <v>40</v>
      </c>
      <c r="J57" s="173">
        <v>36338</v>
      </c>
      <c r="K57" s="174" t="s">
        <v>41</v>
      </c>
      <c r="L57" s="137" t="s">
        <v>42</v>
      </c>
      <c r="M57" s="124" t="s">
        <v>43</v>
      </c>
      <c r="N57" s="166">
        <v>44866</v>
      </c>
      <c r="O57" s="124" t="s">
        <v>44</v>
      </c>
      <c r="P57" s="137" t="s">
        <v>2347</v>
      </c>
      <c r="Q57" s="137" t="s">
        <v>3676</v>
      </c>
      <c r="R57" s="177" t="s">
        <v>712</v>
      </c>
      <c r="S57" s="124">
        <f>VLOOKUP(B57,'[1]SN Salary Sheet'!$A$4:$D$207,4,0)</f>
        <v>28216</v>
      </c>
      <c r="T57" s="134">
        <v>101549900861</v>
      </c>
      <c r="U57" s="126" t="s">
        <v>714</v>
      </c>
      <c r="V57" s="135" t="s">
        <v>713</v>
      </c>
      <c r="W57" s="135" t="s">
        <v>715</v>
      </c>
      <c r="X57" s="135" t="s">
        <v>716</v>
      </c>
      <c r="Y57" s="167" t="s">
        <v>51</v>
      </c>
      <c r="Z57" s="126" t="s">
        <v>717</v>
      </c>
      <c r="AA57" s="167" t="s">
        <v>718</v>
      </c>
      <c r="AB57" s="167" t="s">
        <v>718</v>
      </c>
      <c r="AC57" s="164" t="s">
        <v>708</v>
      </c>
      <c r="AD57" s="140"/>
      <c r="AE57" s="126"/>
      <c r="AF57" s="126"/>
      <c r="AG57" s="168" t="s">
        <v>5338</v>
      </c>
      <c r="AH57" s="126"/>
      <c r="AI57" s="126"/>
      <c r="AJ57" s="133">
        <v>36338</v>
      </c>
      <c r="AK57" s="128"/>
      <c r="AL57" s="129"/>
      <c r="AM57" s="129"/>
    </row>
    <row r="58" spans="1:39" ht="47.25" customHeight="1">
      <c r="A58" s="137">
        <f>SUBTOTAL(3,$B$3:B58)</f>
        <v>56</v>
      </c>
      <c r="B58" s="164" t="s">
        <v>719</v>
      </c>
      <c r="C58" s="165" t="s">
        <v>720</v>
      </c>
      <c r="D58" s="124" t="s">
        <v>721</v>
      </c>
      <c r="E58" s="124" t="s">
        <v>722</v>
      </c>
      <c r="F58" s="124" t="s">
        <v>723</v>
      </c>
      <c r="G58" s="137" t="s">
        <v>2345</v>
      </c>
      <c r="H58" s="124" t="s">
        <v>724</v>
      </c>
      <c r="I58" s="173" t="s">
        <v>40</v>
      </c>
      <c r="J58" s="173">
        <v>35412</v>
      </c>
      <c r="K58" s="174" t="s">
        <v>41</v>
      </c>
      <c r="L58" s="137" t="s">
        <v>42</v>
      </c>
      <c r="M58" s="124" t="s">
        <v>43</v>
      </c>
      <c r="N58" s="166">
        <v>44866</v>
      </c>
      <c r="O58" s="124" t="s">
        <v>44</v>
      </c>
      <c r="P58" s="137" t="s">
        <v>2347</v>
      </c>
      <c r="Q58" s="137" t="s">
        <v>3676</v>
      </c>
      <c r="R58" s="177" t="s">
        <v>725</v>
      </c>
      <c r="S58" s="124">
        <f>VLOOKUP(B58,'[1]SN Salary Sheet'!$A$4:$D$207,4,0)</f>
        <v>28017</v>
      </c>
      <c r="T58" s="134">
        <v>101315453950</v>
      </c>
      <c r="U58" s="126" t="s">
        <v>726</v>
      </c>
      <c r="V58" s="126" t="s">
        <v>3716</v>
      </c>
      <c r="W58" s="135" t="s">
        <v>727</v>
      </c>
      <c r="X58" s="135" t="s">
        <v>728</v>
      </c>
      <c r="Y58" s="167" t="s">
        <v>65</v>
      </c>
      <c r="Z58" s="126" t="s">
        <v>729</v>
      </c>
      <c r="AA58" s="167" t="s">
        <v>730</v>
      </c>
      <c r="AB58" s="167" t="s">
        <v>730</v>
      </c>
      <c r="AC58" s="164" t="s">
        <v>719</v>
      </c>
      <c r="AD58" s="140"/>
      <c r="AE58" s="126"/>
      <c r="AF58" s="126"/>
      <c r="AG58" s="168" t="s">
        <v>5321</v>
      </c>
      <c r="AH58" s="126"/>
      <c r="AI58" s="126"/>
      <c r="AJ58" s="133">
        <v>35412</v>
      </c>
      <c r="AK58" s="128"/>
      <c r="AL58" s="129"/>
      <c r="AM58" s="129"/>
    </row>
    <row r="59" spans="1:39" ht="47.25" customHeight="1">
      <c r="A59" s="137">
        <f>SUBTOTAL(3,$B$3:B59)</f>
        <v>57</v>
      </c>
      <c r="B59" s="164" t="s">
        <v>731</v>
      </c>
      <c r="C59" s="165" t="s">
        <v>732</v>
      </c>
      <c r="D59" s="124" t="s">
        <v>732</v>
      </c>
      <c r="E59" s="124" t="s">
        <v>110</v>
      </c>
      <c r="F59" s="124" t="s">
        <v>733</v>
      </c>
      <c r="G59" s="137" t="s">
        <v>2389</v>
      </c>
      <c r="H59" s="124" t="s">
        <v>734</v>
      </c>
      <c r="I59" s="173" t="s">
        <v>40</v>
      </c>
      <c r="J59" s="173">
        <v>36709</v>
      </c>
      <c r="K59" s="174" t="s">
        <v>41</v>
      </c>
      <c r="L59" s="137" t="s">
        <v>42</v>
      </c>
      <c r="M59" s="124" t="s">
        <v>43</v>
      </c>
      <c r="N59" s="166">
        <v>44866</v>
      </c>
      <c r="O59" s="124" t="s">
        <v>44</v>
      </c>
      <c r="P59" s="137" t="s">
        <v>2347</v>
      </c>
      <c r="Q59" s="137" t="s">
        <v>3676</v>
      </c>
      <c r="R59" s="177" t="s">
        <v>735</v>
      </c>
      <c r="S59" s="124">
        <f>VLOOKUP(B59,'[1]SN Salary Sheet'!$A$4:$D$207,4,0)</f>
        <v>28121</v>
      </c>
      <c r="T59" s="134">
        <v>101698114672</v>
      </c>
      <c r="U59" s="126" t="s">
        <v>737</v>
      </c>
      <c r="V59" s="135" t="s">
        <v>736</v>
      </c>
      <c r="W59" s="135" t="s">
        <v>738</v>
      </c>
      <c r="X59" s="135" t="s">
        <v>739</v>
      </c>
      <c r="Y59" s="167" t="s">
        <v>65</v>
      </c>
      <c r="Z59" s="126" t="s">
        <v>729</v>
      </c>
      <c r="AA59" s="167" t="s">
        <v>740</v>
      </c>
      <c r="AB59" s="167" t="s">
        <v>740</v>
      </c>
      <c r="AC59" s="164" t="s">
        <v>731</v>
      </c>
      <c r="AD59" s="140"/>
      <c r="AE59" s="126"/>
      <c r="AF59" s="126"/>
      <c r="AG59" s="168" t="s">
        <v>5370</v>
      </c>
      <c r="AH59" s="126"/>
      <c r="AI59" s="126"/>
      <c r="AJ59" s="133">
        <v>36709</v>
      </c>
      <c r="AK59" s="128"/>
      <c r="AL59" s="129"/>
      <c r="AM59" s="129"/>
    </row>
    <row r="60" spans="1:39" ht="47.25" customHeight="1">
      <c r="A60" s="137">
        <f>SUBTOTAL(3,$B$3:B60)</f>
        <v>58</v>
      </c>
      <c r="B60" s="169" t="s">
        <v>741</v>
      </c>
      <c r="C60" s="124" t="s">
        <v>742</v>
      </c>
      <c r="D60" s="124" t="s">
        <v>743</v>
      </c>
      <c r="E60" s="124" t="s">
        <v>136</v>
      </c>
      <c r="F60" s="124" t="s">
        <v>744</v>
      </c>
      <c r="G60" s="137" t="s">
        <v>2389</v>
      </c>
      <c r="H60" s="124" t="s">
        <v>745</v>
      </c>
      <c r="I60" s="173" t="s">
        <v>40</v>
      </c>
      <c r="J60" s="173">
        <v>36539</v>
      </c>
      <c r="K60" s="174" t="s">
        <v>41</v>
      </c>
      <c r="L60" s="137" t="s">
        <v>42</v>
      </c>
      <c r="M60" s="124" t="s">
        <v>43</v>
      </c>
      <c r="N60" s="166">
        <v>44866</v>
      </c>
      <c r="O60" s="124" t="s">
        <v>44</v>
      </c>
      <c r="P60" s="137" t="s">
        <v>2347</v>
      </c>
      <c r="Q60" s="137" t="s">
        <v>3676</v>
      </c>
      <c r="R60" s="177" t="s">
        <v>746</v>
      </c>
      <c r="S60" s="124" t="e">
        <f>VLOOKUP(B60,'[1]SN Salary Sheet'!$A$4:$D$207,4,0)</f>
        <v>#N/A</v>
      </c>
      <c r="T60" s="134">
        <v>101695346575</v>
      </c>
      <c r="U60" s="126" t="s">
        <v>748</v>
      </c>
      <c r="V60" s="135" t="s">
        <v>747</v>
      </c>
      <c r="W60" s="135" t="s">
        <v>749</v>
      </c>
      <c r="X60" s="135" t="s">
        <v>750</v>
      </c>
      <c r="Y60" s="167" t="s">
        <v>619</v>
      </c>
      <c r="Z60" s="126" t="s">
        <v>751</v>
      </c>
      <c r="AA60" s="167" t="s">
        <v>752</v>
      </c>
      <c r="AB60" s="167" t="s">
        <v>752</v>
      </c>
      <c r="AC60" s="164" t="s">
        <v>741</v>
      </c>
      <c r="AD60" s="140"/>
      <c r="AE60" s="126"/>
      <c r="AF60" s="126"/>
      <c r="AG60" s="168" t="s">
        <v>5355</v>
      </c>
      <c r="AH60" s="126"/>
      <c r="AI60" s="126"/>
      <c r="AJ60" s="133">
        <v>36539</v>
      </c>
      <c r="AK60" s="128"/>
      <c r="AL60" s="129"/>
      <c r="AM60" s="129"/>
    </row>
    <row r="61" spans="1:39" ht="47.25" customHeight="1">
      <c r="A61" s="137">
        <f>SUBTOTAL(3,$B$3:B61)</f>
        <v>59</v>
      </c>
      <c r="B61" s="164" t="s">
        <v>753</v>
      </c>
      <c r="C61" s="165" t="s">
        <v>3696</v>
      </c>
      <c r="D61" s="124" t="s">
        <v>3696</v>
      </c>
      <c r="E61" s="124" t="s">
        <v>754</v>
      </c>
      <c r="F61" s="124" t="s">
        <v>3697</v>
      </c>
      <c r="G61" s="137" t="s">
        <v>2345</v>
      </c>
      <c r="H61" s="124" t="s">
        <v>755</v>
      </c>
      <c r="I61" s="173" t="s">
        <v>40</v>
      </c>
      <c r="J61" s="166">
        <v>35579</v>
      </c>
      <c r="K61" s="174" t="s">
        <v>41</v>
      </c>
      <c r="L61" s="137" t="s">
        <v>42</v>
      </c>
      <c r="M61" s="124" t="s">
        <v>43</v>
      </c>
      <c r="N61" s="166">
        <v>44866</v>
      </c>
      <c r="O61" s="124" t="s">
        <v>44</v>
      </c>
      <c r="P61" s="137" t="s">
        <v>2347</v>
      </c>
      <c r="Q61" s="137" t="s">
        <v>3676</v>
      </c>
      <c r="R61" s="124" t="s">
        <v>756</v>
      </c>
      <c r="S61" s="124" t="e">
        <f>VLOOKUP(B61,'[1]SN Salary Sheet'!$A$4:$D$207,4,0)</f>
        <v>#N/A</v>
      </c>
      <c r="T61" s="125">
        <v>101398495086</v>
      </c>
      <c r="U61" s="126" t="s">
        <v>758</v>
      </c>
      <c r="V61" s="126" t="s">
        <v>757</v>
      </c>
      <c r="W61" s="126" t="s">
        <v>759</v>
      </c>
      <c r="X61" s="135" t="s">
        <v>760</v>
      </c>
      <c r="Y61" s="167" t="s">
        <v>65</v>
      </c>
      <c r="Z61" s="126" t="s">
        <v>761</v>
      </c>
      <c r="AA61" s="167" t="s">
        <v>762</v>
      </c>
      <c r="AB61" s="167" t="s">
        <v>762</v>
      </c>
      <c r="AC61" s="164" t="s">
        <v>753</v>
      </c>
      <c r="AD61" s="140"/>
      <c r="AE61" s="126"/>
      <c r="AF61" s="126"/>
      <c r="AG61" s="168" t="s">
        <v>5214</v>
      </c>
      <c r="AH61" s="126"/>
      <c r="AI61" s="126"/>
      <c r="AJ61" s="136">
        <v>35579</v>
      </c>
      <c r="AK61" s="128"/>
      <c r="AL61" s="129"/>
      <c r="AM61" s="129"/>
    </row>
    <row r="62" spans="1:39" ht="47.25" customHeight="1">
      <c r="A62" s="137">
        <f>SUBTOTAL(3,$B$3:B62)</f>
        <v>60</v>
      </c>
      <c r="B62" s="164" t="s">
        <v>763</v>
      </c>
      <c r="C62" s="165" t="s">
        <v>764</v>
      </c>
      <c r="D62" s="124" t="s">
        <v>765</v>
      </c>
      <c r="E62" s="124" t="s">
        <v>766</v>
      </c>
      <c r="F62" s="124" t="s">
        <v>767</v>
      </c>
      <c r="G62" s="137" t="s">
        <v>2345</v>
      </c>
      <c r="H62" s="124" t="s">
        <v>768</v>
      </c>
      <c r="I62" s="173" t="s">
        <v>40</v>
      </c>
      <c r="J62" s="173">
        <v>34942</v>
      </c>
      <c r="K62" s="174" t="s">
        <v>41</v>
      </c>
      <c r="L62" s="137" t="s">
        <v>42</v>
      </c>
      <c r="M62" s="124" t="s">
        <v>43</v>
      </c>
      <c r="N62" s="166">
        <v>44866</v>
      </c>
      <c r="O62" s="124" t="s">
        <v>44</v>
      </c>
      <c r="P62" s="137" t="s">
        <v>2347</v>
      </c>
      <c r="Q62" s="137" t="s">
        <v>3676</v>
      </c>
      <c r="R62" s="124" t="s">
        <v>769</v>
      </c>
      <c r="S62" s="124" t="e">
        <f>VLOOKUP(B62,'[1]SN Salary Sheet'!$A$4:$D$207,4,0)</f>
        <v>#N/A</v>
      </c>
      <c r="T62" s="125">
        <v>101311137070</v>
      </c>
      <c r="U62" s="126" t="s">
        <v>771</v>
      </c>
      <c r="V62" s="135" t="s">
        <v>770</v>
      </c>
      <c r="W62" s="126" t="s">
        <v>772</v>
      </c>
      <c r="X62" s="135" t="s">
        <v>773</v>
      </c>
      <c r="Y62" s="167" t="s">
        <v>65</v>
      </c>
      <c r="Z62" s="126" t="s">
        <v>774</v>
      </c>
      <c r="AA62" s="167" t="s">
        <v>775</v>
      </c>
      <c r="AB62" s="167" t="s">
        <v>775</v>
      </c>
      <c r="AC62" s="164" t="s">
        <v>763</v>
      </c>
      <c r="AD62" s="140"/>
      <c r="AE62" s="126"/>
      <c r="AF62" s="126"/>
      <c r="AG62" s="168" t="s">
        <v>5108</v>
      </c>
      <c r="AH62" s="126"/>
      <c r="AI62" s="126"/>
      <c r="AJ62" s="133">
        <v>34942</v>
      </c>
      <c r="AK62" s="128"/>
      <c r="AL62" s="129"/>
      <c r="AM62" s="129"/>
    </row>
    <row r="63" spans="1:39" ht="47.25" customHeight="1">
      <c r="A63" s="137">
        <f>SUBTOTAL(3,$B$3:B63)</f>
        <v>61</v>
      </c>
      <c r="B63" s="169" t="s">
        <v>776</v>
      </c>
      <c r="C63" s="124" t="s">
        <v>777</v>
      </c>
      <c r="D63" s="124" t="s">
        <v>777</v>
      </c>
      <c r="E63" s="124" t="s">
        <v>778</v>
      </c>
      <c r="F63" s="124" t="s">
        <v>779</v>
      </c>
      <c r="G63" s="137" t="s">
        <v>2389</v>
      </c>
      <c r="H63" s="124" t="s">
        <v>780</v>
      </c>
      <c r="I63" s="173" t="s">
        <v>40</v>
      </c>
      <c r="J63" s="166">
        <v>36447</v>
      </c>
      <c r="K63" s="174" t="s">
        <v>41</v>
      </c>
      <c r="L63" s="137" t="s">
        <v>42</v>
      </c>
      <c r="M63" s="124" t="s">
        <v>43</v>
      </c>
      <c r="N63" s="166">
        <v>44866</v>
      </c>
      <c r="O63" s="124" t="s">
        <v>44</v>
      </c>
      <c r="P63" s="137" t="s">
        <v>2347</v>
      </c>
      <c r="Q63" s="137" t="s">
        <v>3676</v>
      </c>
      <c r="R63" s="124" t="s">
        <v>781</v>
      </c>
      <c r="S63" s="124" t="e">
        <f>VLOOKUP(B63,'[1]SN Salary Sheet'!$A$4:$D$207,4,0)</f>
        <v>#N/A</v>
      </c>
      <c r="T63" s="125">
        <v>101684494384</v>
      </c>
      <c r="U63" s="126" t="s">
        <v>782</v>
      </c>
      <c r="V63" s="126" t="s">
        <v>3717</v>
      </c>
      <c r="W63" s="126" t="s">
        <v>783</v>
      </c>
      <c r="X63" s="135" t="s">
        <v>784</v>
      </c>
      <c r="Y63" s="167" t="s">
        <v>65</v>
      </c>
      <c r="Z63" s="126" t="s">
        <v>785</v>
      </c>
      <c r="AA63" s="167" t="s">
        <v>786</v>
      </c>
      <c r="AB63" s="167" t="s">
        <v>786</v>
      </c>
      <c r="AC63" s="164" t="s">
        <v>776</v>
      </c>
      <c r="AD63" s="140"/>
      <c r="AE63" s="126"/>
      <c r="AF63" s="126"/>
      <c r="AG63" s="168" t="s">
        <v>5432</v>
      </c>
      <c r="AH63" s="126"/>
      <c r="AI63" s="126"/>
      <c r="AJ63" s="136">
        <v>36447</v>
      </c>
      <c r="AK63" s="128"/>
      <c r="AL63" s="129"/>
      <c r="AM63" s="129"/>
    </row>
    <row r="64" spans="1:39" ht="47.25" customHeight="1">
      <c r="A64" s="137">
        <f>SUBTOTAL(3,$B$3:B64)</f>
        <v>62</v>
      </c>
      <c r="B64" s="164" t="s">
        <v>787</v>
      </c>
      <c r="C64" s="165" t="s">
        <v>3698</v>
      </c>
      <c r="D64" s="124" t="s">
        <v>3698</v>
      </c>
      <c r="E64" s="124" t="s">
        <v>788</v>
      </c>
      <c r="F64" s="124" t="s">
        <v>3699</v>
      </c>
      <c r="G64" s="137" t="s">
        <v>2345</v>
      </c>
      <c r="H64" s="124" t="s">
        <v>789</v>
      </c>
      <c r="I64" s="173" t="s">
        <v>40</v>
      </c>
      <c r="J64" s="166">
        <v>36489</v>
      </c>
      <c r="K64" s="174" t="s">
        <v>41</v>
      </c>
      <c r="L64" s="137" t="s">
        <v>42</v>
      </c>
      <c r="M64" s="124" t="s">
        <v>43</v>
      </c>
      <c r="N64" s="166">
        <v>44866</v>
      </c>
      <c r="O64" s="124" t="s">
        <v>44</v>
      </c>
      <c r="P64" s="137" t="s">
        <v>2347</v>
      </c>
      <c r="Q64" s="137" t="s">
        <v>3676</v>
      </c>
      <c r="R64" s="124">
        <v>7046487393</v>
      </c>
      <c r="S64" s="124">
        <f>VLOOKUP(B64,'[1]SN Salary Sheet'!$A$4:$D$207,4,0)</f>
        <v>28299</v>
      </c>
      <c r="T64" s="125">
        <v>101688174679</v>
      </c>
      <c r="U64" s="126" t="s">
        <v>6178</v>
      </c>
      <c r="V64" s="131" t="s">
        <v>790</v>
      </c>
      <c r="W64" s="126" t="s">
        <v>791</v>
      </c>
      <c r="X64" s="135" t="s">
        <v>792</v>
      </c>
      <c r="Y64" s="167" t="s">
        <v>132</v>
      </c>
      <c r="Z64" s="126" t="s">
        <v>793</v>
      </c>
      <c r="AA64" s="167" t="s">
        <v>794</v>
      </c>
      <c r="AB64" s="167" t="s">
        <v>794</v>
      </c>
      <c r="AC64" s="164" t="s">
        <v>787</v>
      </c>
      <c r="AD64" s="140"/>
      <c r="AE64" s="126"/>
      <c r="AF64" s="126"/>
      <c r="AG64" s="168" t="s">
        <v>5428</v>
      </c>
      <c r="AH64" s="126"/>
      <c r="AI64" s="126"/>
      <c r="AJ64" s="136">
        <v>36489</v>
      </c>
      <c r="AK64" s="128"/>
      <c r="AL64" s="129"/>
      <c r="AM64" s="129"/>
    </row>
    <row r="65" spans="1:41" ht="47.25" customHeight="1">
      <c r="A65" s="137">
        <f>SUBTOTAL(3,$B$3:B65)</f>
        <v>63</v>
      </c>
      <c r="B65" s="164" t="s">
        <v>795</v>
      </c>
      <c r="C65" s="165" t="s">
        <v>796</v>
      </c>
      <c r="D65" s="124" t="s">
        <v>797</v>
      </c>
      <c r="E65" s="124" t="s">
        <v>110</v>
      </c>
      <c r="F65" s="124" t="s">
        <v>798</v>
      </c>
      <c r="G65" s="137" t="s">
        <v>2345</v>
      </c>
      <c r="H65" s="124" t="s">
        <v>799</v>
      </c>
      <c r="I65" s="173" t="s">
        <v>40</v>
      </c>
      <c r="J65" s="166">
        <v>35699</v>
      </c>
      <c r="K65" s="174" t="s">
        <v>41</v>
      </c>
      <c r="L65" s="137" t="s">
        <v>42</v>
      </c>
      <c r="M65" s="124" t="s">
        <v>43</v>
      </c>
      <c r="N65" s="166">
        <v>44866</v>
      </c>
      <c r="O65" s="124" t="s">
        <v>44</v>
      </c>
      <c r="P65" s="137" t="s">
        <v>2347</v>
      </c>
      <c r="Q65" s="137" t="s">
        <v>3676</v>
      </c>
      <c r="R65" s="124" t="s">
        <v>6611</v>
      </c>
      <c r="S65" s="124" t="e">
        <f>VLOOKUP(B65,'[1]SN Salary Sheet'!$A$4:$D$207,4,0)</f>
        <v>#N/A</v>
      </c>
      <c r="T65" s="125">
        <v>101689112855</v>
      </c>
      <c r="U65" s="126" t="s">
        <v>800</v>
      </c>
      <c r="V65" s="126" t="s">
        <v>3718</v>
      </c>
      <c r="W65" s="126" t="s">
        <v>801</v>
      </c>
      <c r="X65" s="135" t="s">
        <v>802</v>
      </c>
      <c r="Y65" s="167" t="s">
        <v>132</v>
      </c>
      <c r="Z65" s="126" t="s">
        <v>803</v>
      </c>
      <c r="AA65" s="167" t="s">
        <v>804</v>
      </c>
      <c r="AB65" s="167" t="s">
        <v>804</v>
      </c>
      <c r="AC65" s="164" t="s">
        <v>795</v>
      </c>
      <c r="AD65" s="140"/>
      <c r="AE65" s="126"/>
      <c r="AF65" s="126"/>
      <c r="AG65" s="168" t="s">
        <v>5216</v>
      </c>
      <c r="AH65" s="126"/>
      <c r="AI65" s="126"/>
      <c r="AJ65" s="136">
        <v>35699</v>
      </c>
      <c r="AK65" s="128"/>
      <c r="AL65" s="129"/>
      <c r="AM65" s="129"/>
      <c r="AO65" s="81"/>
    </row>
    <row r="66" spans="1:41" ht="47.25" customHeight="1">
      <c r="A66" s="137">
        <f>SUBTOTAL(3,$B$3:B66)</f>
        <v>64</v>
      </c>
      <c r="B66" s="164" t="s">
        <v>805</v>
      </c>
      <c r="C66" s="165" t="s">
        <v>806</v>
      </c>
      <c r="D66" s="124" t="s">
        <v>807</v>
      </c>
      <c r="E66" s="124" t="s">
        <v>808</v>
      </c>
      <c r="F66" s="124" t="s">
        <v>809</v>
      </c>
      <c r="G66" s="137" t="s">
        <v>2345</v>
      </c>
      <c r="H66" s="124" t="s">
        <v>810</v>
      </c>
      <c r="I66" s="173" t="s">
        <v>40</v>
      </c>
      <c r="J66" s="166">
        <v>34979</v>
      </c>
      <c r="K66" s="174" t="s">
        <v>41</v>
      </c>
      <c r="L66" s="137" t="s">
        <v>42</v>
      </c>
      <c r="M66" s="124" t="s">
        <v>43</v>
      </c>
      <c r="N66" s="166">
        <v>44866</v>
      </c>
      <c r="O66" s="124" t="s">
        <v>44</v>
      </c>
      <c r="P66" s="137" t="s">
        <v>2347</v>
      </c>
      <c r="Q66" s="137" t="s">
        <v>3676</v>
      </c>
      <c r="R66" s="124">
        <v>9574682793</v>
      </c>
      <c r="S66" s="124">
        <f>VLOOKUP(B66,'[1]SN Salary Sheet'!$A$4:$D$207,4,0)</f>
        <v>28301</v>
      </c>
      <c r="T66" s="125">
        <v>101446952694</v>
      </c>
      <c r="U66" s="126" t="s">
        <v>812</v>
      </c>
      <c r="V66" s="126" t="s">
        <v>811</v>
      </c>
      <c r="W66" s="126" t="s">
        <v>813</v>
      </c>
      <c r="X66" s="135" t="s">
        <v>814</v>
      </c>
      <c r="Y66" s="167" t="s">
        <v>65</v>
      </c>
      <c r="Z66" s="126" t="s">
        <v>815</v>
      </c>
      <c r="AA66" s="167" t="s">
        <v>816</v>
      </c>
      <c r="AB66" s="167" t="s">
        <v>816</v>
      </c>
      <c r="AC66" s="164" t="s">
        <v>805</v>
      </c>
      <c r="AD66" s="140"/>
      <c r="AE66" s="126"/>
      <c r="AF66" s="126"/>
      <c r="AG66" s="168" t="s">
        <v>5094</v>
      </c>
      <c r="AH66" s="126"/>
      <c r="AI66" s="126"/>
      <c r="AJ66" s="136">
        <v>34979</v>
      </c>
      <c r="AK66" s="128"/>
      <c r="AL66" s="129"/>
      <c r="AM66" s="129"/>
    </row>
    <row r="67" spans="1:41" ht="47.25" customHeight="1">
      <c r="A67" s="137">
        <f>SUBTOTAL(3,$B$3:B67)</f>
        <v>65</v>
      </c>
      <c r="B67" s="164" t="s">
        <v>817</v>
      </c>
      <c r="C67" s="165" t="s">
        <v>818</v>
      </c>
      <c r="D67" s="124" t="s">
        <v>819</v>
      </c>
      <c r="E67" s="124" t="s">
        <v>110</v>
      </c>
      <c r="F67" s="124" t="s">
        <v>820</v>
      </c>
      <c r="G67" s="137" t="s">
        <v>2345</v>
      </c>
      <c r="H67" s="124" t="s">
        <v>821</v>
      </c>
      <c r="I67" s="166" t="s">
        <v>702</v>
      </c>
      <c r="J67" s="166">
        <v>33074</v>
      </c>
      <c r="K67" s="179" t="s">
        <v>280</v>
      </c>
      <c r="L67" s="137" t="s">
        <v>42</v>
      </c>
      <c r="M67" s="124" t="s">
        <v>43</v>
      </c>
      <c r="N67" s="166">
        <v>44866</v>
      </c>
      <c r="O67" s="124" t="s">
        <v>44</v>
      </c>
      <c r="P67" s="137" t="s">
        <v>2347</v>
      </c>
      <c r="Q67" s="137" t="s">
        <v>3676</v>
      </c>
      <c r="R67" s="124">
        <v>9106441675</v>
      </c>
      <c r="S67" s="124">
        <f>VLOOKUP(B67,'[1]SN Salary Sheet'!$A$4:$D$207,4,0)</f>
        <v>28119</v>
      </c>
      <c r="T67" s="125">
        <v>100769892238</v>
      </c>
      <c r="U67" s="126" t="s">
        <v>823</v>
      </c>
      <c r="V67" s="126" t="s">
        <v>822</v>
      </c>
      <c r="W67" s="135" t="s">
        <v>824</v>
      </c>
      <c r="X67" s="135" t="s">
        <v>825</v>
      </c>
      <c r="Y67" s="167" t="s">
        <v>146</v>
      </c>
      <c r="Z67" s="126" t="s">
        <v>826</v>
      </c>
      <c r="AA67" s="167" t="s">
        <v>827</v>
      </c>
      <c r="AB67" s="167" t="s">
        <v>827</v>
      </c>
      <c r="AC67" s="164" t="s">
        <v>817</v>
      </c>
      <c r="AD67" s="140"/>
      <c r="AE67" s="126"/>
      <c r="AF67" s="126"/>
      <c r="AG67" s="168" t="s">
        <v>5110</v>
      </c>
      <c r="AH67" s="126"/>
      <c r="AI67" s="126"/>
      <c r="AJ67" s="136">
        <v>33074</v>
      </c>
      <c r="AK67" s="128"/>
      <c r="AL67" s="129"/>
      <c r="AM67" s="129"/>
    </row>
    <row r="68" spans="1:41" ht="47.25" customHeight="1">
      <c r="A68" s="137">
        <f>SUBTOTAL(3,$B$3:B68)</f>
        <v>66</v>
      </c>
      <c r="B68" s="164" t="s">
        <v>828</v>
      </c>
      <c r="C68" s="165" t="s">
        <v>829</v>
      </c>
      <c r="D68" s="124" t="s">
        <v>829</v>
      </c>
      <c r="E68" s="124" t="s">
        <v>754</v>
      </c>
      <c r="F68" s="124" t="s">
        <v>830</v>
      </c>
      <c r="G68" s="137" t="s">
        <v>2345</v>
      </c>
      <c r="H68" s="124" t="s">
        <v>831</v>
      </c>
      <c r="I68" s="173" t="s">
        <v>40</v>
      </c>
      <c r="J68" s="166">
        <v>35717</v>
      </c>
      <c r="K68" s="174" t="s">
        <v>41</v>
      </c>
      <c r="L68" s="137" t="s">
        <v>42</v>
      </c>
      <c r="M68" s="124" t="s">
        <v>43</v>
      </c>
      <c r="N68" s="166">
        <v>44866</v>
      </c>
      <c r="O68" s="124" t="s">
        <v>44</v>
      </c>
      <c r="P68" s="137" t="s">
        <v>2347</v>
      </c>
      <c r="Q68" s="137" t="s">
        <v>3676</v>
      </c>
      <c r="R68" s="124">
        <v>7623044330</v>
      </c>
      <c r="S68" s="124">
        <f>VLOOKUP(B68,'[1]SN Salary Sheet'!$A$4:$D$207,4,0)</f>
        <v>28109</v>
      </c>
      <c r="T68" s="125">
        <v>101370154252</v>
      </c>
      <c r="U68" s="126" t="s">
        <v>833</v>
      </c>
      <c r="V68" s="126" t="s">
        <v>832</v>
      </c>
      <c r="W68" s="126" t="s">
        <v>834</v>
      </c>
      <c r="X68" s="126">
        <v>3713939631</v>
      </c>
      <c r="Y68" s="167" t="s">
        <v>51</v>
      </c>
      <c r="Z68" s="126" t="s">
        <v>50</v>
      </c>
      <c r="AA68" s="167" t="s">
        <v>835</v>
      </c>
      <c r="AB68" s="167" t="s">
        <v>835</v>
      </c>
      <c r="AC68" s="164" t="s">
        <v>828</v>
      </c>
      <c r="AD68" s="140"/>
      <c r="AE68" s="126"/>
      <c r="AF68" s="126"/>
      <c r="AG68" s="168" t="s">
        <v>5417</v>
      </c>
      <c r="AH68" s="126"/>
      <c r="AI68" s="126"/>
      <c r="AJ68" s="136">
        <v>35717</v>
      </c>
      <c r="AK68" s="128"/>
      <c r="AL68" s="129"/>
      <c r="AM68" s="129"/>
    </row>
    <row r="69" spans="1:41" ht="47.25" customHeight="1">
      <c r="A69" s="137">
        <f>SUBTOTAL(3,$B$3:B69)</f>
        <v>67</v>
      </c>
      <c r="B69" s="164" t="s">
        <v>836</v>
      </c>
      <c r="C69" s="165" t="s">
        <v>837</v>
      </c>
      <c r="D69" s="124" t="s">
        <v>838</v>
      </c>
      <c r="E69" s="124" t="s">
        <v>249</v>
      </c>
      <c r="F69" s="124" t="s">
        <v>839</v>
      </c>
      <c r="G69" s="137" t="s">
        <v>2345</v>
      </c>
      <c r="H69" s="124" t="s">
        <v>840</v>
      </c>
      <c r="I69" s="173" t="s">
        <v>40</v>
      </c>
      <c r="J69" s="166">
        <v>35623</v>
      </c>
      <c r="K69" s="174" t="s">
        <v>41</v>
      </c>
      <c r="L69" s="137" t="s">
        <v>42</v>
      </c>
      <c r="M69" s="124" t="s">
        <v>43</v>
      </c>
      <c r="N69" s="166">
        <v>44866</v>
      </c>
      <c r="O69" s="124" t="s">
        <v>44</v>
      </c>
      <c r="P69" s="137" t="s">
        <v>2347</v>
      </c>
      <c r="Q69" s="137" t="s">
        <v>3676</v>
      </c>
      <c r="R69" s="124">
        <v>6353906360</v>
      </c>
      <c r="S69" s="124">
        <f>VLOOKUP(B69,'[1]SN Salary Sheet'!$A$4:$D$207,4,0)</f>
        <v>28266</v>
      </c>
      <c r="T69" s="125">
        <v>101437556441</v>
      </c>
      <c r="U69" s="126" t="s">
        <v>842</v>
      </c>
      <c r="V69" s="126" t="s">
        <v>841</v>
      </c>
      <c r="W69" s="135" t="s">
        <v>843</v>
      </c>
      <c r="X69" s="135" t="s">
        <v>844</v>
      </c>
      <c r="Y69" s="167" t="s">
        <v>677</v>
      </c>
      <c r="Z69" s="126" t="s">
        <v>845</v>
      </c>
      <c r="AA69" s="167" t="s">
        <v>846</v>
      </c>
      <c r="AB69" s="167" t="s">
        <v>846</v>
      </c>
      <c r="AC69" s="164" t="s">
        <v>836</v>
      </c>
      <c r="AD69" s="140"/>
      <c r="AE69" s="126"/>
      <c r="AF69" s="126"/>
      <c r="AG69" s="168" t="s">
        <v>5101</v>
      </c>
      <c r="AH69" s="126"/>
      <c r="AI69" s="126"/>
      <c r="AJ69" s="136">
        <v>35623</v>
      </c>
      <c r="AK69" s="128"/>
      <c r="AL69" s="129"/>
      <c r="AM69" s="129"/>
    </row>
    <row r="70" spans="1:41" ht="47.25" customHeight="1">
      <c r="A70" s="137">
        <f>SUBTOTAL(3,$B$3:B70)</f>
        <v>68</v>
      </c>
      <c r="B70" s="164" t="s">
        <v>847</v>
      </c>
      <c r="C70" s="165" t="s">
        <v>848</v>
      </c>
      <c r="D70" s="124" t="s">
        <v>849</v>
      </c>
      <c r="E70" s="124" t="s">
        <v>850</v>
      </c>
      <c r="F70" s="124" t="s">
        <v>851</v>
      </c>
      <c r="G70" s="137" t="s">
        <v>2389</v>
      </c>
      <c r="H70" s="124" t="s">
        <v>570</v>
      </c>
      <c r="I70" s="173" t="s">
        <v>40</v>
      </c>
      <c r="J70" s="166">
        <v>36149</v>
      </c>
      <c r="K70" s="174" t="s">
        <v>41</v>
      </c>
      <c r="L70" s="137" t="s">
        <v>42</v>
      </c>
      <c r="M70" s="124" t="s">
        <v>43</v>
      </c>
      <c r="N70" s="166">
        <v>44866</v>
      </c>
      <c r="O70" s="124" t="s">
        <v>44</v>
      </c>
      <c r="P70" s="137" t="s">
        <v>2347</v>
      </c>
      <c r="Q70" s="137" t="s">
        <v>3676</v>
      </c>
      <c r="R70" s="124">
        <v>8780787940</v>
      </c>
      <c r="S70" s="124">
        <f>VLOOKUP(B70,'[1]SN Salary Sheet'!$A$4:$D$207,4,0)</f>
        <v>28048</v>
      </c>
      <c r="T70" s="125">
        <v>101728998521</v>
      </c>
      <c r="U70" s="126" t="s">
        <v>853</v>
      </c>
      <c r="V70" s="126" t="s">
        <v>852</v>
      </c>
      <c r="W70" s="135" t="s">
        <v>854</v>
      </c>
      <c r="X70" s="135" t="s">
        <v>855</v>
      </c>
      <c r="Y70" s="167" t="s">
        <v>132</v>
      </c>
      <c r="Z70" s="126" t="s">
        <v>856</v>
      </c>
      <c r="AA70" s="167" t="s">
        <v>857</v>
      </c>
      <c r="AB70" s="167" t="s">
        <v>857</v>
      </c>
      <c r="AC70" s="164" t="s">
        <v>847</v>
      </c>
      <c r="AD70" s="140"/>
      <c r="AE70" s="126"/>
      <c r="AF70" s="126"/>
      <c r="AG70" s="168" t="s">
        <v>5372</v>
      </c>
      <c r="AH70" s="126"/>
      <c r="AI70" s="126"/>
      <c r="AJ70" s="136">
        <v>36149</v>
      </c>
      <c r="AK70" s="128"/>
      <c r="AL70" s="129"/>
      <c r="AM70" s="129"/>
    </row>
    <row r="71" spans="1:41" ht="47.25" customHeight="1">
      <c r="A71" s="137">
        <f>SUBTOTAL(3,$B$3:B71)</f>
        <v>69</v>
      </c>
      <c r="B71" s="164" t="s">
        <v>858</v>
      </c>
      <c r="C71" s="165" t="s">
        <v>859</v>
      </c>
      <c r="D71" s="124" t="s">
        <v>859</v>
      </c>
      <c r="E71" s="124" t="s">
        <v>646</v>
      </c>
      <c r="F71" s="124" t="s">
        <v>860</v>
      </c>
      <c r="G71" s="137" t="s">
        <v>2345</v>
      </c>
      <c r="H71" s="124" t="s">
        <v>861</v>
      </c>
      <c r="I71" s="173" t="s">
        <v>40</v>
      </c>
      <c r="J71" s="166">
        <v>35802</v>
      </c>
      <c r="K71" s="174" t="s">
        <v>41</v>
      </c>
      <c r="L71" s="137" t="s">
        <v>42</v>
      </c>
      <c r="M71" s="124" t="s">
        <v>43</v>
      </c>
      <c r="N71" s="166">
        <v>44866</v>
      </c>
      <c r="O71" s="124" t="s">
        <v>44</v>
      </c>
      <c r="P71" s="137" t="s">
        <v>2347</v>
      </c>
      <c r="Q71" s="137" t="s">
        <v>3676</v>
      </c>
      <c r="R71" s="124">
        <v>7572944605</v>
      </c>
      <c r="S71" s="124">
        <f>VLOOKUP(B71,'[1]SN Salary Sheet'!$A$4:$D$207,4,0)</f>
        <v>28110</v>
      </c>
      <c r="T71" s="125">
        <v>101413352361</v>
      </c>
      <c r="U71" s="126" t="s">
        <v>863</v>
      </c>
      <c r="V71" s="126" t="s">
        <v>862</v>
      </c>
      <c r="W71" s="135" t="s">
        <v>864</v>
      </c>
      <c r="X71" s="135" t="s">
        <v>865</v>
      </c>
      <c r="Y71" s="167" t="s">
        <v>146</v>
      </c>
      <c r="Z71" s="126" t="s">
        <v>460</v>
      </c>
      <c r="AA71" s="167" t="s">
        <v>866</v>
      </c>
      <c r="AB71" s="167" t="s">
        <v>866</v>
      </c>
      <c r="AC71" s="164" t="s">
        <v>858</v>
      </c>
      <c r="AD71" s="140"/>
      <c r="AE71" s="126"/>
      <c r="AF71" s="126"/>
      <c r="AG71" s="168" t="s">
        <v>5293</v>
      </c>
      <c r="AH71" s="126"/>
      <c r="AI71" s="126"/>
      <c r="AJ71" s="136">
        <v>35802</v>
      </c>
      <c r="AK71" s="128"/>
      <c r="AL71" s="129"/>
      <c r="AM71" s="129"/>
    </row>
    <row r="72" spans="1:41" ht="47.25" customHeight="1">
      <c r="A72" s="137">
        <f>SUBTOTAL(3,$B$3:B72)</f>
        <v>70</v>
      </c>
      <c r="B72" s="164" t="s">
        <v>867</v>
      </c>
      <c r="C72" s="165" t="s">
        <v>868</v>
      </c>
      <c r="D72" s="124" t="s">
        <v>869</v>
      </c>
      <c r="E72" s="124" t="s">
        <v>415</v>
      </c>
      <c r="F72" s="124" t="s">
        <v>870</v>
      </c>
      <c r="G72" s="137" t="s">
        <v>2345</v>
      </c>
      <c r="H72" s="124" t="s">
        <v>871</v>
      </c>
      <c r="I72" s="173" t="s">
        <v>40</v>
      </c>
      <c r="J72" s="166">
        <v>36321</v>
      </c>
      <c r="K72" s="174" t="s">
        <v>41</v>
      </c>
      <c r="L72" s="137" t="s">
        <v>42</v>
      </c>
      <c r="M72" s="124" t="s">
        <v>43</v>
      </c>
      <c r="N72" s="166">
        <v>44866</v>
      </c>
      <c r="O72" s="124" t="s">
        <v>44</v>
      </c>
      <c r="P72" s="137" t="s">
        <v>2347</v>
      </c>
      <c r="Q72" s="137" t="s">
        <v>3676</v>
      </c>
      <c r="R72" s="124">
        <v>9824688654</v>
      </c>
      <c r="S72" s="124">
        <f>VLOOKUP(B72,'[1]SN Salary Sheet'!$A$4:$D$207,4,0)</f>
        <v>28125</v>
      </c>
      <c r="T72" s="125">
        <v>101545045334</v>
      </c>
      <c r="U72" s="126" t="s">
        <v>6178</v>
      </c>
      <c r="V72" s="126" t="s">
        <v>872</v>
      </c>
      <c r="W72" s="135" t="s">
        <v>873</v>
      </c>
      <c r="X72" s="135" t="s">
        <v>874</v>
      </c>
      <c r="Y72" s="167" t="s">
        <v>677</v>
      </c>
      <c r="Z72" s="126" t="s">
        <v>845</v>
      </c>
      <c r="AA72" s="167" t="s">
        <v>875</v>
      </c>
      <c r="AB72" s="167" t="s">
        <v>875</v>
      </c>
      <c r="AC72" s="164" t="s">
        <v>867</v>
      </c>
      <c r="AD72" s="140"/>
      <c r="AE72" s="126"/>
      <c r="AF72" s="126"/>
      <c r="AG72" s="168" t="s">
        <v>5097</v>
      </c>
      <c r="AH72" s="126"/>
      <c r="AI72" s="126"/>
      <c r="AJ72" s="136">
        <v>36321</v>
      </c>
      <c r="AK72" s="128"/>
      <c r="AL72" s="129"/>
      <c r="AM72" s="129"/>
    </row>
    <row r="73" spans="1:41" ht="47.25" customHeight="1">
      <c r="A73" s="137">
        <f>SUBTOTAL(3,$B$3:B73)</f>
        <v>71</v>
      </c>
      <c r="B73" s="164" t="s">
        <v>876</v>
      </c>
      <c r="C73" s="165" t="s">
        <v>3700</v>
      </c>
      <c r="D73" s="124" t="s">
        <v>3700</v>
      </c>
      <c r="E73" s="124" t="s">
        <v>877</v>
      </c>
      <c r="F73" s="124" t="s">
        <v>3701</v>
      </c>
      <c r="G73" s="137" t="s">
        <v>2345</v>
      </c>
      <c r="H73" s="124" t="s">
        <v>878</v>
      </c>
      <c r="I73" s="173" t="s">
        <v>40</v>
      </c>
      <c r="J73" s="166">
        <v>35273</v>
      </c>
      <c r="K73" s="174" t="s">
        <v>41</v>
      </c>
      <c r="L73" s="137" t="s">
        <v>42</v>
      </c>
      <c r="M73" s="124" t="s">
        <v>43</v>
      </c>
      <c r="N73" s="166">
        <v>44866</v>
      </c>
      <c r="O73" s="124" t="s">
        <v>44</v>
      </c>
      <c r="P73" s="137" t="s">
        <v>2347</v>
      </c>
      <c r="Q73" s="137" t="s">
        <v>3676</v>
      </c>
      <c r="R73" s="124">
        <v>9429827727</v>
      </c>
      <c r="S73" s="124" t="e">
        <f>VLOOKUP(B73,'[1]SN Salary Sheet'!$A$4:$D$207,4,0)</f>
        <v>#N/A</v>
      </c>
      <c r="T73" s="130">
        <v>101544532875</v>
      </c>
      <c r="U73" s="126" t="s">
        <v>6471</v>
      </c>
      <c r="V73" s="126" t="s">
        <v>879</v>
      </c>
      <c r="W73" s="135" t="s">
        <v>880</v>
      </c>
      <c r="X73" s="135" t="s">
        <v>881</v>
      </c>
      <c r="Y73" s="167" t="s">
        <v>65</v>
      </c>
      <c r="Z73" s="126" t="s">
        <v>882</v>
      </c>
      <c r="AA73" s="167" t="s">
        <v>883</v>
      </c>
      <c r="AB73" s="167" t="s">
        <v>883</v>
      </c>
      <c r="AC73" s="164" t="s">
        <v>876</v>
      </c>
      <c r="AD73" s="140"/>
      <c r="AE73" s="126"/>
      <c r="AF73" s="126"/>
      <c r="AG73" s="168" t="s">
        <v>5283</v>
      </c>
      <c r="AH73" s="126"/>
      <c r="AI73" s="126"/>
      <c r="AJ73" s="136">
        <v>35273</v>
      </c>
      <c r="AK73" s="128"/>
      <c r="AL73" s="129"/>
      <c r="AM73" s="129"/>
    </row>
    <row r="74" spans="1:41" ht="47.25" customHeight="1">
      <c r="A74" s="137">
        <f>SUBTOTAL(3,$B$3:B74)</f>
        <v>72</v>
      </c>
      <c r="B74" s="164" t="s">
        <v>884</v>
      </c>
      <c r="C74" s="165" t="s">
        <v>885</v>
      </c>
      <c r="D74" s="124" t="s">
        <v>885</v>
      </c>
      <c r="E74" s="124" t="s">
        <v>886</v>
      </c>
      <c r="F74" s="124" t="s">
        <v>887</v>
      </c>
      <c r="G74" s="137" t="s">
        <v>2345</v>
      </c>
      <c r="H74" s="124" t="s">
        <v>888</v>
      </c>
      <c r="I74" s="173" t="s">
        <v>40</v>
      </c>
      <c r="J74" s="166">
        <v>34791</v>
      </c>
      <c r="K74" s="174" t="s">
        <v>41</v>
      </c>
      <c r="L74" s="137" t="s">
        <v>42</v>
      </c>
      <c r="M74" s="124" t="s">
        <v>43</v>
      </c>
      <c r="N74" s="166">
        <v>44866</v>
      </c>
      <c r="O74" s="124" t="s">
        <v>44</v>
      </c>
      <c r="P74" s="137" t="s">
        <v>2347</v>
      </c>
      <c r="Q74" s="137" t="s">
        <v>3676</v>
      </c>
      <c r="R74" s="124">
        <v>9328561005</v>
      </c>
      <c r="S74" s="124">
        <f>VLOOKUP(B74,'[1]SN Salary Sheet'!$A$4:$D$207,4,0)</f>
        <v>28153</v>
      </c>
      <c r="T74" s="134">
        <v>101640966510</v>
      </c>
      <c r="U74" s="126" t="s">
        <v>890</v>
      </c>
      <c r="V74" s="126" t="s">
        <v>889</v>
      </c>
      <c r="W74" s="135" t="s">
        <v>891</v>
      </c>
      <c r="X74" s="135" t="s">
        <v>892</v>
      </c>
      <c r="Y74" s="167" t="s">
        <v>146</v>
      </c>
      <c r="Z74" s="126" t="s">
        <v>893</v>
      </c>
      <c r="AA74" s="167" t="s">
        <v>894</v>
      </c>
      <c r="AB74" s="167" t="s">
        <v>894</v>
      </c>
      <c r="AC74" s="164" t="s">
        <v>884</v>
      </c>
      <c r="AD74" s="140"/>
      <c r="AE74" s="126"/>
      <c r="AF74" s="126"/>
      <c r="AG74" s="168" t="s">
        <v>5369</v>
      </c>
      <c r="AH74" s="126"/>
      <c r="AI74" s="126"/>
      <c r="AJ74" s="136">
        <v>34791</v>
      </c>
      <c r="AK74" s="128"/>
      <c r="AL74" s="129"/>
      <c r="AM74" s="129"/>
      <c r="AN74" s="3">
        <f>2024-1995</f>
        <v>29</v>
      </c>
    </row>
    <row r="75" spans="1:41" ht="47.25" customHeight="1">
      <c r="A75" s="137">
        <f>SUBTOTAL(3,$B$3:B75)</f>
        <v>73</v>
      </c>
      <c r="B75" s="164" t="s">
        <v>895</v>
      </c>
      <c r="C75" s="165" t="s">
        <v>896</v>
      </c>
      <c r="D75" s="124" t="s">
        <v>897</v>
      </c>
      <c r="E75" s="124" t="s">
        <v>898</v>
      </c>
      <c r="F75" s="124" t="s">
        <v>870</v>
      </c>
      <c r="G75" s="137" t="s">
        <v>2345</v>
      </c>
      <c r="H75" s="124" t="s">
        <v>711</v>
      </c>
      <c r="I75" s="173" t="s">
        <v>40</v>
      </c>
      <c r="J75" s="166">
        <v>36327</v>
      </c>
      <c r="K75" s="174" t="s">
        <v>41</v>
      </c>
      <c r="L75" s="137" t="s">
        <v>42</v>
      </c>
      <c r="M75" s="124" t="s">
        <v>43</v>
      </c>
      <c r="N75" s="166">
        <v>44866</v>
      </c>
      <c r="O75" s="124" t="s">
        <v>44</v>
      </c>
      <c r="P75" s="137" t="s">
        <v>2347</v>
      </c>
      <c r="Q75" s="137" t="s">
        <v>3676</v>
      </c>
      <c r="R75" s="124" t="s">
        <v>899</v>
      </c>
      <c r="S75" s="124">
        <f>VLOOKUP(B75,'[1]SN Salary Sheet'!$A$4:$D$207,4,0)</f>
        <v>28298</v>
      </c>
      <c r="T75" s="134">
        <v>101616505384</v>
      </c>
      <c r="U75" s="126" t="s">
        <v>900</v>
      </c>
      <c r="V75" s="126" t="s">
        <v>3719</v>
      </c>
      <c r="W75" s="135" t="s">
        <v>901</v>
      </c>
      <c r="X75" s="135" t="s">
        <v>902</v>
      </c>
      <c r="Y75" s="167" t="s">
        <v>552</v>
      </c>
      <c r="Z75" s="126" t="s">
        <v>551</v>
      </c>
      <c r="AA75" s="167" t="s">
        <v>903</v>
      </c>
      <c r="AB75" s="167" t="s">
        <v>903</v>
      </c>
      <c r="AC75" s="164" t="s">
        <v>895</v>
      </c>
      <c r="AD75" s="140"/>
      <c r="AE75" s="126"/>
      <c r="AF75" s="126"/>
      <c r="AG75" s="168" t="s">
        <v>5324</v>
      </c>
      <c r="AH75" s="126"/>
      <c r="AI75" s="126"/>
      <c r="AJ75" s="136">
        <v>36327</v>
      </c>
      <c r="AK75" s="128"/>
      <c r="AL75" s="129"/>
      <c r="AM75" s="129"/>
    </row>
    <row r="76" spans="1:41" ht="47.25" customHeight="1">
      <c r="A76" s="137">
        <f>SUBTOTAL(3,$B$3:B76)</f>
        <v>74</v>
      </c>
      <c r="B76" s="164" t="s">
        <v>904</v>
      </c>
      <c r="C76" s="165" t="s">
        <v>905</v>
      </c>
      <c r="D76" s="124" t="s">
        <v>906</v>
      </c>
      <c r="E76" s="124" t="s">
        <v>754</v>
      </c>
      <c r="F76" s="124" t="s">
        <v>907</v>
      </c>
      <c r="G76" s="137" t="s">
        <v>2389</v>
      </c>
      <c r="H76" s="124" t="s">
        <v>908</v>
      </c>
      <c r="I76" s="173" t="s">
        <v>40</v>
      </c>
      <c r="J76" s="166">
        <v>36673</v>
      </c>
      <c r="K76" s="174" t="s">
        <v>41</v>
      </c>
      <c r="L76" s="137" t="s">
        <v>42</v>
      </c>
      <c r="M76" s="124" t="s">
        <v>43</v>
      </c>
      <c r="N76" s="166">
        <v>44866</v>
      </c>
      <c r="O76" s="124" t="s">
        <v>44</v>
      </c>
      <c r="P76" s="137" t="s">
        <v>2347</v>
      </c>
      <c r="Q76" s="137" t="s">
        <v>3676</v>
      </c>
      <c r="R76" s="124" t="s">
        <v>909</v>
      </c>
      <c r="S76" s="124" t="e">
        <f>VLOOKUP(B76,'[1]SN Salary Sheet'!$A$4:$D$207,4,0)</f>
        <v>#N/A</v>
      </c>
      <c r="T76" s="134">
        <v>101672769483</v>
      </c>
      <c r="U76" s="126" t="s">
        <v>6178</v>
      </c>
      <c r="V76" s="126" t="s">
        <v>910</v>
      </c>
      <c r="W76" s="135" t="s">
        <v>911</v>
      </c>
      <c r="X76" s="135" t="s">
        <v>912</v>
      </c>
      <c r="Y76" s="167" t="s">
        <v>132</v>
      </c>
      <c r="Z76" s="126" t="s">
        <v>793</v>
      </c>
      <c r="AA76" s="167" t="s">
        <v>913</v>
      </c>
      <c r="AB76" s="167" t="s">
        <v>913</v>
      </c>
      <c r="AC76" s="164" t="s">
        <v>904</v>
      </c>
      <c r="AD76" s="140"/>
      <c r="AE76" s="126"/>
      <c r="AF76" s="126"/>
      <c r="AG76" s="168" t="s">
        <v>5295</v>
      </c>
      <c r="AH76" s="126"/>
      <c r="AI76" s="126"/>
      <c r="AJ76" s="136">
        <v>36673</v>
      </c>
      <c r="AK76" s="128"/>
      <c r="AL76" s="129"/>
      <c r="AM76" s="129"/>
    </row>
    <row r="77" spans="1:41" ht="47.25" customHeight="1">
      <c r="A77" s="137">
        <f>SUBTOTAL(3,$B$3:B77)</f>
        <v>75</v>
      </c>
      <c r="B77" s="164" t="s">
        <v>914</v>
      </c>
      <c r="C77" s="165" t="s">
        <v>915</v>
      </c>
      <c r="D77" s="124" t="s">
        <v>916</v>
      </c>
      <c r="E77" s="124" t="s">
        <v>754</v>
      </c>
      <c r="F77" s="124" t="s">
        <v>917</v>
      </c>
      <c r="G77" s="137" t="s">
        <v>2389</v>
      </c>
      <c r="H77" s="124" t="s">
        <v>918</v>
      </c>
      <c r="I77" s="173" t="s">
        <v>40</v>
      </c>
      <c r="J77" s="166">
        <v>35563</v>
      </c>
      <c r="K77" s="174" t="s">
        <v>41</v>
      </c>
      <c r="L77" s="137" t="s">
        <v>42</v>
      </c>
      <c r="M77" s="124" t="s">
        <v>43</v>
      </c>
      <c r="N77" s="166">
        <v>44866</v>
      </c>
      <c r="O77" s="124" t="s">
        <v>44</v>
      </c>
      <c r="P77" s="137" t="s">
        <v>2347</v>
      </c>
      <c r="Q77" s="137" t="s">
        <v>3676</v>
      </c>
      <c r="R77" s="124" t="s">
        <v>919</v>
      </c>
      <c r="S77" s="124">
        <f>VLOOKUP(B77,'[1]SN Salary Sheet'!$A$4:$D$207,4,0)</f>
        <v>28265</v>
      </c>
      <c r="T77" s="134">
        <v>101488864561</v>
      </c>
      <c r="U77" s="126" t="s">
        <v>6178</v>
      </c>
      <c r="V77" s="126" t="s">
        <v>920</v>
      </c>
      <c r="W77" s="135" t="s">
        <v>921</v>
      </c>
      <c r="X77" s="135" t="s">
        <v>922</v>
      </c>
      <c r="Y77" s="167" t="s">
        <v>65</v>
      </c>
      <c r="Z77" s="126" t="s">
        <v>923</v>
      </c>
      <c r="AA77" s="167" t="s">
        <v>924</v>
      </c>
      <c r="AB77" s="167" t="s">
        <v>924</v>
      </c>
      <c r="AC77" s="164" t="s">
        <v>914</v>
      </c>
      <c r="AD77" s="140"/>
      <c r="AE77" s="126"/>
      <c r="AF77" s="126"/>
      <c r="AG77" s="168" t="s">
        <v>5327</v>
      </c>
      <c r="AH77" s="126"/>
      <c r="AI77" s="126"/>
      <c r="AJ77" s="136">
        <v>35563</v>
      </c>
      <c r="AK77" s="128"/>
      <c r="AL77" s="129"/>
      <c r="AM77" s="129"/>
    </row>
    <row r="78" spans="1:41" ht="47.25" customHeight="1">
      <c r="A78" s="137">
        <f>SUBTOTAL(3,$B$3:B78)</f>
        <v>76</v>
      </c>
      <c r="B78" s="164" t="s">
        <v>925</v>
      </c>
      <c r="C78" s="165" t="s">
        <v>4260</v>
      </c>
      <c r="D78" s="124" t="s">
        <v>3702</v>
      </c>
      <c r="E78" s="124" t="s">
        <v>926</v>
      </c>
      <c r="F78" s="124" t="s">
        <v>3694</v>
      </c>
      <c r="G78" s="137" t="s">
        <v>2345</v>
      </c>
      <c r="H78" s="124" t="s">
        <v>927</v>
      </c>
      <c r="I78" s="173" t="s">
        <v>40</v>
      </c>
      <c r="J78" s="166">
        <v>35100</v>
      </c>
      <c r="K78" s="174" t="s">
        <v>41</v>
      </c>
      <c r="L78" s="137" t="s">
        <v>42</v>
      </c>
      <c r="M78" s="124" t="s">
        <v>43</v>
      </c>
      <c r="N78" s="166">
        <v>44866</v>
      </c>
      <c r="O78" s="124" t="s">
        <v>44</v>
      </c>
      <c r="P78" s="137" t="s">
        <v>2347</v>
      </c>
      <c r="Q78" s="137" t="s">
        <v>3676</v>
      </c>
      <c r="R78" s="124" t="s">
        <v>928</v>
      </c>
      <c r="S78" s="124">
        <f>VLOOKUP(B78,'[1]SN Salary Sheet'!$A$4:$D$207,4,0)</f>
        <v>28296</v>
      </c>
      <c r="T78" s="134">
        <v>101692509161</v>
      </c>
      <c r="U78" s="126" t="s">
        <v>6178</v>
      </c>
      <c r="V78" s="126" t="s">
        <v>929</v>
      </c>
      <c r="W78" s="135" t="s">
        <v>930</v>
      </c>
      <c r="X78" s="135" t="s">
        <v>931</v>
      </c>
      <c r="Y78" s="167" t="s">
        <v>65</v>
      </c>
      <c r="Z78" s="126" t="s">
        <v>91</v>
      </c>
      <c r="AA78" s="167" t="s">
        <v>932</v>
      </c>
      <c r="AB78" s="167" t="s">
        <v>932</v>
      </c>
      <c r="AC78" s="164" t="s">
        <v>925</v>
      </c>
      <c r="AD78" s="140"/>
      <c r="AE78" s="126"/>
      <c r="AF78" s="126"/>
      <c r="AG78" s="168" t="s">
        <v>5091</v>
      </c>
      <c r="AH78" s="126"/>
      <c r="AI78" s="126"/>
      <c r="AJ78" s="136">
        <v>35100</v>
      </c>
      <c r="AK78" s="128"/>
      <c r="AL78" s="129"/>
      <c r="AM78" s="129"/>
    </row>
    <row r="79" spans="1:41" ht="47.25" customHeight="1">
      <c r="A79" s="137">
        <f>SUBTOTAL(3,$B$3:B79)</f>
        <v>77</v>
      </c>
      <c r="B79" s="164" t="s">
        <v>933</v>
      </c>
      <c r="C79" s="165" t="s">
        <v>934</v>
      </c>
      <c r="D79" s="124" t="s">
        <v>935</v>
      </c>
      <c r="E79" s="124" t="s">
        <v>936</v>
      </c>
      <c r="F79" s="124" t="s">
        <v>937</v>
      </c>
      <c r="G79" s="137" t="s">
        <v>2345</v>
      </c>
      <c r="H79" s="124" t="s">
        <v>938</v>
      </c>
      <c r="I79" s="173" t="s">
        <v>40</v>
      </c>
      <c r="J79" s="166">
        <v>36046</v>
      </c>
      <c r="K79" s="174" t="s">
        <v>41</v>
      </c>
      <c r="L79" s="137" t="s">
        <v>42</v>
      </c>
      <c r="M79" s="124" t="s">
        <v>43</v>
      </c>
      <c r="N79" s="166">
        <v>44866</v>
      </c>
      <c r="O79" s="124" t="s">
        <v>44</v>
      </c>
      <c r="P79" s="137" t="s">
        <v>2347</v>
      </c>
      <c r="Q79" s="137" t="s">
        <v>3676</v>
      </c>
      <c r="R79" s="124" t="s">
        <v>939</v>
      </c>
      <c r="S79" s="124">
        <f>VLOOKUP(B79,'[1]SN Salary Sheet'!$A$4:$D$207,4,0)</f>
        <v>28101</v>
      </c>
      <c r="T79" s="134">
        <v>101650923389</v>
      </c>
      <c r="U79" s="126" t="s">
        <v>940</v>
      </c>
      <c r="V79" s="126" t="s">
        <v>3722</v>
      </c>
      <c r="W79" s="135" t="s">
        <v>941</v>
      </c>
      <c r="X79" s="135" t="s">
        <v>942</v>
      </c>
      <c r="Y79" s="167" t="s">
        <v>65</v>
      </c>
      <c r="Z79" s="126" t="s">
        <v>943</v>
      </c>
      <c r="AA79" s="167" t="s">
        <v>944</v>
      </c>
      <c r="AB79" s="167" t="s">
        <v>944</v>
      </c>
      <c r="AC79" s="164" t="s">
        <v>933</v>
      </c>
      <c r="AD79" s="140"/>
      <c r="AE79" s="126"/>
      <c r="AF79" s="126"/>
      <c r="AG79" s="168" t="s">
        <v>5939</v>
      </c>
      <c r="AH79" s="126"/>
      <c r="AI79" s="126"/>
      <c r="AJ79" s="136">
        <v>36046</v>
      </c>
      <c r="AK79" s="128"/>
      <c r="AL79" s="129"/>
      <c r="AM79" s="129"/>
    </row>
    <row r="80" spans="1:41" ht="47.25" customHeight="1">
      <c r="A80" s="137">
        <f>SUBTOTAL(3,$B$3:B80)</f>
        <v>78</v>
      </c>
      <c r="B80" s="164" t="s">
        <v>945</v>
      </c>
      <c r="C80" s="165" t="s">
        <v>946</v>
      </c>
      <c r="D80" s="124" t="s">
        <v>947</v>
      </c>
      <c r="E80" s="124" t="s">
        <v>948</v>
      </c>
      <c r="F80" s="124" t="s">
        <v>949</v>
      </c>
      <c r="G80" s="137" t="s">
        <v>2345</v>
      </c>
      <c r="H80" s="124" t="s">
        <v>950</v>
      </c>
      <c r="I80" s="173" t="s">
        <v>40</v>
      </c>
      <c r="J80" s="166">
        <v>36556</v>
      </c>
      <c r="K80" s="174" t="s">
        <v>41</v>
      </c>
      <c r="L80" s="137" t="s">
        <v>42</v>
      </c>
      <c r="M80" s="124" t="s">
        <v>43</v>
      </c>
      <c r="N80" s="166">
        <v>44866</v>
      </c>
      <c r="O80" s="124" t="s">
        <v>44</v>
      </c>
      <c r="P80" s="137" t="s">
        <v>2347</v>
      </c>
      <c r="Q80" s="137" t="s">
        <v>3676</v>
      </c>
      <c r="R80" s="124" t="s">
        <v>951</v>
      </c>
      <c r="S80" s="124">
        <f>VLOOKUP(B80,'[1]SN Salary Sheet'!$A$4:$D$207,4,0)</f>
        <v>28165</v>
      </c>
      <c r="T80" s="134">
        <v>101660548232</v>
      </c>
      <c r="U80" s="126" t="s">
        <v>952</v>
      </c>
      <c r="V80" s="126" t="s">
        <v>3723</v>
      </c>
      <c r="W80" s="135" t="s">
        <v>953</v>
      </c>
      <c r="X80" s="135" t="s">
        <v>954</v>
      </c>
      <c r="Y80" s="167" t="s">
        <v>146</v>
      </c>
      <c r="Z80" s="126" t="s">
        <v>955</v>
      </c>
      <c r="AA80" s="167" t="s">
        <v>956</v>
      </c>
      <c r="AB80" s="167" t="s">
        <v>956</v>
      </c>
      <c r="AC80" s="164" t="s">
        <v>945</v>
      </c>
      <c r="AD80" s="140"/>
      <c r="AE80" s="126"/>
      <c r="AF80" s="126"/>
      <c r="AG80" s="168" t="s">
        <v>5954</v>
      </c>
      <c r="AH80" s="126"/>
      <c r="AI80" s="126"/>
      <c r="AJ80" s="136">
        <v>36556</v>
      </c>
      <c r="AK80" s="128"/>
      <c r="AL80" s="129"/>
      <c r="AM80" s="129"/>
    </row>
    <row r="81" spans="1:40" ht="47.25" customHeight="1">
      <c r="A81" s="137">
        <f>SUBTOTAL(3,$B$3:B81)</f>
        <v>79</v>
      </c>
      <c r="B81" s="164" t="s">
        <v>957</v>
      </c>
      <c r="C81" s="165" t="s">
        <v>958</v>
      </c>
      <c r="D81" s="124" t="s">
        <v>959</v>
      </c>
      <c r="E81" s="124" t="s">
        <v>960</v>
      </c>
      <c r="F81" s="124" t="s">
        <v>961</v>
      </c>
      <c r="G81" s="137" t="s">
        <v>2345</v>
      </c>
      <c r="H81" s="124" t="s">
        <v>962</v>
      </c>
      <c r="I81" s="173" t="s">
        <v>40</v>
      </c>
      <c r="J81" s="166">
        <v>35527</v>
      </c>
      <c r="K81" s="174" t="s">
        <v>41</v>
      </c>
      <c r="L81" s="137" t="s">
        <v>42</v>
      </c>
      <c r="M81" s="124" t="s">
        <v>43</v>
      </c>
      <c r="N81" s="180">
        <v>44866</v>
      </c>
      <c r="O81" s="124" t="s">
        <v>44</v>
      </c>
      <c r="P81" s="137" t="s">
        <v>2347</v>
      </c>
      <c r="Q81" s="137" t="s">
        <v>3676</v>
      </c>
      <c r="R81" s="124" t="s">
        <v>963</v>
      </c>
      <c r="S81" s="124">
        <f>VLOOKUP(B81,'[1]SN Salary Sheet'!$A$4:$D$207,4,0)</f>
        <v>28100</v>
      </c>
      <c r="T81" s="134">
        <v>101415495014</v>
      </c>
      <c r="U81" s="126" t="s">
        <v>965</v>
      </c>
      <c r="V81" s="126" t="s">
        <v>3725</v>
      </c>
      <c r="W81" s="135" t="s">
        <v>966</v>
      </c>
      <c r="X81" s="135" t="s">
        <v>967</v>
      </c>
      <c r="Y81" s="167" t="s">
        <v>51</v>
      </c>
      <c r="Z81" s="126" t="s">
        <v>50</v>
      </c>
      <c r="AA81" s="167" t="s">
        <v>968</v>
      </c>
      <c r="AB81" s="167" t="s">
        <v>968</v>
      </c>
      <c r="AC81" s="164" t="s">
        <v>957</v>
      </c>
      <c r="AD81" s="140"/>
      <c r="AE81" s="126"/>
      <c r="AF81" s="126"/>
      <c r="AG81" s="168" t="s">
        <v>5336</v>
      </c>
      <c r="AH81" s="126"/>
      <c r="AI81" s="126"/>
      <c r="AJ81" s="136">
        <v>35527</v>
      </c>
      <c r="AK81" s="128"/>
      <c r="AL81" s="129"/>
      <c r="AM81" s="129"/>
    </row>
    <row r="82" spans="1:40" ht="47.25" customHeight="1">
      <c r="A82" s="137">
        <f>SUBTOTAL(3,$B$3:B82)</f>
        <v>80</v>
      </c>
      <c r="B82" s="169" t="s">
        <v>969</v>
      </c>
      <c r="C82" s="124" t="s">
        <v>970</v>
      </c>
      <c r="D82" s="124" t="s">
        <v>970</v>
      </c>
      <c r="E82" s="124" t="s">
        <v>754</v>
      </c>
      <c r="F82" s="124" t="s">
        <v>971</v>
      </c>
      <c r="G82" s="137" t="s">
        <v>2345</v>
      </c>
      <c r="H82" s="124" t="s">
        <v>570</v>
      </c>
      <c r="I82" s="166" t="s">
        <v>40</v>
      </c>
      <c r="J82" s="166">
        <v>36712</v>
      </c>
      <c r="K82" s="179" t="s">
        <v>41</v>
      </c>
      <c r="L82" s="137" t="s">
        <v>42</v>
      </c>
      <c r="M82" s="124" t="s">
        <v>43</v>
      </c>
      <c r="N82" s="166">
        <v>44866</v>
      </c>
      <c r="O82" s="124" t="s">
        <v>44</v>
      </c>
      <c r="P82" s="137" t="s">
        <v>2347</v>
      </c>
      <c r="Q82" s="137" t="s">
        <v>3676</v>
      </c>
      <c r="R82" s="124" t="s">
        <v>972</v>
      </c>
      <c r="S82" s="124" t="e">
        <f>VLOOKUP(B82,'[1]SN Salary Sheet'!$A$4:$D$207,4,0)</f>
        <v>#N/A</v>
      </c>
      <c r="T82" s="125">
        <v>101803825873</v>
      </c>
      <c r="U82" s="126" t="s">
        <v>6178</v>
      </c>
      <c r="V82" s="126" t="s">
        <v>3720</v>
      </c>
      <c r="W82" s="135" t="s">
        <v>973</v>
      </c>
      <c r="X82" s="135" t="s">
        <v>974</v>
      </c>
      <c r="Y82" s="167" t="s">
        <v>146</v>
      </c>
      <c r="Z82" s="126" t="s">
        <v>964</v>
      </c>
      <c r="AA82" s="167" t="s">
        <v>975</v>
      </c>
      <c r="AB82" s="167" t="s">
        <v>975</v>
      </c>
      <c r="AC82" s="164" t="s">
        <v>969</v>
      </c>
      <c r="AD82" s="140"/>
      <c r="AE82" s="126"/>
      <c r="AF82" s="126"/>
      <c r="AG82" s="168" t="s">
        <v>5429</v>
      </c>
      <c r="AH82" s="126"/>
      <c r="AI82" s="126"/>
      <c r="AJ82" s="136">
        <v>36712</v>
      </c>
      <c r="AK82" s="128"/>
      <c r="AL82" s="129"/>
      <c r="AM82" s="129"/>
    </row>
    <row r="83" spans="1:40" ht="47.25" customHeight="1">
      <c r="A83" s="137">
        <f>SUBTOTAL(3,$B$3:B83)</f>
        <v>81</v>
      </c>
      <c r="B83" s="164" t="s">
        <v>976</v>
      </c>
      <c r="C83" s="165" t="s">
        <v>3703</v>
      </c>
      <c r="D83" s="124" t="s">
        <v>3703</v>
      </c>
      <c r="E83" s="124" t="s">
        <v>977</v>
      </c>
      <c r="F83" s="124" t="s">
        <v>3704</v>
      </c>
      <c r="G83" s="137" t="s">
        <v>2345</v>
      </c>
      <c r="H83" s="124" t="s">
        <v>978</v>
      </c>
      <c r="I83" s="173" t="s">
        <v>40</v>
      </c>
      <c r="J83" s="166">
        <v>34673</v>
      </c>
      <c r="K83" s="174" t="s">
        <v>41</v>
      </c>
      <c r="L83" s="137" t="s">
        <v>42</v>
      </c>
      <c r="M83" s="124" t="s">
        <v>43</v>
      </c>
      <c r="N83" s="166">
        <v>44866</v>
      </c>
      <c r="O83" s="124" t="s">
        <v>44</v>
      </c>
      <c r="P83" s="137" t="s">
        <v>2347</v>
      </c>
      <c r="Q83" s="137" t="s">
        <v>3676</v>
      </c>
      <c r="R83" s="124" t="s">
        <v>979</v>
      </c>
      <c r="S83" s="124">
        <f>VLOOKUP(B83,'[1]SN Salary Sheet'!$A$4:$D$207,4,0)</f>
        <v>28145</v>
      </c>
      <c r="T83" s="134">
        <v>101296955207</v>
      </c>
      <c r="U83" s="126" t="s">
        <v>981</v>
      </c>
      <c r="V83" s="126" t="s">
        <v>980</v>
      </c>
      <c r="W83" s="135" t="s">
        <v>982</v>
      </c>
      <c r="X83" s="135" t="s">
        <v>983</v>
      </c>
      <c r="Y83" s="167" t="s">
        <v>51</v>
      </c>
      <c r="Z83" s="126" t="s">
        <v>50</v>
      </c>
      <c r="AA83" s="167" t="s">
        <v>984</v>
      </c>
      <c r="AB83" s="167" t="s">
        <v>984</v>
      </c>
      <c r="AC83" s="164" t="s">
        <v>976</v>
      </c>
      <c r="AD83" s="140"/>
      <c r="AE83" s="126"/>
      <c r="AF83" s="126"/>
      <c r="AG83" s="168" t="s">
        <v>5080</v>
      </c>
      <c r="AH83" s="126"/>
      <c r="AI83" s="126"/>
      <c r="AJ83" s="136">
        <v>34673</v>
      </c>
      <c r="AK83" s="128"/>
      <c r="AL83" s="129"/>
      <c r="AM83" s="129"/>
    </row>
    <row r="84" spans="1:40" ht="47.25" customHeight="1">
      <c r="A84" s="137">
        <f>SUBTOTAL(3,$B$3:B84)</f>
        <v>82</v>
      </c>
      <c r="B84" s="164" t="s">
        <v>985</v>
      </c>
      <c r="C84" s="165" t="s">
        <v>986</v>
      </c>
      <c r="D84" s="124" t="s">
        <v>986</v>
      </c>
      <c r="E84" s="124" t="s">
        <v>70</v>
      </c>
      <c r="F84" s="124" t="s">
        <v>987</v>
      </c>
      <c r="G84" s="137" t="s">
        <v>2345</v>
      </c>
      <c r="H84" s="124" t="s">
        <v>988</v>
      </c>
      <c r="I84" s="173" t="s">
        <v>40</v>
      </c>
      <c r="J84" s="166">
        <v>36104</v>
      </c>
      <c r="K84" s="174" t="s">
        <v>41</v>
      </c>
      <c r="L84" s="137" t="s">
        <v>42</v>
      </c>
      <c r="M84" s="124" t="s">
        <v>43</v>
      </c>
      <c r="N84" s="166">
        <v>44866</v>
      </c>
      <c r="O84" s="124" t="s">
        <v>44</v>
      </c>
      <c r="P84" s="137" t="s">
        <v>2347</v>
      </c>
      <c r="Q84" s="137" t="s">
        <v>3676</v>
      </c>
      <c r="R84" s="124" t="s">
        <v>989</v>
      </c>
      <c r="S84" s="124" t="e">
        <f>VLOOKUP(B84,'[1]SN Salary Sheet'!$A$4:$D$207,4,0)</f>
        <v>#N/A</v>
      </c>
      <c r="T84" s="134">
        <v>101766954714</v>
      </c>
      <c r="U84" s="126" t="s">
        <v>991</v>
      </c>
      <c r="V84" s="126" t="s">
        <v>990</v>
      </c>
      <c r="W84" s="135" t="s">
        <v>992</v>
      </c>
      <c r="X84" s="135" t="s">
        <v>993</v>
      </c>
      <c r="Y84" s="167" t="s">
        <v>677</v>
      </c>
      <c r="Z84" s="126" t="s">
        <v>994</v>
      </c>
      <c r="AA84" s="167" t="s">
        <v>995</v>
      </c>
      <c r="AB84" s="167" t="s">
        <v>995</v>
      </c>
      <c r="AC84" s="164" t="s">
        <v>985</v>
      </c>
      <c r="AD84" s="140"/>
      <c r="AE84" s="126"/>
      <c r="AF84" s="126"/>
      <c r="AG84" s="168" t="s">
        <v>5090</v>
      </c>
      <c r="AH84" s="126"/>
      <c r="AI84" s="126"/>
      <c r="AJ84" s="136">
        <v>36104</v>
      </c>
      <c r="AK84" s="128"/>
      <c r="AL84" s="129"/>
      <c r="AM84" s="129"/>
    </row>
    <row r="85" spans="1:40" ht="47.25" customHeight="1">
      <c r="A85" s="137">
        <f>SUBTOTAL(3,$B$3:B85)</f>
        <v>83</v>
      </c>
      <c r="B85" s="164" t="s">
        <v>996</v>
      </c>
      <c r="C85" s="165" t="s">
        <v>997</v>
      </c>
      <c r="D85" s="124" t="s">
        <v>998</v>
      </c>
      <c r="E85" s="124" t="s">
        <v>110</v>
      </c>
      <c r="F85" s="124" t="s">
        <v>999</v>
      </c>
      <c r="G85" s="137" t="s">
        <v>2389</v>
      </c>
      <c r="H85" s="124" t="s">
        <v>1000</v>
      </c>
      <c r="I85" s="166" t="s">
        <v>40</v>
      </c>
      <c r="J85" s="166">
        <v>36817</v>
      </c>
      <c r="K85" s="179" t="s">
        <v>41</v>
      </c>
      <c r="L85" s="137" t="s">
        <v>42</v>
      </c>
      <c r="M85" s="124" t="s">
        <v>43</v>
      </c>
      <c r="N85" s="166">
        <v>44866</v>
      </c>
      <c r="O85" s="124" t="s">
        <v>44</v>
      </c>
      <c r="P85" s="137" t="s">
        <v>2347</v>
      </c>
      <c r="Q85" s="137" t="s">
        <v>3676</v>
      </c>
      <c r="R85" s="124" t="s">
        <v>1001</v>
      </c>
      <c r="S85" s="124">
        <f>VLOOKUP(B85,'[1]SN Salary Sheet'!$A$4:$D$207,4,0)</f>
        <v>28236</v>
      </c>
      <c r="T85" s="125">
        <v>101803825839</v>
      </c>
      <c r="U85" s="126" t="s">
        <v>1002</v>
      </c>
      <c r="V85" s="126" t="s">
        <v>3721</v>
      </c>
      <c r="W85" s="135" t="s">
        <v>1003</v>
      </c>
      <c r="X85" s="135" t="s">
        <v>1004</v>
      </c>
      <c r="Y85" s="167" t="s">
        <v>132</v>
      </c>
      <c r="Z85" s="126" t="s">
        <v>803</v>
      </c>
      <c r="AA85" s="167" t="s">
        <v>1005</v>
      </c>
      <c r="AB85" s="167" t="s">
        <v>1005</v>
      </c>
      <c r="AC85" s="164" t="s">
        <v>996</v>
      </c>
      <c r="AD85" s="140"/>
      <c r="AE85" s="126"/>
      <c r="AF85" s="126"/>
      <c r="AG85" s="168" t="s">
        <v>5921</v>
      </c>
      <c r="AH85" s="126"/>
      <c r="AI85" s="126"/>
      <c r="AJ85" s="136">
        <v>36817</v>
      </c>
      <c r="AK85" s="128"/>
      <c r="AL85" s="129"/>
      <c r="AM85" s="129"/>
      <c r="AN85" s="81"/>
    </row>
    <row r="86" spans="1:40" ht="47.25" customHeight="1">
      <c r="A86" s="137">
        <f>SUBTOTAL(3,$B$3:B86)</f>
        <v>84</v>
      </c>
      <c r="B86" s="164" t="s">
        <v>1006</v>
      </c>
      <c r="C86" s="165" t="s">
        <v>1007</v>
      </c>
      <c r="D86" s="124" t="s">
        <v>1007</v>
      </c>
      <c r="E86" s="124" t="s">
        <v>1008</v>
      </c>
      <c r="F86" s="124" t="s">
        <v>1009</v>
      </c>
      <c r="G86" s="137" t="s">
        <v>2345</v>
      </c>
      <c r="H86" s="124" t="s">
        <v>1010</v>
      </c>
      <c r="I86" s="166" t="s">
        <v>40</v>
      </c>
      <c r="J86" s="166">
        <v>37054</v>
      </c>
      <c r="K86" s="179" t="s">
        <v>41</v>
      </c>
      <c r="L86" s="137" t="s">
        <v>42</v>
      </c>
      <c r="M86" s="124" t="s">
        <v>43</v>
      </c>
      <c r="N86" s="166">
        <v>44866</v>
      </c>
      <c r="O86" s="124" t="s">
        <v>44</v>
      </c>
      <c r="P86" s="137" t="s">
        <v>2347</v>
      </c>
      <c r="Q86" s="137" t="s">
        <v>3676</v>
      </c>
      <c r="R86" s="124">
        <v>8849348333</v>
      </c>
      <c r="S86" s="124">
        <f>VLOOKUP(B86,'[1]SN Salary Sheet'!$A$4:$D$207,4,0)</f>
        <v>28230</v>
      </c>
      <c r="T86" s="125">
        <v>101814615805</v>
      </c>
      <c r="U86" s="126" t="s">
        <v>6178</v>
      </c>
      <c r="V86" s="126" t="s">
        <v>3724</v>
      </c>
      <c r="W86" s="135" t="s">
        <v>1011</v>
      </c>
      <c r="X86" s="135" t="s">
        <v>1012</v>
      </c>
      <c r="Y86" s="167" t="s">
        <v>65</v>
      </c>
      <c r="Z86" s="126" t="s">
        <v>1013</v>
      </c>
      <c r="AA86" s="167" t="s">
        <v>1014</v>
      </c>
      <c r="AB86" s="167" t="s">
        <v>1014</v>
      </c>
      <c r="AC86" s="164" t="s">
        <v>1006</v>
      </c>
      <c r="AD86" s="140"/>
      <c r="AE86" s="126"/>
      <c r="AF86" s="126"/>
      <c r="AG86" s="168" t="s">
        <v>5444</v>
      </c>
      <c r="AH86" s="126"/>
      <c r="AI86" s="126"/>
      <c r="AJ86" s="136">
        <v>37054</v>
      </c>
      <c r="AK86" s="128"/>
      <c r="AL86" s="129"/>
      <c r="AM86" s="129"/>
    </row>
    <row r="87" spans="1:40" ht="47.25" customHeight="1">
      <c r="A87" s="137">
        <f>SUBTOTAL(3,$B$3:B87)</f>
        <v>85</v>
      </c>
      <c r="B87" s="164" t="s">
        <v>1015</v>
      </c>
      <c r="C87" s="165" t="s">
        <v>1016</v>
      </c>
      <c r="D87" s="124" t="s">
        <v>1017</v>
      </c>
      <c r="E87" s="124" t="s">
        <v>754</v>
      </c>
      <c r="F87" s="124" t="s">
        <v>1018</v>
      </c>
      <c r="G87" s="137" t="s">
        <v>2389</v>
      </c>
      <c r="H87" s="124" t="s">
        <v>1019</v>
      </c>
      <c r="I87" s="166" t="s">
        <v>40</v>
      </c>
      <c r="J87" s="166">
        <v>36491</v>
      </c>
      <c r="K87" s="179" t="s">
        <v>41</v>
      </c>
      <c r="L87" s="137" t="s">
        <v>42</v>
      </c>
      <c r="M87" s="124" t="s">
        <v>43</v>
      </c>
      <c r="N87" s="166">
        <v>44866</v>
      </c>
      <c r="O87" s="124" t="s">
        <v>44</v>
      </c>
      <c r="P87" s="137" t="s">
        <v>2347</v>
      </c>
      <c r="Q87" s="137" t="s">
        <v>3676</v>
      </c>
      <c r="R87" s="124">
        <v>8200673444</v>
      </c>
      <c r="S87" s="124">
        <f>VLOOKUP(B87,'[1]SN Salary Sheet'!$A$4:$D$207,4,0)</f>
        <v>28023</v>
      </c>
      <c r="T87" s="125">
        <v>101803825856</v>
      </c>
      <c r="U87" s="126" t="s">
        <v>1020</v>
      </c>
      <c r="V87" s="126" t="s">
        <v>3726</v>
      </c>
      <c r="W87" s="135" t="s">
        <v>1021</v>
      </c>
      <c r="X87" s="135" t="s">
        <v>1022</v>
      </c>
      <c r="Y87" s="167" t="s">
        <v>65</v>
      </c>
      <c r="Z87" s="126" t="s">
        <v>1023</v>
      </c>
      <c r="AA87" s="167" t="s">
        <v>1024</v>
      </c>
      <c r="AB87" s="167" t="s">
        <v>1024</v>
      </c>
      <c r="AC87" s="164" t="s">
        <v>1015</v>
      </c>
      <c r="AD87" s="140"/>
      <c r="AE87" s="126"/>
      <c r="AF87" s="126"/>
      <c r="AG87" s="168" t="s">
        <v>5422</v>
      </c>
      <c r="AH87" s="126"/>
      <c r="AI87" s="126"/>
      <c r="AJ87" s="136">
        <v>36491</v>
      </c>
      <c r="AK87" s="128"/>
      <c r="AL87" s="129"/>
      <c r="AM87" s="129"/>
    </row>
    <row r="88" spans="1:40" ht="47.25" customHeight="1">
      <c r="A88" s="137">
        <f>SUBTOTAL(3,$B$3:B88)</f>
        <v>86</v>
      </c>
      <c r="B88" s="164" t="s">
        <v>1025</v>
      </c>
      <c r="C88" s="165" t="s">
        <v>1026</v>
      </c>
      <c r="D88" s="124" t="s">
        <v>1027</v>
      </c>
      <c r="E88" s="124" t="s">
        <v>1028</v>
      </c>
      <c r="F88" s="124" t="s">
        <v>1029</v>
      </c>
      <c r="G88" s="137" t="s">
        <v>2345</v>
      </c>
      <c r="H88" s="124" t="s">
        <v>1030</v>
      </c>
      <c r="I88" s="166" t="s">
        <v>40</v>
      </c>
      <c r="J88" s="166">
        <v>36470</v>
      </c>
      <c r="K88" s="179" t="s">
        <v>41</v>
      </c>
      <c r="L88" s="137" t="s">
        <v>42</v>
      </c>
      <c r="M88" s="124" t="s">
        <v>43</v>
      </c>
      <c r="N88" s="166">
        <v>44866</v>
      </c>
      <c r="O88" s="124" t="s">
        <v>44</v>
      </c>
      <c r="P88" s="137" t="s">
        <v>2347</v>
      </c>
      <c r="Q88" s="137" t="s">
        <v>3676</v>
      </c>
      <c r="R88" s="124" t="s">
        <v>1031</v>
      </c>
      <c r="S88" s="124">
        <f>VLOOKUP(B88,'[1]SN Salary Sheet'!$A$4:$D$207,4,0)</f>
        <v>28244</v>
      </c>
      <c r="T88" s="125">
        <v>101803825887</v>
      </c>
      <c r="U88" s="126" t="s">
        <v>1032</v>
      </c>
      <c r="V88" s="126">
        <v>3714195054</v>
      </c>
      <c r="W88" s="135" t="s">
        <v>1033</v>
      </c>
      <c r="X88" s="135" t="s">
        <v>1034</v>
      </c>
      <c r="Y88" s="167" t="s">
        <v>65</v>
      </c>
      <c r="Z88" s="126" t="s">
        <v>1035</v>
      </c>
      <c r="AA88" s="167" t="s">
        <v>1036</v>
      </c>
      <c r="AB88" s="167" t="s">
        <v>1036</v>
      </c>
      <c r="AC88" s="164" t="s">
        <v>1025</v>
      </c>
      <c r="AD88" s="140"/>
      <c r="AE88" s="126"/>
      <c r="AF88" s="126"/>
      <c r="AG88" s="168" t="s">
        <v>5375</v>
      </c>
      <c r="AH88" s="126"/>
      <c r="AI88" s="126"/>
      <c r="AJ88" s="136">
        <v>36470</v>
      </c>
      <c r="AK88" s="128"/>
      <c r="AL88" s="129"/>
      <c r="AM88" s="129"/>
    </row>
    <row r="89" spans="1:40" ht="47.25" customHeight="1">
      <c r="A89" s="137">
        <f>SUBTOTAL(3,$B$3:B89)</f>
        <v>87</v>
      </c>
      <c r="B89" s="169" t="s">
        <v>2342</v>
      </c>
      <c r="C89" s="124" t="s">
        <v>2343</v>
      </c>
      <c r="D89" s="124" t="s">
        <v>2343</v>
      </c>
      <c r="E89" s="124" t="s">
        <v>754</v>
      </c>
      <c r="F89" s="124" t="s">
        <v>2344</v>
      </c>
      <c r="G89" s="137" t="s">
        <v>2345</v>
      </c>
      <c r="H89" s="124" t="s">
        <v>810</v>
      </c>
      <c r="I89" s="166" t="s">
        <v>40</v>
      </c>
      <c r="J89" s="166" t="s">
        <v>2346</v>
      </c>
      <c r="K89" s="179" t="s">
        <v>41</v>
      </c>
      <c r="L89" s="137" t="s">
        <v>42</v>
      </c>
      <c r="M89" s="124" t="s">
        <v>43</v>
      </c>
      <c r="N89" s="166">
        <v>44866</v>
      </c>
      <c r="O89" s="124" t="s">
        <v>44</v>
      </c>
      <c r="P89" s="137" t="s">
        <v>2347</v>
      </c>
      <c r="Q89" s="137" t="s">
        <v>3676</v>
      </c>
      <c r="R89" s="124">
        <v>7069115441</v>
      </c>
      <c r="S89" s="124">
        <v>27364</v>
      </c>
      <c r="T89" s="134">
        <v>101696219166</v>
      </c>
      <c r="U89" s="126" t="s">
        <v>2349</v>
      </c>
      <c r="V89" s="126" t="s">
        <v>2348</v>
      </c>
      <c r="W89" s="135" t="s">
        <v>2350</v>
      </c>
      <c r="X89" s="135" t="s">
        <v>2351</v>
      </c>
      <c r="Y89" s="167" t="s">
        <v>146</v>
      </c>
      <c r="Z89" s="126" t="s">
        <v>2352</v>
      </c>
      <c r="AA89" s="167" t="s">
        <v>2353</v>
      </c>
      <c r="AB89" s="167" t="s">
        <v>2353</v>
      </c>
      <c r="AC89" s="164" t="s">
        <v>2342</v>
      </c>
      <c r="AD89" s="140"/>
      <c r="AE89" s="126"/>
      <c r="AF89" s="126"/>
      <c r="AG89" s="168" t="s">
        <v>5112</v>
      </c>
      <c r="AH89" s="126"/>
      <c r="AI89" s="126"/>
      <c r="AJ89" s="136" t="s">
        <v>2346</v>
      </c>
      <c r="AK89" s="128"/>
      <c r="AL89" s="129"/>
      <c r="AM89" s="129"/>
    </row>
    <row r="90" spans="1:40" ht="47.25" customHeight="1">
      <c r="A90" s="137">
        <f>SUBTOTAL(3,$B$3:B90)</f>
        <v>88</v>
      </c>
      <c r="B90" s="164" t="s">
        <v>2354</v>
      </c>
      <c r="C90" s="165" t="s">
        <v>2355</v>
      </c>
      <c r="D90" s="124" t="s">
        <v>2356</v>
      </c>
      <c r="E90" s="124" t="s">
        <v>136</v>
      </c>
      <c r="F90" s="124" t="s">
        <v>2357</v>
      </c>
      <c r="G90" s="137" t="s">
        <v>2345</v>
      </c>
      <c r="H90" s="124" t="s">
        <v>1042</v>
      </c>
      <c r="I90" s="166" t="s">
        <v>40</v>
      </c>
      <c r="J90" s="166" t="s">
        <v>2358</v>
      </c>
      <c r="K90" s="179" t="s">
        <v>41</v>
      </c>
      <c r="L90" s="137" t="s">
        <v>42</v>
      </c>
      <c r="M90" s="124" t="s">
        <v>43</v>
      </c>
      <c r="N90" s="166">
        <v>44866</v>
      </c>
      <c r="O90" s="124" t="s">
        <v>44</v>
      </c>
      <c r="P90" s="137" t="s">
        <v>2347</v>
      </c>
      <c r="Q90" s="137" t="s">
        <v>3676</v>
      </c>
      <c r="R90" s="124" t="s">
        <v>2359</v>
      </c>
      <c r="S90" s="124">
        <v>27392</v>
      </c>
      <c r="T90" s="134">
        <v>101395592979</v>
      </c>
      <c r="U90" s="126" t="s">
        <v>2361</v>
      </c>
      <c r="V90" s="126" t="s">
        <v>2360</v>
      </c>
      <c r="W90" s="135" t="s">
        <v>2362</v>
      </c>
      <c r="X90" s="135" t="s">
        <v>2363</v>
      </c>
      <c r="Y90" s="167" t="s">
        <v>552</v>
      </c>
      <c r="Z90" s="126" t="s">
        <v>551</v>
      </c>
      <c r="AA90" s="167" t="s">
        <v>2364</v>
      </c>
      <c r="AB90" s="167" t="s">
        <v>2364</v>
      </c>
      <c r="AC90" s="164" t="s">
        <v>2354</v>
      </c>
      <c r="AD90" s="140"/>
      <c r="AE90" s="126"/>
      <c r="AF90" s="126"/>
      <c r="AG90" s="168" t="s">
        <v>5100</v>
      </c>
      <c r="AH90" s="126"/>
      <c r="AI90" s="126"/>
      <c r="AJ90" s="136" t="s">
        <v>2358</v>
      </c>
      <c r="AK90" s="128"/>
      <c r="AL90" s="129"/>
      <c r="AM90" s="129"/>
    </row>
    <row r="91" spans="1:40" ht="47.25" customHeight="1">
      <c r="A91" s="137">
        <f>SUBTOTAL(3,$B$3:B91)</f>
        <v>89</v>
      </c>
      <c r="B91" s="164" t="s">
        <v>2365</v>
      </c>
      <c r="C91" s="165" t="s">
        <v>2366</v>
      </c>
      <c r="D91" s="124" t="s">
        <v>2366</v>
      </c>
      <c r="E91" s="124" t="s">
        <v>754</v>
      </c>
      <c r="F91" s="124" t="s">
        <v>2367</v>
      </c>
      <c r="G91" s="137" t="s">
        <v>2345</v>
      </c>
      <c r="H91" s="124" t="s">
        <v>1836</v>
      </c>
      <c r="I91" s="166" t="s">
        <v>40</v>
      </c>
      <c r="J91" s="166" t="s">
        <v>2368</v>
      </c>
      <c r="K91" s="179" t="s">
        <v>41</v>
      </c>
      <c r="L91" s="137" t="s">
        <v>42</v>
      </c>
      <c r="M91" s="124" t="s">
        <v>43</v>
      </c>
      <c r="N91" s="166">
        <v>44866</v>
      </c>
      <c r="O91" s="124" t="s">
        <v>44</v>
      </c>
      <c r="P91" s="137" t="s">
        <v>2347</v>
      </c>
      <c r="Q91" s="137" t="s">
        <v>3676</v>
      </c>
      <c r="R91" s="124" t="s">
        <v>2369</v>
      </c>
      <c r="S91" s="124">
        <v>27380</v>
      </c>
      <c r="T91" s="134">
        <v>101544641172</v>
      </c>
      <c r="U91" s="126" t="s">
        <v>2371</v>
      </c>
      <c r="V91" s="126" t="s">
        <v>2370</v>
      </c>
      <c r="W91" s="135" t="s">
        <v>2372</v>
      </c>
      <c r="X91" s="135" t="s">
        <v>2373</v>
      </c>
      <c r="Y91" s="167" t="s">
        <v>146</v>
      </c>
      <c r="Z91" s="126" t="s">
        <v>2374</v>
      </c>
      <c r="AA91" s="167" t="s">
        <v>2375</v>
      </c>
      <c r="AB91" s="167" t="s">
        <v>2375</v>
      </c>
      <c r="AC91" s="164" t="s">
        <v>2365</v>
      </c>
      <c r="AD91" s="140"/>
      <c r="AE91" s="126"/>
      <c r="AF91" s="126"/>
      <c r="AG91" s="168" t="s">
        <v>5346</v>
      </c>
      <c r="AH91" s="126"/>
      <c r="AI91" s="126"/>
      <c r="AJ91" s="136" t="s">
        <v>2368</v>
      </c>
      <c r="AK91" s="128"/>
      <c r="AL91" s="129"/>
      <c r="AM91" s="129"/>
    </row>
    <row r="92" spans="1:40" ht="47.25" customHeight="1">
      <c r="A92" s="137">
        <f>SUBTOTAL(3,$B$3:B92)</f>
        <v>90</v>
      </c>
      <c r="B92" s="164" t="s">
        <v>2376</v>
      </c>
      <c r="C92" s="165" t="s">
        <v>2377</v>
      </c>
      <c r="D92" s="124" t="s">
        <v>2377</v>
      </c>
      <c r="E92" s="124" t="s">
        <v>2378</v>
      </c>
      <c r="F92" s="124" t="s">
        <v>2379</v>
      </c>
      <c r="G92" s="137" t="s">
        <v>2345</v>
      </c>
      <c r="H92" s="124" t="s">
        <v>637</v>
      </c>
      <c r="I92" s="166" t="s">
        <v>40</v>
      </c>
      <c r="J92" s="166" t="s">
        <v>2380</v>
      </c>
      <c r="K92" s="179" t="s">
        <v>41</v>
      </c>
      <c r="L92" s="137" t="s">
        <v>42</v>
      </c>
      <c r="M92" s="124" t="s">
        <v>43</v>
      </c>
      <c r="N92" s="166">
        <v>44866</v>
      </c>
      <c r="O92" s="124" t="s">
        <v>44</v>
      </c>
      <c r="P92" s="137" t="s">
        <v>2347</v>
      </c>
      <c r="Q92" s="137" t="s">
        <v>3676</v>
      </c>
      <c r="R92" s="124" t="s">
        <v>2381</v>
      </c>
      <c r="S92" s="124">
        <v>27403</v>
      </c>
      <c r="T92" s="134">
        <v>101843640120</v>
      </c>
      <c r="U92" s="126" t="s">
        <v>6178</v>
      </c>
      <c r="V92" s="126" t="s">
        <v>2382</v>
      </c>
      <c r="W92" s="135" t="s">
        <v>2383</v>
      </c>
      <c r="X92" s="135" t="s">
        <v>2384</v>
      </c>
      <c r="Y92" s="167" t="s">
        <v>65</v>
      </c>
      <c r="Z92" s="126" t="s">
        <v>91</v>
      </c>
      <c r="AA92" s="167" t="s">
        <v>2385</v>
      </c>
      <c r="AB92" s="167" t="s">
        <v>2385</v>
      </c>
      <c r="AC92" s="164" t="s">
        <v>2376</v>
      </c>
      <c r="AD92" s="140"/>
      <c r="AE92" s="126"/>
      <c r="AF92" s="126"/>
      <c r="AG92" s="168" t="s">
        <v>5419</v>
      </c>
      <c r="AH92" s="126"/>
      <c r="AI92" s="126"/>
      <c r="AJ92" s="136" t="s">
        <v>2380</v>
      </c>
      <c r="AK92" s="128"/>
      <c r="AL92" s="129"/>
      <c r="AM92" s="129"/>
    </row>
    <row r="93" spans="1:40" ht="47.25" customHeight="1">
      <c r="A93" s="137">
        <f>SUBTOTAL(3,$B$3:B93)</f>
        <v>91</v>
      </c>
      <c r="B93" s="164" t="s">
        <v>2386</v>
      </c>
      <c r="C93" s="165" t="s">
        <v>2387</v>
      </c>
      <c r="D93" s="124" t="s">
        <v>2387</v>
      </c>
      <c r="E93" s="124" t="s">
        <v>249</v>
      </c>
      <c r="F93" s="124" t="s">
        <v>809</v>
      </c>
      <c r="G93" s="137" t="s">
        <v>2345</v>
      </c>
      <c r="H93" s="124" t="s">
        <v>38</v>
      </c>
      <c r="I93" s="166" t="s">
        <v>702</v>
      </c>
      <c r="J93" s="166" t="s">
        <v>2388</v>
      </c>
      <c r="K93" s="179" t="s">
        <v>280</v>
      </c>
      <c r="L93" s="137" t="s">
        <v>42</v>
      </c>
      <c r="M93" s="124" t="s">
        <v>43</v>
      </c>
      <c r="N93" s="166">
        <v>44866</v>
      </c>
      <c r="O93" s="124" t="s">
        <v>44</v>
      </c>
      <c r="P93" s="137" t="s">
        <v>2347</v>
      </c>
      <c r="Q93" s="137" t="s">
        <v>3676</v>
      </c>
      <c r="R93" s="124" t="s">
        <v>2390</v>
      </c>
      <c r="S93" s="124">
        <v>27443</v>
      </c>
      <c r="T93" s="134">
        <v>101672860001</v>
      </c>
      <c r="U93" s="126" t="s">
        <v>2392</v>
      </c>
      <c r="V93" s="126" t="s">
        <v>2391</v>
      </c>
      <c r="W93" s="135" t="s">
        <v>2393</v>
      </c>
      <c r="X93" s="135" t="s">
        <v>2394</v>
      </c>
      <c r="Y93" s="167" t="s">
        <v>65</v>
      </c>
      <c r="Z93" s="126" t="s">
        <v>91</v>
      </c>
      <c r="AA93" s="167" t="s">
        <v>6481</v>
      </c>
      <c r="AB93" s="167" t="s">
        <v>6481</v>
      </c>
      <c r="AC93" s="164" t="s">
        <v>2386</v>
      </c>
      <c r="AD93" s="140"/>
      <c r="AE93" s="126"/>
      <c r="AF93" s="126"/>
      <c r="AG93" s="168" t="s">
        <v>5439</v>
      </c>
      <c r="AH93" s="126"/>
      <c r="AI93" s="126"/>
      <c r="AJ93" s="136" t="s">
        <v>2388</v>
      </c>
      <c r="AK93" s="128"/>
      <c r="AL93" s="129"/>
      <c r="AM93" s="129"/>
    </row>
    <row r="94" spans="1:40" ht="47.25" customHeight="1">
      <c r="A94" s="137">
        <f>SUBTOTAL(3,$B$3:B94)</f>
        <v>92</v>
      </c>
      <c r="B94" s="169" t="s">
        <v>2395</v>
      </c>
      <c r="C94" s="124" t="s">
        <v>3705</v>
      </c>
      <c r="D94" s="124" t="s">
        <v>3706</v>
      </c>
      <c r="E94" s="124" t="s">
        <v>1428</v>
      </c>
      <c r="F94" s="124" t="s">
        <v>1065</v>
      </c>
      <c r="G94" s="137" t="s">
        <v>2345</v>
      </c>
      <c r="H94" s="124" t="s">
        <v>2396</v>
      </c>
      <c r="I94" s="166" t="s">
        <v>40</v>
      </c>
      <c r="J94" s="166" t="s">
        <v>2397</v>
      </c>
      <c r="K94" s="179" t="s">
        <v>41</v>
      </c>
      <c r="L94" s="137" t="s">
        <v>42</v>
      </c>
      <c r="M94" s="124" t="s">
        <v>43</v>
      </c>
      <c r="N94" s="180">
        <v>44866</v>
      </c>
      <c r="O94" s="124" t="s">
        <v>44</v>
      </c>
      <c r="P94" s="137" t="s">
        <v>2347</v>
      </c>
      <c r="Q94" s="137" t="s">
        <v>3676</v>
      </c>
      <c r="R94" s="124" t="s">
        <v>2398</v>
      </c>
      <c r="S94" s="124">
        <v>27379</v>
      </c>
      <c r="T94" s="134">
        <v>101843640022</v>
      </c>
      <c r="U94" s="126" t="s">
        <v>2400</v>
      </c>
      <c r="V94" s="126" t="s">
        <v>2399</v>
      </c>
      <c r="W94" s="135" t="s">
        <v>2401</v>
      </c>
      <c r="X94" s="135" t="s">
        <v>2402</v>
      </c>
      <c r="Y94" s="167" t="s">
        <v>146</v>
      </c>
      <c r="Z94" s="126" t="s">
        <v>2403</v>
      </c>
      <c r="AA94" s="167" t="s">
        <v>2404</v>
      </c>
      <c r="AB94" s="167" t="s">
        <v>2404</v>
      </c>
      <c r="AC94" s="164" t="s">
        <v>2395</v>
      </c>
      <c r="AD94" s="140"/>
      <c r="AE94" s="126"/>
      <c r="AF94" s="126"/>
      <c r="AG94" s="168" t="s">
        <v>5349</v>
      </c>
      <c r="AH94" s="126"/>
      <c r="AI94" s="126"/>
      <c r="AJ94" s="136" t="s">
        <v>2397</v>
      </c>
      <c r="AK94" s="128"/>
      <c r="AL94" s="129"/>
      <c r="AM94" s="129"/>
    </row>
    <row r="95" spans="1:40" ht="47.25" customHeight="1">
      <c r="A95" s="137">
        <f>SUBTOTAL(3,$B$3:B95)</f>
        <v>93</v>
      </c>
      <c r="B95" s="169" t="s">
        <v>2405</v>
      </c>
      <c r="C95" s="124" t="s">
        <v>2406</v>
      </c>
      <c r="D95" s="124" t="s">
        <v>2406</v>
      </c>
      <c r="E95" s="124" t="s">
        <v>2407</v>
      </c>
      <c r="F95" s="124" t="s">
        <v>2408</v>
      </c>
      <c r="G95" s="137" t="s">
        <v>2345</v>
      </c>
      <c r="H95" s="124" t="s">
        <v>2409</v>
      </c>
      <c r="I95" s="166" t="s">
        <v>40</v>
      </c>
      <c r="J95" s="166" t="s">
        <v>2410</v>
      </c>
      <c r="K95" s="179" t="s">
        <v>41</v>
      </c>
      <c r="L95" s="137" t="s">
        <v>42</v>
      </c>
      <c r="M95" s="124" t="s">
        <v>43</v>
      </c>
      <c r="N95" s="166">
        <v>44866</v>
      </c>
      <c r="O95" s="124" t="s">
        <v>44</v>
      </c>
      <c r="P95" s="137" t="s">
        <v>2347</v>
      </c>
      <c r="Q95" s="137" t="s">
        <v>3676</v>
      </c>
      <c r="R95" s="124" t="s">
        <v>2411</v>
      </c>
      <c r="S95" s="124">
        <v>27460</v>
      </c>
      <c r="T95" s="134">
        <v>101838492498</v>
      </c>
      <c r="U95" s="126" t="s">
        <v>2413</v>
      </c>
      <c r="V95" s="126" t="s">
        <v>2412</v>
      </c>
      <c r="W95" s="135" t="s">
        <v>2414</v>
      </c>
      <c r="X95" s="135" t="s">
        <v>2415</v>
      </c>
      <c r="Y95" s="167" t="s">
        <v>132</v>
      </c>
      <c r="Z95" s="126" t="s">
        <v>2416</v>
      </c>
      <c r="AA95" s="167" t="s">
        <v>2417</v>
      </c>
      <c r="AB95" s="167" t="s">
        <v>2417</v>
      </c>
      <c r="AC95" s="164" t="s">
        <v>2405</v>
      </c>
      <c r="AD95" s="140"/>
      <c r="AE95" s="126"/>
      <c r="AF95" s="126"/>
      <c r="AG95" s="168" t="s">
        <v>5297</v>
      </c>
      <c r="AH95" s="126"/>
      <c r="AI95" s="126"/>
      <c r="AJ95" s="136" t="s">
        <v>2410</v>
      </c>
      <c r="AK95" s="128"/>
      <c r="AL95" s="129"/>
      <c r="AM95" s="129"/>
    </row>
    <row r="96" spans="1:40" ht="47.25" customHeight="1">
      <c r="A96" s="137">
        <f>SUBTOTAL(3,$B$3:B96)</f>
        <v>94</v>
      </c>
      <c r="B96" s="164" t="s">
        <v>2418</v>
      </c>
      <c r="C96" s="165" t="s">
        <v>2419</v>
      </c>
      <c r="D96" s="124" t="s">
        <v>2420</v>
      </c>
      <c r="E96" s="124" t="s">
        <v>2421</v>
      </c>
      <c r="F96" s="124" t="s">
        <v>1309</v>
      </c>
      <c r="G96" s="137" t="s">
        <v>2389</v>
      </c>
      <c r="H96" s="124" t="s">
        <v>2422</v>
      </c>
      <c r="I96" s="166" t="s">
        <v>40</v>
      </c>
      <c r="J96" s="166" t="s">
        <v>2423</v>
      </c>
      <c r="K96" s="179" t="s">
        <v>41</v>
      </c>
      <c r="L96" s="137" t="s">
        <v>42</v>
      </c>
      <c r="M96" s="124" t="s">
        <v>43</v>
      </c>
      <c r="N96" s="180">
        <v>44866</v>
      </c>
      <c r="O96" s="124" t="s">
        <v>44</v>
      </c>
      <c r="P96" s="137" t="s">
        <v>2347</v>
      </c>
      <c r="Q96" s="137" t="s">
        <v>3676</v>
      </c>
      <c r="R96" s="124">
        <v>7622971735</v>
      </c>
      <c r="S96" s="124">
        <v>27440</v>
      </c>
      <c r="T96" s="134">
        <v>101844627196</v>
      </c>
      <c r="U96" s="126" t="s">
        <v>2425</v>
      </c>
      <c r="V96" s="126" t="s">
        <v>2424</v>
      </c>
      <c r="W96" s="135" t="s">
        <v>2426</v>
      </c>
      <c r="X96" s="135" t="s">
        <v>2427</v>
      </c>
      <c r="Y96" s="167" t="s">
        <v>146</v>
      </c>
      <c r="Z96" s="126" t="s">
        <v>2428</v>
      </c>
      <c r="AA96" s="167" t="s">
        <v>2429</v>
      </c>
      <c r="AB96" s="167" t="s">
        <v>2429</v>
      </c>
      <c r="AC96" s="164" t="s">
        <v>2418</v>
      </c>
      <c r="AD96" s="140"/>
      <c r="AE96" s="126"/>
      <c r="AF96" s="126"/>
      <c r="AG96" s="168" t="s">
        <v>5378</v>
      </c>
      <c r="AH96" s="126"/>
      <c r="AI96" s="126"/>
      <c r="AJ96" s="136" t="s">
        <v>2423</v>
      </c>
      <c r="AK96" s="128"/>
      <c r="AL96" s="129"/>
      <c r="AM96" s="129"/>
    </row>
    <row r="97" spans="1:39" ht="47.25" customHeight="1">
      <c r="A97" s="137">
        <f>SUBTOTAL(3,$B$3:B97)</f>
        <v>95</v>
      </c>
      <c r="B97" s="164" t="s">
        <v>2430</v>
      </c>
      <c r="C97" s="165" t="s">
        <v>2431</v>
      </c>
      <c r="D97" s="124" t="s">
        <v>2431</v>
      </c>
      <c r="E97" s="124" t="s">
        <v>2432</v>
      </c>
      <c r="F97" s="124" t="s">
        <v>83</v>
      </c>
      <c r="G97" s="137" t="s">
        <v>2345</v>
      </c>
      <c r="H97" s="124" t="s">
        <v>1899</v>
      </c>
      <c r="I97" s="166" t="s">
        <v>40</v>
      </c>
      <c r="J97" s="166" t="s">
        <v>2433</v>
      </c>
      <c r="K97" s="179" t="s">
        <v>41</v>
      </c>
      <c r="L97" s="137" t="s">
        <v>42</v>
      </c>
      <c r="M97" s="124" t="s">
        <v>43</v>
      </c>
      <c r="N97" s="180">
        <v>44866</v>
      </c>
      <c r="O97" s="124" t="s">
        <v>44</v>
      </c>
      <c r="P97" s="137" t="s">
        <v>2347</v>
      </c>
      <c r="Q97" s="137" t="s">
        <v>3676</v>
      </c>
      <c r="R97" s="124" t="s">
        <v>2434</v>
      </c>
      <c r="S97" s="124">
        <f>VLOOKUP(B97,'[1]SN Salary Sheet'!$A$4:$D$207,4,0)</f>
        <v>28245</v>
      </c>
      <c r="T97" s="125">
        <v>101853094111</v>
      </c>
      <c r="U97" s="126" t="s">
        <v>6178</v>
      </c>
      <c r="V97" s="126" t="s">
        <v>2435</v>
      </c>
      <c r="W97" s="181" t="s">
        <v>2436</v>
      </c>
      <c r="X97" s="135" t="s">
        <v>2437</v>
      </c>
      <c r="Y97" s="167" t="s">
        <v>65</v>
      </c>
      <c r="Z97" s="126" t="s">
        <v>2438</v>
      </c>
      <c r="AA97" s="167" t="s">
        <v>2439</v>
      </c>
      <c r="AB97" s="167" t="s">
        <v>2439</v>
      </c>
      <c r="AC97" s="164" t="s">
        <v>2430</v>
      </c>
      <c r="AD97" s="140"/>
      <c r="AE97" s="126"/>
      <c r="AF97" s="126"/>
      <c r="AG97" s="168" t="s">
        <v>5426</v>
      </c>
      <c r="AH97" s="126"/>
      <c r="AI97" s="126"/>
      <c r="AJ97" s="136" t="s">
        <v>2433</v>
      </c>
      <c r="AK97" s="128"/>
      <c r="AL97" s="129"/>
      <c r="AM97" s="129"/>
    </row>
    <row r="98" spans="1:39" ht="47.25" customHeight="1">
      <c r="A98" s="137">
        <f>SUBTOTAL(3,$B$3:B98)</f>
        <v>96</v>
      </c>
      <c r="B98" s="164" t="s">
        <v>2440</v>
      </c>
      <c r="C98" s="165" t="s">
        <v>2441</v>
      </c>
      <c r="D98" s="124" t="s">
        <v>2441</v>
      </c>
      <c r="E98" s="124" t="s">
        <v>1198</v>
      </c>
      <c r="F98" s="124" t="s">
        <v>2442</v>
      </c>
      <c r="G98" s="137" t="s">
        <v>2345</v>
      </c>
      <c r="H98" s="124" t="s">
        <v>799</v>
      </c>
      <c r="I98" s="166" t="s">
        <v>40</v>
      </c>
      <c r="J98" s="166" t="s">
        <v>2443</v>
      </c>
      <c r="K98" s="179" t="s">
        <v>41</v>
      </c>
      <c r="L98" s="137" t="s">
        <v>42</v>
      </c>
      <c r="M98" s="124" t="s">
        <v>43</v>
      </c>
      <c r="N98" s="166">
        <v>44866</v>
      </c>
      <c r="O98" s="124" t="s">
        <v>44</v>
      </c>
      <c r="P98" s="137" t="s">
        <v>2347</v>
      </c>
      <c r="Q98" s="137" t="s">
        <v>3676</v>
      </c>
      <c r="R98" s="124" t="s">
        <v>2444</v>
      </c>
      <c r="S98" s="124">
        <v>27404</v>
      </c>
      <c r="T98" s="134">
        <v>101809249340</v>
      </c>
      <c r="U98" s="126" t="s">
        <v>6178</v>
      </c>
      <c r="V98" s="126" t="s">
        <v>2445</v>
      </c>
      <c r="W98" s="135" t="s">
        <v>2446</v>
      </c>
      <c r="X98" s="135" t="s">
        <v>2447</v>
      </c>
      <c r="Y98" s="167" t="s">
        <v>1289</v>
      </c>
      <c r="Z98" s="126" t="s">
        <v>2448</v>
      </c>
      <c r="AA98" s="167" t="s">
        <v>2449</v>
      </c>
      <c r="AB98" s="167" t="s">
        <v>2449</v>
      </c>
      <c r="AC98" s="164" t="s">
        <v>2440</v>
      </c>
      <c r="AD98" s="140"/>
      <c r="AE98" s="126"/>
      <c r="AF98" s="126"/>
      <c r="AG98" s="168" t="s">
        <v>5099</v>
      </c>
      <c r="AH98" s="126"/>
      <c r="AI98" s="126"/>
      <c r="AJ98" s="136" t="s">
        <v>2443</v>
      </c>
      <c r="AK98" s="128"/>
      <c r="AL98" s="129"/>
      <c r="AM98" s="129"/>
    </row>
    <row r="99" spans="1:39" ht="47.25" customHeight="1">
      <c r="A99" s="137">
        <f>SUBTOTAL(3,$B$3:B99)</f>
        <v>97</v>
      </c>
      <c r="B99" s="164" t="s">
        <v>2450</v>
      </c>
      <c r="C99" s="165" t="s">
        <v>2451</v>
      </c>
      <c r="D99" s="124" t="s">
        <v>2451</v>
      </c>
      <c r="E99" s="124" t="s">
        <v>136</v>
      </c>
      <c r="F99" s="124" t="s">
        <v>2452</v>
      </c>
      <c r="G99" s="137" t="s">
        <v>2345</v>
      </c>
      <c r="H99" s="124" t="s">
        <v>2453</v>
      </c>
      <c r="I99" s="166" t="s">
        <v>40</v>
      </c>
      <c r="J99" s="166" t="s">
        <v>2454</v>
      </c>
      <c r="K99" s="179" t="s">
        <v>41</v>
      </c>
      <c r="L99" s="137" t="s">
        <v>42</v>
      </c>
      <c r="M99" s="124" t="s">
        <v>43</v>
      </c>
      <c r="N99" s="180">
        <v>44866</v>
      </c>
      <c r="O99" s="124" t="s">
        <v>44</v>
      </c>
      <c r="P99" s="137" t="s">
        <v>2347</v>
      </c>
      <c r="Q99" s="137" t="s">
        <v>3676</v>
      </c>
      <c r="R99" s="124" t="s">
        <v>2455</v>
      </c>
      <c r="S99" s="124">
        <v>27461</v>
      </c>
      <c r="T99" s="134">
        <v>101652778220</v>
      </c>
      <c r="U99" s="126" t="s">
        <v>2457</v>
      </c>
      <c r="V99" s="126" t="s">
        <v>2456</v>
      </c>
      <c r="W99" s="135" t="s">
        <v>2458</v>
      </c>
      <c r="X99" s="135" t="s">
        <v>2459</v>
      </c>
      <c r="Y99" s="167" t="s">
        <v>146</v>
      </c>
      <c r="Z99" s="126" t="s">
        <v>2460</v>
      </c>
      <c r="AA99" s="167" t="s">
        <v>2461</v>
      </c>
      <c r="AB99" s="167" t="s">
        <v>2461</v>
      </c>
      <c r="AC99" s="164" t="s">
        <v>2450</v>
      </c>
      <c r="AD99" s="140"/>
      <c r="AE99" s="126"/>
      <c r="AF99" s="126"/>
      <c r="AG99" s="168" t="s">
        <v>5440</v>
      </c>
      <c r="AH99" s="126"/>
      <c r="AI99" s="126"/>
      <c r="AJ99" s="136" t="s">
        <v>2454</v>
      </c>
      <c r="AK99" s="128"/>
      <c r="AL99" s="129"/>
      <c r="AM99" s="129"/>
    </row>
    <row r="100" spans="1:39" ht="47.25" customHeight="1">
      <c r="A100" s="137">
        <f>SUBTOTAL(3,$B$3:B100)</f>
        <v>98</v>
      </c>
      <c r="B100" s="164" t="s">
        <v>2462</v>
      </c>
      <c r="C100" s="165" t="s">
        <v>2463</v>
      </c>
      <c r="D100" s="124" t="s">
        <v>2463</v>
      </c>
      <c r="E100" s="124" t="s">
        <v>330</v>
      </c>
      <c r="F100" s="124" t="s">
        <v>2464</v>
      </c>
      <c r="G100" s="137" t="s">
        <v>2389</v>
      </c>
      <c r="H100" s="124" t="s">
        <v>768</v>
      </c>
      <c r="I100" s="166" t="s">
        <v>40</v>
      </c>
      <c r="J100" s="166" t="s">
        <v>2465</v>
      </c>
      <c r="K100" s="179" t="s">
        <v>41</v>
      </c>
      <c r="L100" s="137" t="s">
        <v>42</v>
      </c>
      <c r="M100" s="124" t="s">
        <v>43</v>
      </c>
      <c r="N100" s="166">
        <v>44866</v>
      </c>
      <c r="O100" s="124" t="s">
        <v>44</v>
      </c>
      <c r="P100" s="137" t="s">
        <v>2347</v>
      </c>
      <c r="Q100" s="137" t="s">
        <v>3676</v>
      </c>
      <c r="R100" s="124">
        <v>7046945095</v>
      </c>
      <c r="S100" s="124">
        <v>27371</v>
      </c>
      <c r="T100" s="134">
        <v>101843640014</v>
      </c>
      <c r="U100" s="126" t="s">
        <v>2467</v>
      </c>
      <c r="V100" s="126" t="s">
        <v>2466</v>
      </c>
      <c r="W100" s="135" t="s">
        <v>2468</v>
      </c>
      <c r="X100" s="135" t="s">
        <v>2469</v>
      </c>
      <c r="Y100" s="167" t="s">
        <v>65</v>
      </c>
      <c r="Z100" s="126" t="s">
        <v>2470</v>
      </c>
      <c r="AA100" s="167" t="s">
        <v>2471</v>
      </c>
      <c r="AB100" s="167" t="s">
        <v>2471</v>
      </c>
      <c r="AC100" s="164" t="s">
        <v>2462</v>
      </c>
      <c r="AD100" s="140"/>
      <c r="AE100" s="126"/>
      <c r="AF100" s="126"/>
      <c r="AG100" s="168" t="s">
        <v>5239</v>
      </c>
      <c r="AH100" s="126"/>
      <c r="AI100" s="126"/>
      <c r="AJ100" s="136" t="s">
        <v>2465</v>
      </c>
      <c r="AK100" s="128"/>
      <c r="AL100" s="129"/>
      <c r="AM100" s="129"/>
    </row>
    <row r="101" spans="1:39" ht="47.25" customHeight="1">
      <c r="A101" s="137">
        <f>SUBTOTAL(3,$B$3:B101)</f>
        <v>99</v>
      </c>
      <c r="B101" s="164" t="s">
        <v>328</v>
      </c>
      <c r="C101" s="165" t="s">
        <v>2472</v>
      </c>
      <c r="D101" s="124" t="s">
        <v>2472</v>
      </c>
      <c r="E101" s="124" t="s">
        <v>2473</v>
      </c>
      <c r="F101" s="124" t="s">
        <v>331</v>
      </c>
      <c r="G101" s="137" t="s">
        <v>2345</v>
      </c>
      <c r="H101" s="124" t="s">
        <v>441</v>
      </c>
      <c r="I101" s="166" t="s">
        <v>40</v>
      </c>
      <c r="J101" s="166" t="s">
        <v>2474</v>
      </c>
      <c r="K101" s="179" t="s">
        <v>41</v>
      </c>
      <c r="L101" s="137" t="s">
        <v>42</v>
      </c>
      <c r="M101" s="124" t="s">
        <v>43</v>
      </c>
      <c r="N101" s="166">
        <v>44866</v>
      </c>
      <c r="O101" s="124" t="s">
        <v>44</v>
      </c>
      <c r="P101" s="137" t="s">
        <v>2347</v>
      </c>
      <c r="Q101" s="137" t="s">
        <v>3676</v>
      </c>
      <c r="R101" s="124" t="s">
        <v>2475</v>
      </c>
      <c r="S101" s="124">
        <v>27365</v>
      </c>
      <c r="T101" s="134">
        <v>101843639582</v>
      </c>
      <c r="U101" s="126" t="s">
        <v>2477</v>
      </c>
      <c r="V101" s="126" t="s">
        <v>2476</v>
      </c>
      <c r="W101" s="135" t="s">
        <v>2478</v>
      </c>
      <c r="X101" s="135" t="s">
        <v>2479</v>
      </c>
      <c r="Y101" s="167" t="s">
        <v>146</v>
      </c>
      <c r="Z101" s="126" t="s">
        <v>2480</v>
      </c>
      <c r="AA101" s="167" t="s">
        <v>2481</v>
      </c>
      <c r="AB101" s="167" t="s">
        <v>2481</v>
      </c>
      <c r="AC101" s="164" t="s">
        <v>328</v>
      </c>
      <c r="AD101" s="140"/>
      <c r="AE101" s="126"/>
      <c r="AF101" s="126"/>
      <c r="AG101" s="168" t="s">
        <v>5373</v>
      </c>
      <c r="AH101" s="126"/>
      <c r="AI101" s="126"/>
      <c r="AJ101" s="136" t="s">
        <v>2474</v>
      </c>
      <c r="AK101" s="128"/>
      <c r="AL101" s="129"/>
      <c r="AM101" s="129"/>
    </row>
    <row r="102" spans="1:39" ht="47.25" customHeight="1">
      <c r="A102" s="137">
        <f>SUBTOTAL(3,$B$3:B102)</f>
        <v>100</v>
      </c>
      <c r="B102" s="164" t="s">
        <v>2482</v>
      </c>
      <c r="C102" s="165" t="s">
        <v>2483</v>
      </c>
      <c r="D102" s="124" t="s">
        <v>2483</v>
      </c>
      <c r="E102" s="124" t="s">
        <v>2484</v>
      </c>
      <c r="F102" s="124" t="s">
        <v>532</v>
      </c>
      <c r="G102" s="137" t="s">
        <v>2389</v>
      </c>
      <c r="H102" s="124" t="s">
        <v>2485</v>
      </c>
      <c r="I102" s="166" t="s">
        <v>40</v>
      </c>
      <c r="J102" s="166" t="s">
        <v>2486</v>
      </c>
      <c r="K102" s="179" t="s">
        <v>41</v>
      </c>
      <c r="L102" s="137" t="s">
        <v>42</v>
      </c>
      <c r="M102" s="124" t="s">
        <v>43</v>
      </c>
      <c r="N102" s="180">
        <v>44866</v>
      </c>
      <c r="O102" s="124" t="s">
        <v>44</v>
      </c>
      <c r="P102" s="137" t="s">
        <v>2347</v>
      </c>
      <c r="Q102" s="137" t="s">
        <v>3676</v>
      </c>
      <c r="R102" s="124" t="s">
        <v>2487</v>
      </c>
      <c r="S102" s="124">
        <v>27442</v>
      </c>
      <c r="T102" s="134">
        <v>101844627411</v>
      </c>
      <c r="U102" s="126" t="s">
        <v>2489</v>
      </c>
      <c r="V102" s="126" t="s">
        <v>2488</v>
      </c>
      <c r="W102" s="135" t="s">
        <v>2490</v>
      </c>
      <c r="X102" s="135" t="s">
        <v>2491</v>
      </c>
      <c r="Y102" s="167" t="s">
        <v>65</v>
      </c>
      <c r="Z102" s="126" t="s">
        <v>2492</v>
      </c>
      <c r="AA102" s="167" t="s">
        <v>6482</v>
      </c>
      <c r="AB102" s="167" t="s">
        <v>6482</v>
      </c>
      <c r="AC102" s="164" t="s">
        <v>2482</v>
      </c>
      <c r="AD102" s="140"/>
      <c r="AE102" s="126"/>
      <c r="AF102" s="126"/>
      <c r="AG102" s="168" t="s">
        <v>5351</v>
      </c>
      <c r="AH102" s="126"/>
      <c r="AI102" s="126"/>
      <c r="AJ102" s="136" t="s">
        <v>2486</v>
      </c>
      <c r="AK102" s="128"/>
      <c r="AL102" s="129"/>
      <c r="AM102" s="129"/>
    </row>
    <row r="103" spans="1:39" ht="47.25" customHeight="1">
      <c r="A103" s="137">
        <f>SUBTOTAL(3,$B$3:B103)</f>
        <v>101</v>
      </c>
      <c r="B103" s="164" t="s">
        <v>2493</v>
      </c>
      <c r="C103" s="165" t="s">
        <v>2494</v>
      </c>
      <c r="D103" s="124" t="s">
        <v>2494</v>
      </c>
      <c r="E103" s="124" t="s">
        <v>2495</v>
      </c>
      <c r="F103" s="124" t="s">
        <v>2496</v>
      </c>
      <c r="G103" s="137" t="s">
        <v>2389</v>
      </c>
      <c r="H103" s="124" t="s">
        <v>570</v>
      </c>
      <c r="I103" s="166" t="s">
        <v>40</v>
      </c>
      <c r="J103" s="166" t="s">
        <v>2497</v>
      </c>
      <c r="K103" s="179" t="s">
        <v>41</v>
      </c>
      <c r="L103" s="137" t="s">
        <v>42</v>
      </c>
      <c r="M103" s="124" t="s">
        <v>43</v>
      </c>
      <c r="N103" s="166">
        <v>44866</v>
      </c>
      <c r="O103" s="124" t="s">
        <v>44</v>
      </c>
      <c r="P103" s="137" t="s">
        <v>2347</v>
      </c>
      <c r="Q103" s="137" t="s">
        <v>3676</v>
      </c>
      <c r="R103" s="124">
        <v>9081507616</v>
      </c>
      <c r="S103" s="124">
        <v>27386</v>
      </c>
      <c r="T103" s="134">
        <v>101835226980</v>
      </c>
      <c r="U103" s="126" t="s">
        <v>2499</v>
      </c>
      <c r="V103" s="126" t="s">
        <v>2498</v>
      </c>
      <c r="W103" s="135" t="s">
        <v>2500</v>
      </c>
      <c r="X103" s="135" t="s">
        <v>2501</v>
      </c>
      <c r="Y103" s="167" t="s">
        <v>146</v>
      </c>
      <c r="Z103" s="126" t="s">
        <v>2502</v>
      </c>
      <c r="AA103" s="167" t="s">
        <v>6486</v>
      </c>
      <c r="AB103" s="167" t="s">
        <v>6486</v>
      </c>
      <c r="AC103" s="164" t="s">
        <v>2493</v>
      </c>
      <c r="AD103" s="140"/>
      <c r="AE103" s="126"/>
      <c r="AF103" s="126"/>
      <c r="AG103" s="168" t="s">
        <v>5298</v>
      </c>
      <c r="AH103" s="126"/>
      <c r="AI103" s="126"/>
      <c r="AJ103" s="136" t="s">
        <v>2497</v>
      </c>
      <c r="AK103" s="128"/>
      <c r="AL103" s="129"/>
      <c r="AM103" s="129"/>
    </row>
    <row r="104" spans="1:39" ht="47.25" customHeight="1">
      <c r="A104" s="137">
        <f>SUBTOTAL(3,$B$3:B104)</f>
        <v>102</v>
      </c>
      <c r="B104" s="169" t="s">
        <v>2503</v>
      </c>
      <c r="C104" s="124" t="s">
        <v>2504</v>
      </c>
      <c r="D104" s="124" t="s">
        <v>2504</v>
      </c>
      <c r="E104" s="124" t="s">
        <v>2505</v>
      </c>
      <c r="F104" s="124" t="s">
        <v>2506</v>
      </c>
      <c r="G104" s="137" t="s">
        <v>2389</v>
      </c>
      <c r="H104" s="124" t="s">
        <v>2422</v>
      </c>
      <c r="I104" s="166" t="s">
        <v>40</v>
      </c>
      <c r="J104" s="166" t="s">
        <v>202</v>
      </c>
      <c r="K104" s="179" t="s">
        <v>41</v>
      </c>
      <c r="L104" s="137" t="s">
        <v>42</v>
      </c>
      <c r="M104" s="124" t="s">
        <v>43</v>
      </c>
      <c r="N104" s="180">
        <v>44866</v>
      </c>
      <c r="O104" s="124" t="s">
        <v>44</v>
      </c>
      <c r="P104" s="137" t="s">
        <v>2347</v>
      </c>
      <c r="Q104" s="137" t="s">
        <v>3676</v>
      </c>
      <c r="R104" s="124" t="s">
        <v>2507</v>
      </c>
      <c r="S104" s="124">
        <v>27409</v>
      </c>
      <c r="T104" s="134">
        <v>101843640149</v>
      </c>
      <c r="U104" s="126" t="s">
        <v>2509</v>
      </c>
      <c r="V104" s="126" t="s">
        <v>2508</v>
      </c>
      <c r="W104" s="135" t="s">
        <v>2510</v>
      </c>
      <c r="X104" s="135" t="s">
        <v>2511</v>
      </c>
      <c r="Y104" s="167" t="s">
        <v>339</v>
      </c>
      <c r="Z104" s="126" t="s">
        <v>298</v>
      </c>
      <c r="AA104" s="167" t="s">
        <v>2512</v>
      </c>
      <c r="AB104" s="167" t="s">
        <v>2512</v>
      </c>
      <c r="AC104" s="164" t="s">
        <v>2503</v>
      </c>
      <c r="AD104" s="140"/>
      <c r="AE104" s="126"/>
      <c r="AF104" s="126"/>
      <c r="AG104" s="168" t="s">
        <v>5359</v>
      </c>
      <c r="AH104" s="126"/>
      <c r="AI104" s="126"/>
      <c r="AJ104" s="136" t="s">
        <v>202</v>
      </c>
      <c r="AK104" s="128"/>
      <c r="AL104" s="129"/>
      <c r="AM104" s="129"/>
    </row>
    <row r="105" spans="1:39" ht="47.25" customHeight="1">
      <c r="A105" s="137">
        <f>SUBTOTAL(3,$B$3:B105)</f>
        <v>103</v>
      </c>
      <c r="B105" s="164" t="s">
        <v>2513</v>
      </c>
      <c r="C105" s="165" t="s">
        <v>2514</v>
      </c>
      <c r="D105" s="124" t="s">
        <v>2514</v>
      </c>
      <c r="E105" s="124" t="s">
        <v>2515</v>
      </c>
      <c r="F105" s="124" t="s">
        <v>2516</v>
      </c>
      <c r="G105" s="137" t="s">
        <v>2389</v>
      </c>
      <c r="H105" s="124" t="s">
        <v>593</v>
      </c>
      <c r="I105" s="166" t="s">
        <v>40</v>
      </c>
      <c r="J105" s="166" t="s">
        <v>2517</v>
      </c>
      <c r="K105" s="179" t="s">
        <v>41</v>
      </c>
      <c r="L105" s="137" t="s">
        <v>42</v>
      </c>
      <c r="M105" s="124" t="s">
        <v>43</v>
      </c>
      <c r="N105" s="180">
        <v>44866</v>
      </c>
      <c r="O105" s="124" t="s">
        <v>44</v>
      </c>
      <c r="P105" s="137" t="s">
        <v>2347</v>
      </c>
      <c r="Q105" s="137" t="s">
        <v>3676</v>
      </c>
      <c r="R105" s="124" t="s">
        <v>2518</v>
      </c>
      <c r="S105" s="124">
        <v>27383</v>
      </c>
      <c r="T105" s="134">
        <v>101825400643</v>
      </c>
      <c r="U105" s="126" t="s">
        <v>6480</v>
      </c>
      <c r="V105" s="126" t="s">
        <v>2519</v>
      </c>
      <c r="W105" s="135" t="s">
        <v>2520</v>
      </c>
      <c r="X105" s="135" t="s">
        <v>2521</v>
      </c>
      <c r="Y105" s="167" t="s">
        <v>65</v>
      </c>
      <c r="Z105" s="126" t="s">
        <v>707</v>
      </c>
      <c r="AA105" s="167" t="s">
        <v>2522</v>
      </c>
      <c r="AB105" s="167" t="s">
        <v>2522</v>
      </c>
      <c r="AC105" s="164" t="s">
        <v>2513</v>
      </c>
      <c r="AD105" s="140"/>
      <c r="AE105" s="126"/>
      <c r="AF105" s="126"/>
      <c r="AG105" s="168" t="s">
        <v>5344</v>
      </c>
      <c r="AH105" s="126"/>
      <c r="AI105" s="126"/>
      <c r="AJ105" s="136" t="s">
        <v>2517</v>
      </c>
      <c r="AK105" s="128"/>
      <c r="AL105" s="129"/>
      <c r="AM105" s="129"/>
    </row>
    <row r="106" spans="1:39" ht="47.25" customHeight="1">
      <c r="A106" s="137">
        <f>SUBTOTAL(3,$B$3:B106)</f>
        <v>104</v>
      </c>
      <c r="B106" s="164" t="s">
        <v>2523</v>
      </c>
      <c r="C106" s="165" t="s">
        <v>2524</v>
      </c>
      <c r="D106" s="124" t="s">
        <v>2524</v>
      </c>
      <c r="E106" s="124" t="s">
        <v>788</v>
      </c>
      <c r="F106" s="124" t="s">
        <v>2525</v>
      </c>
      <c r="G106" s="137" t="s">
        <v>2345</v>
      </c>
      <c r="H106" s="124" t="s">
        <v>1781</v>
      </c>
      <c r="I106" s="166" t="s">
        <v>40</v>
      </c>
      <c r="J106" s="166" t="s">
        <v>2526</v>
      </c>
      <c r="K106" s="179" t="s">
        <v>280</v>
      </c>
      <c r="L106" s="137" t="s">
        <v>42</v>
      </c>
      <c r="M106" s="124" t="s">
        <v>43</v>
      </c>
      <c r="N106" s="180">
        <v>44866</v>
      </c>
      <c r="O106" s="124" t="s">
        <v>44</v>
      </c>
      <c r="P106" s="137" t="s">
        <v>2347</v>
      </c>
      <c r="Q106" s="137" t="s">
        <v>3676</v>
      </c>
      <c r="R106" s="124" t="s">
        <v>2527</v>
      </c>
      <c r="S106" s="124">
        <v>27366</v>
      </c>
      <c r="T106" s="134">
        <v>101672424769</v>
      </c>
      <c r="U106" s="126" t="s">
        <v>2529</v>
      </c>
      <c r="V106" s="126" t="s">
        <v>2528</v>
      </c>
      <c r="W106" s="135" t="s">
        <v>2530</v>
      </c>
      <c r="X106" s="135" t="s">
        <v>2531</v>
      </c>
      <c r="Y106" s="167" t="s">
        <v>326</v>
      </c>
      <c r="Z106" s="126" t="s">
        <v>2532</v>
      </c>
      <c r="AA106" s="167" t="s">
        <v>2533</v>
      </c>
      <c r="AB106" s="167" t="s">
        <v>6463</v>
      </c>
      <c r="AC106" s="164" t="s">
        <v>2523</v>
      </c>
      <c r="AD106" s="140"/>
      <c r="AE106" s="126"/>
      <c r="AF106" s="126"/>
      <c r="AG106" s="168" t="s">
        <v>5277</v>
      </c>
      <c r="AH106" s="126"/>
      <c r="AI106" s="126"/>
      <c r="AJ106" s="136" t="s">
        <v>2526</v>
      </c>
      <c r="AK106" s="128"/>
      <c r="AL106" s="129"/>
      <c r="AM106" s="129"/>
    </row>
    <row r="107" spans="1:39" ht="47.25" customHeight="1">
      <c r="A107" s="137">
        <f>SUBTOTAL(3,$B$3:B107)</f>
        <v>105</v>
      </c>
      <c r="B107" s="164" t="s">
        <v>2534</v>
      </c>
      <c r="C107" s="165" t="s">
        <v>2535</v>
      </c>
      <c r="D107" s="124" t="s">
        <v>2535</v>
      </c>
      <c r="E107" s="124" t="s">
        <v>1428</v>
      </c>
      <c r="F107" s="124" t="s">
        <v>2536</v>
      </c>
      <c r="G107" s="137" t="s">
        <v>2345</v>
      </c>
      <c r="H107" s="124" t="s">
        <v>533</v>
      </c>
      <c r="I107" s="166" t="s">
        <v>40</v>
      </c>
      <c r="J107" s="166" t="s">
        <v>2537</v>
      </c>
      <c r="K107" s="179" t="s">
        <v>41</v>
      </c>
      <c r="L107" s="137" t="s">
        <v>42</v>
      </c>
      <c r="M107" s="124" t="s">
        <v>43</v>
      </c>
      <c r="N107" s="180">
        <v>44866</v>
      </c>
      <c r="O107" s="124" t="s">
        <v>44</v>
      </c>
      <c r="P107" s="137" t="s">
        <v>2347</v>
      </c>
      <c r="Q107" s="137" t="s">
        <v>3676</v>
      </c>
      <c r="R107" s="124" t="s">
        <v>2538</v>
      </c>
      <c r="S107" s="124">
        <v>27408</v>
      </c>
      <c r="T107" s="134">
        <v>101685015690</v>
      </c>
      <c r="U107" s="126" t="s">
        <v>2540</v>
      </c>
      <c r="V107" s="126" t="s">
        <v>2539</v>
      </c>
      <c r="W107" s="135" t="s">
        <v>2541</v>
      </c>
      <c r="X107" s="135" t="s">
        <v>2542</v>
      </c>
      <c r="Y107" s="167" t="s">
        <v>146</v>
      </c>
      <c r="Z107" s="126" t="s">
        <v>2403</v>
      </c>
      <c r="AA107" s="167" t="s">
        <v>2543</v>
      </c>
      <c r="AB107" s="167" t="s">
        <v>2543</v>
      </c>
      <c r="AC107" s="164" t="s">
        <v>2534</v>
      </c>
      <c r="AD107" s="140"/>
      <c r="AE107" s="126"/>
      <c r="AF107" s="126"/>
      <c r="AG107" s="168" t="s">
        <v>5940</v>
      </c>
      <c r="AH107" s="126"/>
      <c r="AI107" s="126"/>
      <c r="AJ107" s="136" t="s">
        <v>2537</v>
      </c>
      <c r="AK107" s="128"/>
      <c r="AL107" s="129"/>
      <c r="AM107" s="129"/>
    </row>
    <row r="108" spans="1:39" ht="47.25" customHeight="1">
      <c r="A108" s="137">
        <f>SUBTOTAL(3,$B$3:B108)</f>
        <v>106</v>
      </c>
      <c r="B108" s="164" t="s">
        <v>2544</v>
      </c>
      <c r="C108" s="165" t="s">
        <v>9283</v>
      </c>
      <c r="D108" s="184" t="s">
        <v>9283</v>
      </c>
      <c r="E108" s="124" t="s">
        <v>2545</v>
      </c>
      <c r="F108" s="124" t="s">
        <v>1065</v>
      </c>
      <c r="G108" s="137" t="s">
        <v>2345</v>
      </c>
      <c r="H108" s="124" t="s">
        <v>2546</v>
      </c>
      <c r="I108" s="166" t="s">
        <v>40</v>
      </c>
      <c r="J108" s="166" t="s">
        <v>2547</v>
      </c>
      <c r="K108" s="179" t="s">
        <v>41</v>
      </c>
      <c r="L108" s="137" t="s">
        <v>42</v>
      </c>
      <c r="M108" s="124" t="s">
        <v>43</v>
      </c>
      <c r="N108" s="180">
        <v>44866</v>
      </c>
      <c r="O108" s="124" t="s">
        <v>44</v>
      </c>
      <c r="P108" s="137" t="s">
        <v>2347</v>
      </c>
      <c r="Q108" s="137" t="s">
        <v>3676</v>
      </c>
      <c r="R108" s="124" t="s">
        <v>2548</v>
      </c>
      <c r="S108" s="124">
        <v>27391</v>
      </c>
      <c r="T108" s="134">
        <v>101843640067</v>
      </c>
      <c r="U108" s="126" t="s">
        <v>2550</v>
      </c>
      <c r="V108" s="126" t="s">
        <v>2549</v>
      </c>
      <c r="W108" s="135" t="s">
        <v>2551</v>
      </c>
      <c r="X108" s="135" t="s">
        <v>2552</v>
      </c>
      <c r="Y108" s="167" t="s">
        <v>65</v>
      </c>
      <c r="Z108" s="126" t="s">
        <v>2553</v>
      </c>
      <c r="AA108" s="167" t="s">
        <v>2554</v>
      </c>
      <c r="AB108" s="167" t="s">
        <v>2554</v>
      </c>
      <c r="AC108" s="164" t="s">
        <v>2544</v>
      </c>
      <c r="AD108" s="140"/>
      <c r="AE108" s="126"/>
      <c r="AF108" s="126"/>
      <c r="AG108" s="168" t="s">
        <v>5350</v>
      </c>
      <c r="AH108" s="126"/>
      <c r="AI108" s="126"/>
      <c r="AJ108" s="136" t="s">
        <v>2547</v>
      </c>
      <c r="AK108" s="128"/>
      <c r="AL108" s="129"/>
      <c r="AM108" s="129"/>
    </row>
    <row r="109" spans="1:39" ht="47.25" customHeight="1">
      <c r="A109" s="137">
        <f>SUBTOTAL(3,$B$3:B109)</f>
        <v>107</v>
      </c>
      <c r="B109" s="164" t="s">
        <v>2555</v>
      </c>
      <c r="C109" s="165" t="s">
        <v>2556</v>
      </c>
      <c r="D109" s="124" t="s">
        <v>2557</v>
      </c>
      <c r="E109" s="124" t="s">
        <v>646</v>
      </c>
      <c r="F109" s="124" t="s">
        <v>2026</v>
      </c>
      <c r="G109" s="137" t="s">
        <v>2389</v>
      </c>
      <c r="H109" s="124" t="s">
        <v>2558</v>
      </c>
      <c r="I109" s="166" t="s">
        <v>40</v>
      </c>
      <c r="J109" s="166" t="s">
        <v>2559</v>
      </c>
      <c r="K109" s="179" t="s">
        <v>41</v>
      </c>
      <c r="L109" s="137" t="s">
        <v>42</v>
      </c>
      <c r="M109" s="124" t="s">
        <v>43</v>
      </c>
      <c r="N109" s="180">
        <v>44866</v>
      </c>
      <c r="O109" s="124" t="s">
        <v>44</v>
      </c>
      <c r="P109" s="137" t="s">
        <v>2347</v>
      </c>
      <c r="Q109" s="137" t="s">
        <v>3676</v>
      </c>
      <c r="R109" s="124" t="s">
        <v>2560</v>
      </c>
      <c r="S109" s="124">
        <v>27370</v>
      </c>
      <c r="T109" s="134">
        <v>101444511724</v>
      </c>
      <c r="U109" s="126" t="s">
        <v>2562</v>
      </c>
      <c r="V109" s="126" t="s">
        <v>2561</v>
      </c>
      <c r="W109" s="135" t="s">
        <v>2563</v>
      </c>
      <c r="X109" s="135" t="s">
        <v>2564</v>
      </c>
      <c r="Y109" s="167" t="s">
        <v>146</v>
      </c>
      <c r="Z109" s="126" t="s">
        <v>2565</v>
      </c>
      <c r="AA109" s="167" t="s">
        <v>2566</v>
      </c>
      <c r="AB109" s="167" t="s">
        <v>2566</v>
      </c>
      <c r="AC109" s="164" t="s">
        <v>2555</v>
      </c>
      <c r="AD109" s="140"/>
      <c r="AE109" s="126"/>
      <c r="AF109" s="126"/>
      <c r="AG109" s="168" t="s">
        <v>5320</v>
      </c>
      <c r="AH109" s="126"/>
      <c r="AI109" s="126"/>
      <c r="AJ109" s="136" t="s">
        <v>2559</v>
      </c>
      <c r="AK109" s="128"/>
      <c r="AL109" s="129"/>
      <c r="AM109" s="129"/>
    </row>
    <row r="110" spans="1:39" ht="47.25" customHeight="1">
      <c r="A110" s="137">
        <f>SUBTOTAL(3,$B$3:B110)</f>
        <v>108</v>
      </c>
      <c r="B110" s="164" t="s">
        <v>2567</v>
      </c>
      <c r="C110" s="165" t="s">
        <v>3707</v>
      </c>
      <c r="D110" s="124" t="s">
        <v>3707</v>
      </c>
      <c r="E110" s="124" t="s">
        <v>379</v>
      </c>
      <c r="F110" s="124" t="s">
        <v>3708</v>
      </c>
      <c r="G110" s="137" t="s">
        <v>2345</v>
      </c>
      <c r="H110" s="124" t="s">
        <v>2568</v>
      </c>
      <c r="I110" s="166" t="s">
        <v>40</v>
      </c>
      <c r="J110" s="166" t="s">
        <v>2569</v>
      </c>
      <c r="K110" s="179" t="s">
        <v>41</v>
      </c>
      <c r="L110" s="137" t="s">
        <v>42</v>
      </c>
      <c r="M110" s="124" t="s">
        <v>43</v>
      </c>
      <c r="N110" s="166">
        <v>44866</v>
      </c>
      <c r="O110" s="124" t="s">
        <v>44</v>
      </c>
      <c r="P110" s="137" t="s">
        <v>2347</v>
      </c>
      <c r="Q110" s="137" t="s">
        <v>3676</v>
      </c>
      <c r="R110" s="124">
        <v>9909067737</v>
      </c>
      <c r="S110" s="124">
        <v>27389</v>
      </c>
      <c r="T110" s="134">
        <v>101829441851</v>
      </c>
      <c r="U110" s="126" t="s">
        <v>2571</v>
      </c>
      <c r="V110" s="126" t="s">
        <v>2570</v>
      </c>
      <c r="W110" s="135" t="s">
        <v>2572</v>
      </c>
      <c r="X110" s="135" t="s">
        <v>2573</v>
      </c>
      <c r="Y110" s="167" t="s">
        <v>65</v>
      </c>
      <c r="Z110" s="126" t="s">
        <v>2574</v>
      </c>
      <c r="AA110" s="167" t="s">
        <v>2575</v>
      </c>
      <c r="AB110" s="167" t="s">
        <v>2575</v>
      </c>
      <c r="AC110" s="164" t="s">
        <v>2567</v>
      </c>
      <c r="AD110" s="140"/>
      <c r="AE110" s="126"/>
      <c r="AF110" s="126"/>
      <c r="AG110" s="168" t="s">
        <v>5270</v>
      </c>
      <c r="AH110" s="126"/>
      <c r="AI110" s="126"/>
      <c r="AJ110" s="136" t="s">
        <v>2569</v>
      </c>
      <c r="AK110" s="128"/>
      <c r="AL110" s="129"/>
      <c r="AM110" s="129"/>
    </row>
    <row r="111" spans="1:39" ht="47.25" customHeight="1">
      <c r="A111" s="137">
        <f>SUBTOTAL(3,$B$3:B111)</f>
        <v>109</v>
      </c>
      <c r="B111" s="164" t="s">
        <v>2576</v>
      </c>
      <c r="C111" s="165" t="s">
        <v>2577</v>
      </c>
      <c r="D111" s="124" t="s">
        <v>2578</v>
      </c>
      <c r="E111" s="124" t="s">
        <v>2579</v>
      </c>
      <c r="F111" s="124" t="s">
        <v>2580</v>
      </c>
      <c r="G111" s="137" t="s">
        <v>2389</v>
      </c>
      <c r="H111" s="124" t="s">
        <v>2581</v>
      </c>
      <c r="I111" s="166" t="s">
        <v>40</v>
      </c>
      <c r="J111" s="166" t="s">
        <v>2582</v>
      </c>
      <c r="K111" s="179" t="s">
        <v>41</v>
      </c>
      <c r="L111" s="137" t="s">
        <v>42</v>
      </c>
      <c r="M111" s="124" t="s">
        <v>43</v>
      </c>
      <c r="N111" s="166">
        <v>44866</v>
      </c>
      <c r="O111" s="124" t="s">
        <v>44</v>
      </c>
      <c r="P111" s="137" t="s">
        <v>2347</v>
      </c>
      <c r="Q111" s="137" t="s">
        <v>3676</v>
      </c>
      <c r="R111" s="124">
        <v>9726981372</v>
      </c>
      <c r="S111" s="124">
        <v>27457</v>
      </c>
      <c r="T111" s="134">
        <v>101846165869</v>
      </c>
      <c r="U111" s="126" t="s">
        <v>2584</v>
      </c>
      <c r="V111" s="126" t="s">
        <v>2583</v>
      </c>
      <c r="W111" s="135" t="s">
        <v>2585</v>
      </c>
      <c r="X111" s="135" t="s">
        <v>2586</v>
      </c>
      <c r="Y111" s="167" t="s">
        <v>552</v>
      </c>
      <c r="Z111" s="126" t="s">
        <v>551</v>
      </c>
      <c r="AA111" s="167" t="s">
        <v>2587</v>
      </c>
      <c r="AB111" s="167" t="s">
        <v>2587</v>
      </c>
      <c r="AC111" s="164" t="s">
        <v>2576</v>
      </c>
      <c r="AD111" s="140"/>
      <c r="AE111" s="126"/>
      <c r="AF111" s="126"/>
      <c r="AG111" s="168" t="s">
        <v>5299</v>
      </c>
      <c r="AH111" s="126"/>
      <c r="AI111" s="126"/>
      <c r="AJ111" s="136" t="s">
        <v>2582</v>
      </c>
      <c r="AK111" s="128"/>
      <c r="AL111" s="129"/>
      <c r="AM111" s="129"/>
    </row>
    <row r="112" spans="1:39" ht="47.25" customHeight="1">
      <c r="A112" s="137">
        <f>SUBTOTAL(3,$B$3:B112)</f>
        <v>110</v>
      </c>
      <c r="B112" s="164" t="s">
        <v>2588</v>
      </c>
      <c r="C112" s="165" t="s">
        <v>3709</v>
      </c>
      <c r="D112" s="124" t="s">
        <v>3709</v>
      </c>
      <c r="E112" s="124" t="s">
        <v>646</v>
      </c>
      <c r="F112" s="124" t="s">
        <v>671</v>
      </c>
      <c r="G112" s="137" t="s">
        <v>2345</v>
      </c>
      <c r="H112" s="124" t="s">
        <v>659</v>
      </c>
      <c r="I112" s="166" t="s">
        <v>40</v>
      </c>
      <c r="J112" s="166" t="s">
        <v>2589</v>
      </c>
      <c r="K112" s="179" t="s">
        <v>41</v>
      </c>
      <c r="L112" s="137" t="s">
        <v>42</v>
      </c>
      <c r="M112" s="124" t="s">
        <v>43</v>
      </c>
      <c r="N112" s="166">
        <v>44866</v>
      </c>
      <c r="O112" s="124" t="s">
        <v>44</v>
      </c>
      <c r="P112" s="137" t="s">
        <v>2347</v>
      </c>
      <c r="Q112" s="137" t="s">
        <v>3676</v>
      </c>
      <c r="R112" s="124">
        <v>7046131203</v>
      </c>
      <c r="S112" s="124">
        <v>27390</v>
      </c>
      <c r="T112" s="134">
        <v>101711568441</v>
      </c>
      <c r="U112" s="126" t="s">
        <v>2591</v>
      </c>
      <c r="V112" s="126" t="s">
        <v>2590</v>
      </c>
      <c r="W112" s="135" t="s">
        <v>2592</v>
      </c>
      <c r="X112" s="135" t="s">
        <v>2593</v>
      </c>
      <c r="Y112" s="167" t="s">
        <v>65</v>
      </c>
      <c r="Z112" s="126" t="s">
        <v>707</v>
      </c>
      <c r="AA112" s="167" t="s">
        <v>2594</v>
      </c>
      <c r="AB112" s="167" t="s">
        <v>2594</v>
      </c>
      <c r="AC112" s="164" t="s">
        <v>2588</v>
      </c>
      <c r="AD112" s="140"/>
      <c r="AE112" s="126"/>
      <c r="AF112" s="126"/>
      <c r="AG112" s="168" t="s">
        <v>5284</v>
      </c>
      <c r="AH112" s="126"/>
      <c r="AI112" s="126"/>
      <c r="AJ112" s="136" t="s">
        <v>2589</v>
      </c>
      <c r="AK112" s="128"/>
      <c r="AL112" s="129"/>
      <c r="AM112" s="129"/>
    </row>
    <row r="113" spans="1:39" ht="47.25" customHeight="1">
      <c r="A113" s="137">
        <f>SUBTOTAL(3,$B$3:B113)</f>
        <v>111</v>
      </c>
      <c r="B113" s="164" t="s">
        <v>2595</v>
      </c>
      <c r="C113" s="165" t="s">
        <v>3710</v>
      </c>
      <c r="D113" s="124" t="s">
        <v>3711</v>
      </c>
      <c r="E113" s="124" t="s">
        <v>722</v>
      </c>
      <c r="F113" s="124" t="s">
        <v>671</v>
      </c>
      <c r="G113" s="137" t="s">
        <v>2345</v>
      </c>
      <c r="H113" s="124" t="s">
        <v>2596</v>
      </c>
      <c r="I113" s="166" t="s">
        <v>40</v>
      </c>
      <c r="J113" s="166" t="s">
        <v>2597</v>
      </c>
      <c r="K113" s="179" t="s">
        <v>41</v>
      </c>
      <c r="L113" s="137" t="s">
        <v>42</v>
      </c>
      <c r="M113" s="124" t="s">
        <v>43</v>
      </c>
      <c r="N113" s="166">
        <v>44866</v>
      </c>
      <c r="O113" s="124" t="s">
        <v>44</v>
      </c>
      <c r="P113" s="137" t="s">
        <v>2347</v>
      </c>
      <c r="Q113" s="137" t="s">
        <v>3676</v>
      </c>
      <c r="R113" s="124" t="s">
        <v>2598</v>
      </c>
      <c r="S113" s="124">
        <v>27385</v>
      </c>
      <c r="T113" s="134">
        <v>101357039319</v>
      </c>
      <c r="U113" s="126" t="s">
        <v>2600</v>
      </c>
      <c r="V113" s="126" t="s">
        <v>2599</v>
      </c>
      <c r="W113" s="135" t="s">
        <v>2601</v>
      </c>
      <c r="X113" s="135" t="s">
        <v>2602</v>
      </c>
      <c r="Y113" s="167" t="s">
        <v>65</v>
      </c>
      <c r="Z113" s="126" t="s">
        <v>1500</v>
      </c>
      <c r="AA113" s="167" t="s">
        <v>2603</v>
      </c>
      <c r="AB113" s="167" t="s">
        <v>2603</v>
      </c>
      <c r="AC113" s="164" t="s">
        <v>2595</v>
      </c>
      <c r="AD113" s="140"/>
      <c r="AE113" s="126"/>
      <c r="AF113" s="126"/>
      <c r="AG113" s="182" t="s">
        <v>4812</v>
      </c>
      <c r="AH113" s="126"/>
      <c r="AI113" s="126"/>
      <c r="AJ113" s="136" t="s">
        <v>2597</v>
      </c>
      <c r="AK113" s="128"/>
      <c r="AL113" s="129"/>
      <c r="AM113" s="129"/>
    </row>
    <row r="114" spans="1:39" ht="45" customHeight="1">
      <c r="A114" s="137">
        <f>SUBTOTAL(3,$B$3:B114)</f>
        <v>112</v>
      </c>
      <c r="B114" s="169" t="s">
        <v>2604</v>
      </c>
      <c r="C114" s="124" t="s">
        <v>2605</v>
      </c>
      <c r="D114" s="124" t="s">
        <v>2605</v>
      </c>
      <c r="E114" s="124" t="s">
        <v>2606</v>
      </c>
      <c r="F114" s="124" t="s">
        <v>2607</v>
      </c>
      <c r="G114" s="137" t="s">
        <v>2345</v>
      </c>
      <c r="H114" s="124" t="s">
        <v>799</v>
      </c>
      <c r="I114" s="166" t="s">
        <v>40</v>
      </c>
      <c r="J114" s="166" t="s">
        <v>2608</v>
      </c>
      <c r="K114" s="179" t="s">
        <v>41</v>
      </c>
      <c r="L114" s="137" t="s">
        <v>42</v>
      </c>
      <c r="M114" s="124" t="s">
        <v>43</v>
      </c>
      <c r="N114" s="180">
        <v>44866</v>
      </c>
      <c r="O114" s="124" t="s">
        <v>44</v>
      </c>
      <c r="P114" s="137" t="s">
        <v>2347</v>
      </c>
      <c r="Q114" s="137" t="s">
        <v>3676</v>
      </c>
      <c r="R114" s="124" t="s">
        <v>2609</v>
      </c>
      <c r="S114" s="124">
        <v>27458</v>
      </c>
      <c r="T114" s="134">
        <v>101672769505</v>
      </c>
      <c r="U114" s="126" t="s">
        <v>6178</v>
      </c>
      <c r="V114" s="126" t="s">
        <v>2610</v>
      </c>
      <c r="W114" s="135" t="s">
        <v>2611</v>
      </c>
      <c r="X114" s="135" t="s">
        <v>2612</v>
      </c>
      <c r="Y114" s="167" t="s">
        <v>619</v>
      </c>
      <c r="Z114" s="126" t="s">
        <v>2613</v>
      </c>
      <c r="AA114" s="167" t="s">
        <v>2614</v>
      </c>
      <c r="AB114" s="167" t="s">
        <v>2614</v>
      </c>
      <c r="AC114" s="164" t="s">
        <v>2604</v>
      </c>
      <c r="AD114" s="140"/>
      <c r="AE114" s="126"/>
      <c r="AF114" s="126"/>
      <c r="AG114" s="182" t="s">
        <v>4812</v>
      </c>
      <c r="AH114" s="126"/>
      <c r="AI114" s="126"/>
      <c r="AJ114" s="136" t="s">
        <v>2608</v>
      </c>
      <c r="AK114" s="128"/>
      <c r="AL114" s="129"/>
      <c r="AM114" s="129"/>
    </row>
    <row r="115" spans="1:39" ht="45" customHeight="1">
      <c r="A115" s="137">
        <f>SUBTOTAL(3,$B$3:B115)</f>
        <v>113</v>
      </c>
      <c r="B115" s="169" t="s">
        <v>2651</v>
      </c>
      <c r="C115" s="124" t="s">
        <v>2652</v>
      </c>
      <c r="D115" s="124" t="s">
        <v>2652</v>
      </c>
      <c r="E115" s="124" t="s">
        <v>2653</v>
      </c>
      <c r="F115" s="124" t="s">
        <v>2654</v>
      </c>
      <c r="G115" s="137" t="s">
        <v>2345</v>
      </c>
      <c r="H115" s="124" t="s">
        <v>1469</v>
      </c>
      <c r="I115" s="166" t="s">
        <v>40</v>
      </c>
      <c r="J115" s="166" t="s">
        <v>2655</v>
      </c>
      <c r="K115" s="179" t="s">
        <v>41</v>
      </c>
      <c r="L115" s="137" t="s">
        <v>42</v>
      </c>
      <c r="M115" s="124" t="s">
        <v>43</v>
      </c>
      <c r="N115" s="180">
        <v>44866</v>
      </c>
      <c r="O115" s="124" t="s">
        <v>44</v>
      </c>
      <c r="P115" s="137" t="s">
        <v>2347</v>
      </c>
      <c r="Q115" s="137" t="s">
        <v>3676</v>
      </c>
      <c r="R115" s="124" t="s">
        <v>2656</v>
      </c>
      <c r="S115" s="124">
        <v>28017</v>
      </c>
      <c r="T115" s="125">
        <v>101851999608</v>
      </c>
      <c r="U115" s="126" t="s">
        <v>2658</v>
      </c>
      <c r="V115" s="126" t="s">
        <v>2657</v>
      </c>
      <c r="W115" s="135" t="s">
        <v>2659</v>
      </c>
      <c r="X115" s="135" t="s">
        <v>2660</v>
      </c>
      <c r="Y115" s="167" t="s">
        <v>65</v>
      </c>
      <c r="Z115" s="126" t="s">
        <v>2661</v>
      </c>
      <c r="AA115" s="167" t="s">
        <v>2662</v>
      </c>
      <c r="AB115" s="167" t="s">
        <v>2662</v>
      </c>
      <c r="AC115" s="164" t="s">
        <v>2651</v>
      </c>
      <c r="AD115" s="140"/>
      <c r="AE115" s="126"/>
      <c r="AF115" s="126"/>
      <c r="AG115" s="182" t="s">
        <v>4812</v>
      </c>
      <c r="AH115" s="126"/>
      <c r="AI115" s="126"/>
      <c r="AJ115" s="136" t="s">
        <v>2655</v>
      </c>
      <c r="AK115" s="128"/>
      <c r="AL115" s="129"/>
      <c r="AM115" s="129"/>
    </row>
    <row r="116" spans="1:39" ht="45" customHeight="1">
      <c r="A116" s="137">
        <f>SUBTOTAL(3,$B$3:B116)</f>
        <v>114</v>
      </c>
      <c r="B116" s="164" t="s">
        <v>2663</v>
      </c>
      <c r="C116" s="165" t="s">
        <v>2664</v>
      </c>
      <c r="D116" s="124" t="s">
        <v>2664</v>
      </c>
      <c r="E116" s="124" t="s">
        <v>2665</v>
      </c>
      <c r="F116" s="124" t="s">
        <v>2666</v>
      </c>
      <c r="G116" s="137" t="s">
        <v>2345</v>
      </c>
      <c r="H116" s="124" t="s">
        <v>1380</v>
      </c>
      <c r="I116" s="166" t="s">
        <v>40</v>
      </c>
      <c r="J116" s="166" t="s">
        <v>2667</v>
      </c>
      <c r="K116" s="179" t="s">
        <v>41</v>
      </c>
      <c r="L116" s="137" t="s">
        <v>42</v>
      </c>
      <c r="M116" s="124" t="s">
        <v>43</v>
      </c>
      <c r="N116" s="180">
        <v>44866</v>
      </c>
      <c r="O116" s="124" t="s">
        <v>44</v>
      </c>
      <c r="P116" s="137" t="s">
        <v>2347</v>
      </c>
      <c r="Q116" s="137" t="s">
        <v>3676</v>
      </c>
      <c r="R116" s="124">
        <v>9824667568</v>
      </c>
      <c r="S116" s="124">
        <v>28016</v>
      </c>
      <c r="T116" s="134">
        <v>101855818079</v>
      </c>
      <c r="U116" s="126" t="s">
        <v>6178</v>
      </c>
      <c r="V116" s="126" t="s">
        <v>2668</v>
      </c>
      <c r="W116" s="135" t="s">
        <v>2669</v>
      </c>
      <c r="X116" s="135" t="s">
        <v>2670</v>
      </c>
      <c r="Y116" s="167" t="s">
        <v>65</v>
      </c>
      <c r="Z116" s="126" t="s">
        <v>2671</v>
      </c>
      <c r="AA116" s="167" t="s">
        <v>2672</v>
      </c>
      <c r="AB116" s="167" t="s">
        <v>2672</v>
      </c>
      <c r="AC116" s="164" t="s">
        <v>2663</v>
      </c>
      <c r="AD116" s="140"/>
      <c r="AE116" s="126"/>
      <c r="AF116" s="126"/>
      <c r="AG116" s="168" t="s">
        <v>5271</v>
      </c>
      <c r="AH116" s="126"/>
      <c r="AI116" s="126"/>
      <c r="AJ116" s="136" t="s">
        <v>2667</v>
      </c>
      <c r="AK116" s="128"/>
      <c r="AL116" s="129"/>
      <c r="AM116" s="129"/>
    </row>
    <row r="117" spans="1:39" ht="45" customHeight="1">
      <c r="A117" s="137">
        <f>SUBTOTAL(3,$B$3:B117)</f>
        <v>115</v>
      </c>
      <c r="B117" s="164" t="s">
        <v>2673</v>
      </c>
      <c r="C117" s="165" t="s">
        <v>2674</v>
      </c>
      <c r="D117" s="124" t="s">
        <v>2674</v>
      </c>
      <c r="E117" s="124" t="s">
        <v>212</v>
      </c>
      <c r="F117" s="124" t="s">
        <v>2675</v>
      </c>
      <c r="G117" s="137" t="s">
        <v>2345</v>
      </c>
      <c r="H117" s="124" t="s">
        <v>2676</v>
      </c>
      <c r="I117" s="166" t="s">
        <v>702</v>
      </c>
      <c r="J117" s="166" t="s">
        <v>2677</v>
      </c>
      <c r="K117" s="179" t="s">
        <v>280</v>
      </c>
      <c r="L117" s="137" t="s">
        <v>42</v>
      </c>
      <c r="M117" s="124" t="s">
        <v>43</v>
      </c>
      <c r="N117" s="180">
        <v>44866</v>
      </c>
      <c r="O117" s="124" t="s">
        <v>44</v>
      </c>
      <c r="P117" s="137" t="s">
        <v>2347</v>
      </c>
      <c r="Q117" s="137" t="s">
        <v>3676</v>
      </c>
      <c r="R117" s="124">
        <v>7622841091</v>
      </c>
      <c r="S117" s="124">
        <v>28036</v>
      </c>
      <c r="T117" s="134">
        <v>101250828110</v>
      </c>
      <c r="U117" s="126" t="s">
        <v>2679</v>
      </c>
      <c r="V117" s="126" t="s">
        <v>2678</v>
      </c>
      <c r="W117" s="135" t="s">
        <v>2680</v>
      </c>
      <c r="X117" s="135" t="s">
        <v>2681</v>
      </c>
      <c r="Y117" s="167" t="s">
        <v>65</v>
      </c>
      <c r="Z117" s="126" t="s">
        <v>91</v>
      </c>
      <c r="AA117" s="167" t="s">
        <v>2682</v>
      </c>
      <c r="AB117" s="167" t="s">
        <v>2682</v>
      </c>
      <c r="AC117" s="164" t="s">
        <v>2673</v>
      </c>
      <c r="AD117" s="140"/>
      <c r="AE117" s="126"/>
      <c r="AF117" s="126"/>
      <c r="AG117" s="168" t="s">
        <v>5076</v>
      </c>
      <c r="AH117" s="126"/>
      <c r="AI117" s="126"/>
      <c r="AJ117" s="136" t="s">
        <v>2677</v>
      </c>
      <c r="AK117" s="128"/>
      <c r="AL117" s="129"/>
      <c r="AM117" s="129"/>
    </row>
    <row r="118" spans="1:39" ht="45" customHeight="1">
      <c r="A118" s="137">
        <f>SUBTOTAL(3,$B$3:B118)</f>
        <v>116</v>
      </c>
      <c r="B118" s="164" t="s">
        <v>2683</v>
      </c>
      <c r="C118" s="165" t="s">
        <v>2684</v>
      </c>
      <c r="D118" s="124" t="s">
        <v>2684</v>
      </c>
      <c r="E118" s="124" t="s">
        <v>2685</v>
      </c>
      <c r="F118" s="124" t="s">
        <v>2686</v>
      </c>
      <c r="G118" s="137" t="s">
        <v>2345</v>
      </c>
      <c r="H118" s="124" t="s">
        <v>124</v>
      </c>
      <c r="I118" s="166" t="s">
        <v>40</v>
      </c>
      <c r="J118" s="166" t="s">
        <v>2687</v>
      </c>
      <c r="K118" s="179" t="s">
        <v>41</v>
      </c>
      <c r="L118" s="137" t="s">
        <v>42</v>
      </c>
      <c r="M118" s="124" t="s">
        <v>43</v>
      </c>
      <c r="N118" s="180">
        <v>44866</v>
      </c>
      <c r="O118" s="124" t="s">
        <v>44</v>
      </c>
      <c r="P118" s="137" t="s">
        <v>2347</v>
      </c>
      <c r="Q118" s="137" t="s">
        <v>3676</v>
      </c>
      <c r="R118" s="124" t="s">
        <v>2688</v>
      </c>
      <c r="S118" s="124">
        <v>28026</v>
      </c>
      <c r="T118" s="134">
        <v>101855818112</v>
      </c>
      <c r="U118" s="126" t="s">
        <v>2690</v>
      </c>
      <c r="V118" s="126" t="s">
        <v>2689</v>
      </c>
      <c r="W118" s="135" t="s">
        <v>2691</v>
      </c>
      <c r="X118" s="135" t="s">
        <v>2692</v>
      </c>
      <c r="Y118" s="167" t="s">
        <v>65</v>
      </c>
      <c r="Z118" s="126" t="s">
        <v>2693</v>
      </c>
      <c r="AA118" s="167" t="s">
        <v>2694</v>
      </c>
      <c r="AB118" s="167" t="s">
        <v>2694</v>
      </c>
      <c r="AC118" s="164" t="s">
        <v>2683</v>
      </c>
      <c r="AD118" s="140"/>
      <c r="AE118" s="126"/>
      <c r="AF118" s="126"/>
      <c r="AG118" s="168" t="s">
        <v>5278</v>
      </c>
      <c r="AH118" s="126"/>
      <c r="AI118" s="126"/>
      <c r="AJ118" s="136" t="s">
        <v>2687</v>
      </c>
      <c r="AK118" s="128"/>
      <c r="AL118" s="129"/>
      <c r="AM118" s="129"/>
    </row>
    <row r="119" spans="1:39" ht="45" customHeight="1">
      <c r="A119" s="137">
        <f>SUBTOTAL(3,$B$3:B119)</f>
        <v>117</v>
      </c>
      <c r="B119" s="164" t="s">
        <v>2695</v>
      </c>
      <c r="C119" s="165" t="s">
        <v>2696</v>
      </c>
      <c r="D119" s="124" t="s">
        <v>2696</v>
      </c>
      <c r="E119" s="124" t="s">
        <v>2697</v>
      </c>
      <c r="F119" s="124" t="s">
        <v>2698</v>
      </c>
      <c r="G119" s="137" t="s">
        <v>2345</v>
      </c>
      <c r="H119" s="124" t="s">
        <v>2699</v>
      </c>
      <c r="I119" s="166" t="s">
        <v>40</v>
      </c>
      <c r="J119" s="166" t="s">
        <v>2700</v>
      </c>
      <c r="K119" s="179" t="s">
        <v>41</v>
      </c>
      <c r="L119" s="137" t="s">
        <v>42</v>
      </c>
      <c r="M119" s="124" t="s">
        <v>43</v>
      </c>
      <c r="N119" s="180">
        <v>44866</v>
      </c>
      <c r="O119" s="124" t="s">
        <v>44</v>
      </c>
      <c r="P119" s="137" t="s">
        <v>2347</v>
      </c>
      <c r="Q119" s="137" t="s">
        <v>3676</v>
      </c>
      <c r="R119" s="124" t="s">
        <v>2701</v>
      </c>
      <c r="S119" s="124">
        <v>28037</v>
      </c>
      <c r="T119" s="134">
        <v>101855818203</v>
      </c>
      <c r="U119" s="126" t="s">
        <v>6462</v>
      </c>
      <c r="V119" s="126" t="s">
        <v>2702</v>
      </c>
      <c r="W119" s="135" t="s">
        <v>2703</v>
      </c>
      <c r="X119" s="135" t="s">
        <v>2704</v>
      </c>
      <c r="Y119" s="167" t="s">
        <v>65</v>
      </c>
      <c r="Z119" s="126" t="s">
        <v>2705</v>
      </c>
      <c r="AA119" s="167" t="s">
        <v>2706</v>
      </c>
      <c r="AB119" s="167" t="s">
        <v>2706</v>
      </c>
      <c r="AC119" s="164" t="s">
        <v>2695</v>
      </c>
      <c r="AD119" s="140"/>
      <c r="AE119" s="126"/>
      <c r="AF119" s="126"/>
      <c r="AG119" s="168" t="s">
        <v>5275</v>
      </c>
      <c r="AH119" s="126"/>
      <c r="AI119" s="126"/>
      <c r="AJ119" s="136" t="s">
        <v>2700</v>
      </c>
      <c r="AK119" s="128"/>
      <c r="AL119" s="129"/>
      <c r="AM119" s="129"/>
    </row>
    <row r="120" spans="1:39" ht="45" customHeight="1">
      <c r="A120" s="137">
        <f>SUBTOTAL(3,$B$3:B120)</f>
        <v>118</v>
      </c>
      <c r="B120" s="164" t="s">
        <v>2707</v>
      </c>
      <c r="C120" s="165" t="s">
        <v>2708</v>
      </c>
      <c r="D120" s="124" t="s">
        <v>2708</v>
      </c>
      <c r="E120" s="124" t="s">
        <v>2709</v>
      </c>
      <c r="F120" s="124" t="s">
        <v>2710</v>
      </c>
      <c r="G120" s="137" t="s">
        <v>2345</v>
      </c>
      <c r="H120" s="124" t="s">
        <v>533</v>
      </c>
      <c r="I120" s="166" t="s">
        <v>40</v>
      </c>
      <c r="J120" s="166" t="s">
        <v>2711</v>
      </c>
      <c r="K120" s="179" t="s">
        <v>41</v>
      </c>
      <c r="L120" s="137" t="s">
        <v>42</v>
      </c>
      <c r="M120" s="124" t="s">
        <v>43</v>
      </c>
      <c r="N120" s="166">
        <v>44866</v>
      </c>
      <c r="O120" s="124" t="s">
        <v>44</v>
      </c>
      <c r="P120" s="137" t="s">
        <v>2347</v>
      </c>
      <c r="Q120" s="137" t="s">
        <v>3676</v>
      </c>
      <c r="R120" s="124" t="s">
        <v>2712</v>
      </c>
      <c r="S120" s="124">
        <v>28021</v>
      </c>
      <c r="T120" s="134">
        <v>101791440133</v>
      </c>
      <c r="U120" s="126" t="s">
        <v>6483</v>
      </c>
      <c r="V120" s="126" t="s">
        <v>2713</v>
      </c>
      <c r="W120" s="135" t="s">
        <v>2714</v>
      </c>
      <c r="X120" s="135" t="s">
        <v>2715</v>
      </c>
      <c r="Y120" s="167" t="s">
        <v>65</v>
      </c>
      <c r="Z120" s="126" t="s">
        <v>2716</v>
      </c>
      <c r="AA120" s="167" t="s">
        <v>2717</v>
      </c>
      <c r="AB120" s="167" t="s">
        <v>2717</v>
      </c>
      <c r="AC120" s="164" t="s">
        <v>2707</v>
      </c>
      <c r="AD120" s="140"/>
      <c r="AE120" s="126"/>
      <c r="AF120" s="126"/>
      <c r="AG120" s="168" t="s">
        <v>5343</v>
      </c>
      <c r="AH120" s="126"/>
      <c r="AI120" s="126"/>
      <c r="AJ120" s="136" t="s">
        <v>2711</v>
      </c>
      <c r="AK120" s="128"/>
      <c r="AL120" s="129"/>
      <c r="AM120" s="129"/>
    </row>
    <row r="121" spans="1:39" ht="45" customHeight="1">
      <c r="A121" s="137">
        <f>SUBTOTAL(3,$B$3:B121)</f>
        <v>119</v>
      </c>
      <c r="B121" s="164" t="s">
        <v>2718</v>
      </c>
      <c r="C121" s="165" t="s">
        <v>2719</v>
      </c>
      <c r="D121" s="124" t="s">
        <v>2719</v>
      </c>
      <c r="E121" s="124" t="s">
        <v>2720</v>
      </c>
      <c r="F121" s="124" t="s">
        <v>2721</v>
      </c>
      <c r="G121" s="137" t="s">
        <v>2345</v>
      </c>
      <c r="H121" s="124" t="s">
        <v>2722</v>
      </c>
      <c r="I121" s="166" t="s">
        <v>40</v>
      </c>
      <c r="J121" s="166" t="s">
        <v>2723</v>
      </c>
      <c r="K121" s="179" t="s">
        <v>41</v>
      </c>
      <c r="L121" s="137" t="s">
        <v>42</v>
      </c>
      <c r="M121" s="124" t="s">
        <v>43</v>
      </c>
      <c r="N121" s="166">
        <v>44866</v>
      </c>
      <c r="O121" s="124" t="s">
        <v>44</v>
      </c>
      <c r="P121" s="137" t="s">
        <v>2347</v>
      </c>
      <c r="Q121" s="137" t="s">
        <v>3676</v>
      </c>
      <c r="R121" s="124" t="s">
        <v>2724</v>
      </c>
      <c r="S121" s="124">
        <v>28019</v>
      </c>
      <c r="T121" s="125">
        <v>101809051253</v>
      </c>
      <c r="U121" s="126" t="s">
        <v>2726</v>
      </c>
      <c r="V121" s="126" t="s">
        <v>2725</v>
      </c>
      <c r="W121" s="135" t="s">
        <v>2727</v>
      </c>
      <c r="X121" s="135" t="s">
        <v>2728</v>
      </c>
      <c r="Y121" s="167" t="s">
        <v>65</v>
      </c>
      <c r="Z121" s="126" t="s">
        <v>2729</v>
      </c>
      <c r="AA121" s="167" t="s">
        <v>2730</v>
      </c>
      <c r="AB121" s="167" t="s">
        <v>2730</v>
      </c>
      <c r="AC121" s="164" t="s">
        <v>2718</v>
      </c>
      <c r="AD121" s="140"/>
      <c r="AE121" s="126"/>
      <c r="AF121" s="126"/>
      <c r="AG121" s="168" t="s">
        <v>5082</v>
      </c>
      <c r="AH121" s="126"/>
      <c r="AI121" s="126"/>
      <c r="AJ121" s="136" t="s">
        <v>2723</v>
      </c>
      <c r="AK121" s="128"/>
      <c r="AL121" s="129"/>
      <c r="AM121" s="129"/>
    </row>
    <row r="122" spans="1:39" ht="45" customHeight="1">
      <c r="A122" s="137">
        <f>SUBTOTAL(3,$B$3:B122)</f>
        <v>120</v>
      </c>
      <c r="B122" s="169" t="s">
        <v>2731</v>
      </c>
      <c r="C122" s="124" t="s">
        <v>2732</v>
      </c>
      <c r="D122" s="124" t="s">
        <v>2732</v>
      </c>
      <c r="E122" s="124" t="s">
        <v>754</v>
      </c>
      <c r="F122" s="124" t="s">
        <v>2733</v>
      </c>
      <c r="G122" s="137" t="s">
        <v>2345</v>
      </c>
      <c r="H122" s="124" t="s">
        <v>38</v>
      </c>
      <c r="I122" s="166" t="s">
        <v>40</v>
      </c>
      <c r="J122" s="166" t="s">
        <v>2734</v>
      </c>
      <c r="K122" s="179" t="s">
        <v>41</v>
      </c>
      <c r="L122" s="137" t="s">
        <v>42</v>
      </c>
      <c r="M122" s="124" t="s">
        <v>43</v>
      </c>
      <c r="N122" s="180">
        <v>44866</v>
      </c>
      <c r="O122" s="124" t="s">
        <v>44</v>
      </c>
      <c r="P122" s="137" t="s">
        <v>2347</v>
      </c>
      <c r="Q122" s="137" t="s">
        <v>3676</v>
      </c>
      <c r="R122" s="124" t="s">
        <v>2735</v>
      </c>
      <c r="S122" s="124">
        <v>28050</v>
      </c>
      <c r="T122" s="134">
        <v>101856317282</v>
      </c>
      <c r="U122" s="126" t="s">
        <v>2737</v>
      </c>
      <c r="V122" s="126" t="s">
        <v>2736</v>
      </c>
      <c r="W122" s="135" t="s">
        <v>2738</v>
      </c>
      <c r="X122" s="135" t="s">
        <v>2739</v>
      </c>
      <c r="Y122" s="167" t="s">
        <v>65</v>
      </c>
      <c r="Z122" s="126" t="s">
        <v>2740</v>
      </c>
      <c r="AA122" s="167" t="s">
        <v>2741</v>
      </c>
      <c r="AB122" s="167" t="s">
        <v>2741</v>
      </c>
      <c r="AC122" s="164" t="s">
        <v>2731</v>
      </c>
      <c r="AD122" s="140"/>
      <c r="AE122" s="126"/>
      <c r="AF122" s="126"/>
      <c r="AG122" s="168" t="s">
        <v>5354</v>
      </c>
      <c r="AH122" s="126"/>
      <c r="AI122" s="126"/>
      <c r="AJ122" s="136" t="s">
        <v>2734</v>
      </c>
      <c r="AK122" s="128"/>
      <c r="AL122" s="129"/>
      <c r="AM122" s="129"/>
    </row>
    <row r="123" spans="1:39" ht="45" customHeight="1">
      <c r="A123" s="137">
        <f>SUBTOTAL(3,$B$3:B123)</f>
        <v>121</v>
      </c>
      <c r="B123" s="164" t="s">
        <v>2742</v>
      </c>
      <c r="C123" s="165" t="s">
        <v>2743</v>
      </c>
      <c r="D123" s="124" t="s">
        <v>2743</v>
      </c>
      <c r="E123" s="124" t="s">
        <v>754</v>
      </c>
      <c r="F123" s="124" t="s">
        <v>2744</v>
      </c>
      <c r="G123" s="137" t="s">
        <v>2345</v>
      </c>
      <c r="H123" s="124" t="s">
        <v>2745</v>
      </c>
      <c r="I123" s="166" t="s">
        <v>40</v>
      </c>
      <c r="J123" s="166" t="s">
        <v>2746</v>
      </c>
      <c r="K123" s="179" t="s">
        <v>41</v>
      </c>
      <c r="L123" s="137" t="s">
        <v>42</v>
      </c>
      <c r="M123" s="124" t="s">
        <v>43</v>
      </c>
      <c r="N123" s="180">
        <v>44866</v>
      </c>
      <c r="O123" s="124" t="s">
        <v>44</v>
      </c>
      <c r="P123" s="137" t="s">
        <v>2347</v>
      </c>
      <c r="Q123" s="137" t="s">
        <v>3676</v>
      </c>
      <c r="R123" s="124" t="s">
        <v>2747</v>
      </c>
      <c r="S123" s="124">
        <v>28071</v>
      </c>
      <c r="T123" s="134">
        <v>101857701004</v>
      </c>
      <c r="U123" s="126" t="s">
        <v>2749</v>
      </c>
      <c r="V123" s="126" t="s">
        <v>2748</v>
      </c>
      <c r="W123" s="135" t="s">
        <v>2750</v>
      </c>
      <c r="X123" s="135" t="s">
        <v>2751</v>
      </c>
      <c r="Y123" s="167" t="s">
        <v>65</v>
      </c>
      <c r="Z123" s="126" t="s">
        <v>91</v>
      </c>
      <c r="AA123" s="167" t="s">
        <v>2752</v>
      </c>
      <c r="AB123" s="167" t="s">
        <v>2752</v>
      </c>
      <c r="AC123" s="164" t="s">
        <v>2742</v>
      </c>
      <c r="AD123" s="140"/>
      <c r="AE123" s="126"/>
      <c r="AF123" s="126"/>
      <c r="AG123" s="168" t="s">
        <v>5345</v>
      </c>
      <c r="AH123" s="126"/>
      <c r="AI123" s="126"/>
      <c r="AJ123" s="136" t="s">
        <v>2746</v>
      </c>
      <c r="AK123" s="128"/>
      <c r="AL123" s="129"/>
      <c r="AM123" s="129"/>
    </row>
    <row r="124" spans="1:39" ht="45" customHeight="1">
      <c r="A124" s="137">
        <f>SUBTOTAL(3,$B$3:B124)</f>
        <v>122</v>
      </c>
      <c r="B124" s="164" t="s">
        <v>2753</v>
      </c>
      <c r="C124" s="165" t="s">
        <v>2754</v>
      </c>
      <c r="D124" s="124" t="s">
        <v>2755</v>
      </c>
      <c r="E124" s="124" t="s">
        <v>2756</v>
      </c>
      <c r="F124" s="124" t="s">
        <v>2757</v>
      </c>
      <c r="G124" s="137" t="s">
        <v>2345</v>
      </c>
      <c r="H124" s="124" t="s">
        <v>2758</v>
      </c>
      <c r="I124" s="166" t="s">
        <v>40</v>
      </c>
      <c r="J124" s="166" t="s">
        <v>2759</v>
      </c>
      <c r="K124" s="179" t="s">
        <v>41</v>
      </c>
      <c r="L124" s="137" t="s">
        <v>42</v>
      </c>
      <c r="M124" s="124" t="s">
        <v>43</v>
      </c>
      <c r="N124" s="180">
        <v>44866</v>
      </c>
      <c r="O124" s="124" t="s">
        <v>44</v>
      </c>
      <c r="P124" s="137" t="s">
        <v>2347</v>
      </c>
      <c r="Q124" s="137" t="s">
        <v>3676</v>
      </c>
      <c r="R124" s="124" t="s">
        <v>2760</v>
      </c>
      <c r="S124" s="124">
        <v>28250</v>
      </c>
      <c r="T124" s="134">
        <v>101855511818</v>
      </c>
      <c r="U124" s="126" t="s">
        <v>2762</v>
      </c>
      <c r="V124" s="126" t="s">
        <v>2761</v>
      </c>
      <c r="W124" s="135" t="s">
        <v>2763</v>
      </c>
      <c r="X124" s="135" t="s">
        <v>2764</v>
      </c>
      <c r="Y124" s="167" t="s">
        <v>65</v>
      </c>
      <c r="Z124" s="126" t="s">
        <v>2765</v>
      </c>
      <c r="AA124" s="167" t="s">
        <v>2766</v>
      </c>
      <c r="AB124" s="167" t="s">
        <v>2766</v>
      </c>
      <c r="AC124" s="164" t="s">
        <v>2753</v>
      </c>
      <c r="AD124" s="140"/>
      <c r="AE124" s="126"/>
      <c r="AF124" s="126"/>
      <c r="AG124" s="168" t="s">
        <v>5363</v>
      </c>
      <c r="AH124" s="126"/>
      <c r="AI124" s="126"/>
      <c r="AJ124" s="136" t="s">
        <v>2759</v>
      </c>
      <c r="AK124" s="128"/>
      <c r="AL124" s="129"/>
      <c r="AM124" s="129"/>
    </row>
    <row r="125" spans="1:39" ht="45" customHeight="1">
      <c r="A125" s="137">
        <f>SUBTOTAL(3,$B$3:B125)</f>
        <v>123</v>
      </c>
      <c r="B125" s="164" t="s">
        <v>2767</v>
      </c>
      <c r="C125" s="165" t="s">
        <v>2768</v>
      </c>
      <c r="D125" s="124" t="s">
        <v>2769</v>
      </c>
      <c r="E125" s="124" t="s">
        <v>2770</v>
      </c>
      <c r="F125" s="124" t="s">
        <v>2771</v>
      </c>
      <c r="G125" s="137" t="s">
        <v>2345</v>
      </c>
      <c r="H125" s="124" t="s">
        <v>2772</v>
      </c>
      <c r="I125" s="166" t="s">
        <v>40</v>
      </c>
      <c r="J125" s="166" t="s">
        <v>2773</v>
      </c>
      <c r="K125" s="179" t="s">
        <v>41</v>
      </c>
      <c r="L125" s="137" t="s">
        <v>42</v>
      </c>
      <c r="M125" s="124" t="s">
        <v>43</v>
      </c>
      <c r="N125" s="180">
        <v>44866</v>
      </c>
      <c r="O125" s="124" t="s">
        <v>44</v>
      </c>
      <c r="P125" s="137" t="s">
        <v>2347</v>
      </c>
      <c r="Q125" s="137" t="s">
        <v>3676</v>
      </c>
      <c r="R125" s="124" t="s">
        <v>2774</v>
      </c>
      <c r="S125" s="124">
        <v>28053</v>
      </c>
      <c r="T125" s="134">
        <v>101855510793</v>
      </c>
      <c r="U125" s="126" t="s">
        <v>6178</v>
      </c>
      <c r="V125" s="126" t="s">
        <v>2775</v>
      </c>
      <c r="W125" s="135" t="s">
        <v>2776</v>
      </c>
      <c r="X125" s="135" t="s">
        <v>2777</v>
      </c>
      <c r="Y125" s="167" t="s">
        <v>619</v>
      </c>
      <c r="Z125" s="126" t="s">
        <v>2778</v>
      </c>
      <c r="AA125" s="167" t="s">
        <v>2779</v>
      </c>
      <c r="AB125" s="167" t="s">
        <v>2779</v>
      </c>
      <c r="AC125" s="164" t="s">
        <v>2767</v>
      </c>
      <c r="AD125" s="140"/>
      <c r="AE125" s="126"/>
      <c r="AF125" s="126"/>
      <c r="AG125" s="168" t="s">
        <v>5380</v>
      </c>
      <c r="AH125" s="126"/>
      <c r="AI125" s="126"/>
      <c r="AJ125" s="136" t="s">
        <v>2773</v>
      </c>
      <c r="AK125" s="128"/>
      <c r="AL125" s="129"/>
      <c r="AM125" s="129"/>
    </row>
    <row r="126" spans="1:39" ht="45" customHeight="1">
      <c r="A126" s="137">
        <f>SUBTOTAL(3,$B$3:B126)</f>
        <v>124</v>
      </c>
      <c r="B126" s="164" t="s">
        <v>2780</v>
      </c>
      <c r="C126" s="165" t="s">
        <v>2781</v>
      </c>
      <c r="D126" s="124" t="s">
        <v>2781</v>
      </c>
      <c r="E126" s="124" t="s">
        <v>2782</v>
      </c>
      <c r="F126" s="124" t="s">
        <v>2783</v>
      </c>
      <c r="G126" s="137" t="s">
        <v>2345</v>
      </c>
      <c r="H126" s="124" t="s">
        <v>2784</v>
      </c>
      <c r="I126" s="166" t="s">
        <v>40</v>
      </c>
      <c r="J126" s="166" t="s">
        <v>2785</v>
      </c>
      <c r="K126" s="179" t="s">
        <v>41</v>
      </c>
      <c r="L126" s="137" t="s">
        <v>42</v>
      </c>
      <c r="M126" s="124" t="s">
        <v>43</v>
      </c>
      <c r="N126" s="180">
        <v>44866</v>
      </c>
      <c r="O126" s="124" t="s">
        <v>44</v>
      </c>
      <c r="P126" s="137" t="s">
        <v>2347</v>
      </c>
      <c r="Q126" s="137" t="s">
        <v>3676</v>
      </c>
      <c r="R126" s="124" t="s">
        <v>2786</v>
      </c>
      <c r="S126" s="124">
        <v>28029</v>
      </c>
      <c r="T126" s="134">
        <v>101859261098</v>
      </c>
      <c r="U126" s="126" t="s">
        <v>2788</v>
      </c>
      <c r="V126" s="126" t="s">
        <v>2787</v>
      </c>
      <c r="W126" s="135" t="s">
        <v>2789</v>
      </c>
      <c r="X126" s="135" t="s">
        <v>2790</v>
      </c>
      <c r="Y126" s="167" t="s">
        <v>65</v>
      </c>
      <c r="Z126" s="126" t="s">
        <v>91</v>
      </c>
      <c r="AA126" s="167" t="s">
        <v>2791</v>
      </c>
      <c r="AB126" s="167" t="s">
        <v>2791</v>
      </c>
      <c r="AC126" s="164" t="s">
        <v>2780</v>
      </c>
      <c r="AD126" s="140"/>
      <c r="AE126" s="126"/>
      <c r="AF126" s="126"/>
      <c r="AG126" s="168" t="s">
        <v>5337</v>
      </c>
      <c r="AH126" s="126"/>
      <c r="AI126" s="126"/>
      <c r="AJ126" s="136" t="s">
        <v>2785</v>
      </c>
      <c r="AK126" s="128"/>
      <c r="AL126" s="129"/>
      <c r="AM126" s="129"/>
    </row>
    <row r="127" spans="1:39" ht="45" customHeight="1">
      <c r="A127" s="137">
        <f>SUBTOTAL(3,$B$3:B127)</f>
        <v>125</v>
      </c>
      <c r="B127" s="164" t="s">
        <v>2792</v>
      </c>
      <c r="C127" s="165" t="s">
        <v>2793</v>
      </c>
      <c r="D127" s="124" t="s">
        <v>2793</v>
      </c>
      <c r="E127" s="124" t="s">
        <v>2794</v>
      </c>
      <c r="F127" s="124" t="s">
        <v>162</v>
      </c>
      <c r="G127" s="137" t="s">
        <v>2345</v>
      </c>
      <c r="H127" s="124" t="s">
        <v>441</v>
      </c>
      <c r="I127" s="166" t="s">
        <v>40</v>
      </c>
      <c r="J127" s="166" t="s">
        <v>2795</v>
      </c>
      <c r="K127" s="179" t="s">
        <v>41</v>
      </c>
      <c r="L127" s="137" t="s">
        <v>42</v>
      </c>
      <c r="M127" s="124" t="s">
        <v>43</v>
      </c>
      <c r="N127" s="180">
        <v>44866</v>
      </c>
      <c r="O127" s="124" t="s">
        <v>44</v>
      </c>
      <c r="P127" s="137" t="s">
        <v>2347</v>
      </c>
      <c r="Q127" s="137" t="s">
        <v>3676</v>
      </c>
      <c r="R127" s="124" t="s">
        <v>2796</v>
      </c>
      <c r="S127" s="124">
        <v>28225</v>
      </c>
      <c r="T127" s="134">
        <v>101795609059</v>
      </c>
      <c r="U127" s="126" t="s">
        <v>2798</v>
      </c>
      <c r="V127" s="126" t="s">
        <v>2797</v>
      </c>
      <c r="W127" s="135" t="s">
        <v>2799</v>
      </c>
      <c r="X127" s="135" t="s">
        <v>2800</v>
      </c>
      <c r="Y127" s="167" t="s">
        <v>132</v>
      </c>
      <c r="Z127" s="126" t="s">
        <v>2801</v>
      </c>
      <c r="AA127" s="167" t="s">
        <v>2802</v>
      </c>
      <c r="AB127" s="167" t="s">
        <v>2802</v>
      </c>
      <c r="AC127" s="164" t="s">
        <v>2792</v>
      </c>
      <c r="AD127" s="140"/>
      <c r="AE127" s="126"/>
      <c r="AF127" s="126"/>
      <c r="AG127" s="168" t="s">
        <v>5341</v>
      </c>
      <c r="AH127" s="126"/>
      <c r="AI127" s="126"/>
      <c r="AJ127" s="136" t="s">
        <v>2795</v>
      </c>
      <c r="AK127" s="128"/>
      <c r="AL127" s="129"/>
      <c r="AM127" s="129"/>
    </row>
    <row r="128" spans="1:39" ht="45" customHeight="1">
      <c r="A128" s="137">
        <f>SUBTOTAL(3,$B$3:B128)</f>
        <v>126</v>
      </c>
      <c r="B128" s="164" t="s">
        <v>2824</v>
      </c>
      <c r="C128" s="165" t="s">
        <v>2825</v>
      </c>
      <c r="D128" s="124" t="s">
        <v>2825</v>
      </c>
      <c r="E128" s="124" t="s">
        <v>1428</v>
      </c>
      <c r="F128" s="124" t="s">
        <v>2826</v>
      </c>
      <c r="G128" s="137" t="s">
        <v>2345</v>
      </c>
      <c r="H128" s="124" t="s">
        <v>2827</v>
      </c>
      <c r="I128" s="166" t="s">
        <v>40</v>
      </c>
      <c r="J128" s="166" t="s">
        <v>2828</v>
      </c>
      <c r="K128" s="179" t="s">
        <v>41</v>
      </c>
      <c r="L128" s="137" t="s">
        <v>42</v>
      </c>
      <c r="M128" s="124" t="s">
        <v>43</v>
      </c>
      <c r="N128" s="180">
        <v>44866</v>
      </c>
      <c r="O128" s="124" t="s">
        <v>44</v>
      </c>
      <c r="P128" s="137" t="s">
        <v>2347</v>
      </c>
      <c r="Q128" s="137" t="s">
        <v>3676</v>
      </c>
      <c r="R128" s="124" t="s">
        <v>2829</v>
      </c>
      <c r="S128" s="124">
        <v>28231</v>
      </c>
      <c r="T128" s="134">
        <v>101840795623</v>
      </c>
      <c r="U128" s="126" t="s">
        <v>2831</v>
      </c>
      <c r="V128" s="126" t="s">
        <v>2830</v>
      </c>
      <c r="W128" s="135" t="s">
        <v>2832</v>
      </c>
      <c r="X128" s="135" t="s">
        <v>2833</v>
      </c>
      <c r="Y128" s="167" t="s">
        <v>146</v>
      </c>
      <c r="Z128" s="126" t="s">
        <v>2834</v>
      </c>
      <c r="AA128" s="167" t="s">
        <v>2835</v>
      </c>
      <c r="AB128" s="167" t="s">
        <v>2835</v>
      </c>
      <c r="AC128" s="164" t="s">
        <v>2824</v>
      </c>
      <c r="AD128" s="140"/>
      <c r="AE128" s="126"/>
      <c r="AF128" s="126"/>
      <c r="AG128" s="168" t="s">
        <v>5379</v>
      </c>
      <c r="AH128" s="126"/>
      <c r="AI128" s="126"/>
      <c r="AJ128" s="136" t="s">
        <v>2828</v>
      </c>
      <c r="AK128" s="128"/>
      <c r="AL128" s="129"/>
      <c r="AM128" s="129"/>
    </row>
    <row r="129" spans="1:39" ht="45" customHeight="1">
      <c r="A129" s="137">
        <f>SUBTOTAL(3,$B$3:B129)</f>
        <v>127</v>
      </c>
      <c r="B129" s="164" t="s">
        <v>2836</v>
      </c>
      <c r="C129" s="165" t="s">
        <v>2837</v>
      </c>
      <c r="D129" s="124" t="s">
        <v>2837</v>
      </c>
      <c r="E129" s="124" t="s">
        <v>1279</v>
      </c>
      <c r="F129" s="124" t="s">
        <v>2838</v>
      </c>
      <c r="G129" s="137" t="s">
        <v>2345</v>
      </c>
      <c r="H129" s="124" t="s">
        <v>570</v>
      </c>
      <c r="I129" s="166" t="s">
        <v>40</v>
      </c>
      <c r="J129" s="166" t="s">
        <v>2839</v>
      </c>
      <c r="K129" s="179" t="s">
        <v>41</v>
      </c>
      <c r="L129" s="137" t="s">
        <v>42</v>
      </c>
      <c r="M129" s="124" t="s">
        <v>43</v>
      </c>
      <c r="N129" s="180">
        <v>44866</v>
      </c>
      <c r="O129" s="124" t="s">
        <v>44</v>
      </c>
      <c r="P129" s="137" t="s">
        <v>2347</v>
      </c>
      <c r="Q129" s="137" t="s">
        <v>3676</v>
      </c>
      <c r="R129" s="124">
        <v>6354482091</v>
      </c>
      <c r="S129" s="124">
        <v>28237</v>
      </c>
      <c r="T129" s="134">
        <v>101870675875</v>
      </c>
      <c r="U129" s="126" t="s">
        <v>6178</v>
      </c>
      <c r="V129" s="126" t="s">
        <v>2840</v>
      </c>
      <c r="W129" s="135" t="s">
        <v>2841</v>
      </c>
      <c r="X129" s="135" t="s">
        <v>2842</v>
      </c>
      <c r="Y129" s="167" t="s">
        <v>146</v>
      </c>
      <c r="Z129" s="126" t="s">
        <v>2843</v>
      </c>
      <c r="AA129" s="167" t="s">
        <v>2844</v>
      </c>
      <c r="AB129" s="167" t="s">
        <v>2844</v>
      </c>
      <c r="AC129" s="164" t="s">
        <v>2836</v>
      </c>
      <c r="AD129" s="140"/>
      <c r="AE129" s="126"/>
      <c r="AF129" s="126"/>
      <c r="AG129" s="168" t="s">
        <v>5423</v>
      </c>
      <c r="AH129" s="126"/>
      <c r="AI129" s="126"/>
      <c r="AJ129" s="136" t="s">
        <v>2839</v>
      </c>
      <c r="AK129" s="128"/>
      <c r="AL129" s="129"/>
      <c r="AM129" s="129"/>
    </row>
    <row r="130" spans="1:39" ht="45" customHeight="1">
      <c r="A130" s="137">
        <f>SUBTOTAL(3,$B$3:B130)</f>
        <v>128</v>
      </c>
      <c r="B130" s="169" t="s">
        <v>2845</v>
      </c>
      <c r="C130" s="124" t="s">
        <v>2846</v>
      </c>
      <c r="D130" s="124" t="s">
        <v>2846</v>
      </c>
      <c r="E130" s="124" t="s">
        <v>2847</v>
      </c>
      <c r="F130" s="124" t="s">
        <v>2848</v>
      </c>
      <c r="G130" s="137" t="s">
        <v>2345</v>
      </c>
      <c r="H130" s="124" t="s">
        <v>2849</v>
      </c>
      <c r="I130" s="166" t="s">
        <v>40</v>
      </c>
      <c r="J130" s="166" t="s">
        <v>2711</v>
      </c>
      <c r="K130" s="179" t="s">
        <v>41</v>
      </c>
      <c r="L130" s="137" t="s">
        <v>42</v>
      </c>
      <c r="M130" s="124" t="s">
        <v>43</v>
      </c>
      <c r="N130" s="180">
        <v>44866</v>
      </c>
      <c r="O130" s="124" t="s">
        <v>44</v>
      </c>
      <c r="P130" s="137" t="s">
        <v>2347</v>
      </c>
      <c r="Q130" s="137" t="s">
        <v>3676</v>
      </c>
      <c r="R130" s="124" t="s">
        <v>2850</v>
      </c>
      <c r="S130" s="124">
        <v>28252</v>
      </c>
      <c r="T130" s="134">
        <v>101784054256</v>
      </c>
      <c r="U130" s="126" t="s">
        <v>6178</v>
      </c>
      <c r="V130" s="126" t="s">
        <v>2851</v>
      </c>
      <c r="W130" s="135" t="s">
        <v>2852</v>
      </c>
      <c r="X130" s="135" t="s">
        <v>2853</v>
      </c>
      <c r="Y130" s="167" t="s">
        <v>146</v>
      </c>
      <c r="Z130" s="126" t="s">
        <v>2352</v>
      </c>
      <c r="AA130" s="167" t="s">
        <v>2854</v>
      </c>
      <c r="AB130" s="167" t="s">
        <v>2854</v>
      </c>
      <c r="AC130" s="164" t="s">
        <v>2845</v>
      </c>
      <c r="AD130" s="140"/>
      <c r="AE130" s="126"/>
      <c r="AF130" s="126"/>
      <c r="AG130" s="168" t="s">
        <v>5103</v>
      </c>
      <c r="AH130" s="126"/>
      <c r="AI130" s="126"/>
      <c r="AJ130" s="136" t="s">
        <v>2711</v>
      </c>
      <c r="AK130" s="128"/>
      <c r="AL130" s="129"/>
      <c r="AM130" s="129"/>
    </row>
    <row r="131" spans="1:39" ht="45" customHeight="1">
      <c r="A131" s="137">
        <f>SUBTOTAL(3,$B$3:B131)</f>
        <v>129</v>
      </c>
      <c r="B131" s="164" t="s">
        <v>2855</v>
      </c>
      <c r="C131" s="165" t="s">
        <v>2856</v>
      </c>
      <c r="D131" s="124" t="s">
        <v>2857</v>
      </c>
      <c r="E131" s="124" t="s">
        <v>754</v>
      </c>
      <c r="F131" s="124" t="s">
        <v>2858</v>
      </c>
      <c r="G131" s="137" t="s">
        <v>2345</v>
      </c>
      <c r="H131" s="124" t="s">
        <v>2859</v>
      </c>
      <c r="I131" s="166" t="s">
        <v>40</v>
      </c>
      <c r="J131" s="166" t="s">
        <v>2860</v>
      </c>
      <c r="K131" s="179" t="s">
        <v>41</v>
      </c>
      <c r="L131" s="137" t="s">
        <v>42</v>
      </c>
      <c r="M131" s="124" t="s">
        <v>43</v>
      </c>
      <c r="N131" s="180">
        <v>44866</v>
      </c>
      <c r="O131" s="124" t="s">
        <v>44</v>
      </c>
      <c r="P131" s="137" t="s">
        <v>2347</v>
      </c>
      <c r="Q131" s="137" t="s">
        <v>3676</v>
      </c>
      <c r="R131" s="124">
        <v>7573886648</v>
      </c>
      <c r="S131" s="124">
        <v>28255</v>
      </c>
      <c r="T131" s="134">
        <v>101544532881</v>
      </c>
      <c r="U131" s="126" t="s">
        <v>6474</v>
      </c>
      <c r="V131" s="126" t="s">
        <v>2861</v>
      </c>
      <c r="W131" s="135" t="s">
        <v>2862</v>
      </c>
      <c r="X131" s="135" t="s">
        <v>2863</v>
      </c>
      <c r="Y131" s="167" t="s">
        <v>146</v>
      </c>
      <c r="Z131" s="126" t="s">
        <v>1388</v>
      </c>
      <c r="AA131" s="167" t="s">
        <v>2864</v>
      </c>
      <c r="AB131" s="167" t="s">
        <v>2864</v>
      </c>
      <c r="AC131" s="164" t="s">
        <v>2855</v>
      </c>
      <c r="AD131" s="140"/>
      <c r="AE131" s="126"/>
      <c r="AF131" s="126"/>
      <c r="AG131" s="168" t="s">
        <v>5093</v>
      </c>
      <c r="AH131" s="126"/>
      <c r="AI131" s="126"/>
      <c r="AJ131" s="136" t="s">
        <v>2860</v>
      </c>
      <c r="AK131" s="128"/>
      <c r="AL131" s="129"/>
      <c r="AM131" s="129"/>
    </row>
    <row r="132" spans="1:39" ht="45" customHeight="1">
      <c r="A132" s="137">
        <f>SUBTOTAL(3,$B$3:B132)</f>
        <v>130</v>
      </c>
      <c r="B132" s="169" t="s">
        <v>2865</v>
      </c>
      <c r="C132" s="124" t="s">
        <v>2866</v>
      </c>
      <c r="D132" s="124" t="s">
        <v>2866</v>
      </c>
      <c r="E132" s="124" t="s">
        <v>2867</v>
      </c>
      <c r="F132" s="124" t="s">
        <v>2868</v>
      </c>
      <c r="G132" s="137" t="s">
        <v>2345</v>
      </c>
      <c r="H132" s="124" t="s">
        <v>441</v>
      </c>
      <c r="I132" s="166" t="s">
        <v>40</v>
      </c>
      <c r="J132" s="166" t="s">
        <v>2869</v>
      </c>
      <c r="K132" s="179" t="s">
        <v>41</v>
      </c>
      <c r="L132" s="137" t="s">
        <v>42</v>
      </c>
      <c r="M132" s="124" t="s">
        <v>43</v>
      </c>
      <c r="N132" s="166">
        <v>44866</v>
      </c>
      <c r="O132" s="124" t="s">
        <v>44</v>
      </c>
      <c r="P132" s="137" t="s">
        <v>2347</v>
      </c>
      <c r="Q132" s="137" t="s">
        <v>3676</v>
      </c>
      <c r="R132" s="124" t="s">
        <v>2870</v>
      </c>
      <c r="S132" s="124">
        <v>28253</v>
      </c>
      <c r="T132" s="134">
        <v>101871252166</v>
      </c>
      <c r="U132" s="126" t="s">
        <v>6178</v>
      </c>
      <c r="V132" s="126" t="s">
        <v>2871</v>
      </c>
      <c r="W132" s="135" t="s">
        <v>2872</v>
      </c>
      <c r="X132" s="135" t="s">
        <v>2873</v>
      </c>
      <c r="Y132" s="167" t="s">
        <v>65</v>
      </c>
      <c r="Z132" s="126" t="s">
        <v>2874</v>
      </c>
      <c r="AA132" s="167" t="s">
        <v>2875</v>
      </c>
      <c r="AB132" s="167" t="s">
        <v>2875</v>
      </c>
      <c r="AC132" s="164" t="s">
        <v>2865</v>
      </c>
      <c r="AD132" s="140"/>
      <c r="AE132" s="126"/>
      <c r="AF132" s="126"/>
      <c r="AG132" s="168" t="s">
        <v>5366</v>
      </c>
      <c r="AH132" s="126"/>
      <c r="AI132" s="126"/>
      <c r="AJ132" s="136" t="s">
        <v>2869</v>
      </c>
      <c r="AK132" s="128"/>
      <c r="AL132" s="129"/>
      <c r="AM132" s="129"/>
    </row>
    <row r="133" spans="1:39" ht="45" customHeight="1">
      <c r="A133" s="137">
        <f>SUBTOTAL(3,$B$3:B133)</f>
        <v>131</v>
      </c>
      <c r="B133" s="164" t="s">
        <v>2876</v>
      </c>
      <c r="C133" s="165" t="s">
        <v>2877</v>
      </c>
      <c r="D133" s="124" t="s">
        <v>2877</v>
      </c>
      <c r="E133" s="124" t="s">
        <v>2878</v>
      </c>
      <c r="F133" s="124" t="s">
        <v>2879</v>
      </c>
      <c r="G133" s="137" t="s">
        <v>2389</v>
      </c>
      <c r="H133" s="124" t="s">
        <v>2880</v>
      </c>
      <c r="I133" s="166" t="s">
        <v>40</v>
      </c>
      <c r="J133" s="166" t="s">
        <v>2881</v>
      </c>
      <c r="K133" s="179" t="s">
        <v>41</v>
      </c>
      <c r="L133" s="137" t="s">
        <v>42</v>
      </c>
      <c r="M133" s="124" t="s">
        <v>43</v>
      </c>
      <c r="N133" s="166">
        <v>44866</v>
      </c>
      <c r="O133" s="124" t="s">
        <v>44</v>
      </c>
      <c r="P133" s="137" t="s">
        <v>2347</v>
      </c>
      <c r="Q133" s="137" t="s">
        <v>3676</v>
      </c>
      <c r="R133" s="124" t="s">
        <v>2882</v>
      </c>
      <c r="S133" s="124">
        <v>28256</v>
      </c>
      <c r="T133" s="134">
        <v>101604715930</v>
      </c>
      <c r="U133" s="126" t="s">
        <v>2884</v>
      </c>
      <c r="V133" s="126" t="s">
        <v>2883</v>
      </c>
      <c r="W133" s="135" t="s">
        <v>2885</v>
      </c>
      <c r="X133" s="135" t="s">
        <v>2886</v>
      </c>
      <c r="Y133" s="167" t="s">
        <v>65</v>
      </c>
      <c r="Z133" s="126" t="s">
        <v>2887</v>
      </c>
      <c r="AA133" s="167" t="s">
        <v>2888</v>
      </c>
      <c r="AB133" s="167" t="s">
        <v>2888</v>
      </c>
      <c r="AC133" s="164" t="s">
        <v>2876</v>
      </c>
      <c r="AD133" s="140"/>
      <c r="AE133" s="126"/>
      <c r="AF133" s="126"/>
      <c r="AG133" s="168" t="s">
        <v>5340</v>
      </c>
      <c r="AH133" s="126"/>
      <c r="AI133" s="126"/>
      <c r="AJ133" s="136" t="s">
        <v>2881</v>
      </c>
      <c r="AK133" s="128"/>
      <c r="AL133" s="129"/>
      <c r="AM133" s="129"/>
    </row>
    <row r="134" spans="1:39" ht="45" customHeight="1">
      <c r="A134" s="137">
        <f>SUBTOTAL(3,$B$3:B134)</f>
        <v>132</v>
      </c>
      <c r="B134" s="164" t="s">
        <v>2889</v>
      </c>
      <c r="C134" s="165" t="s">
        <v>2890</v>
      </c>
      <c r="D134" s="124" t="s">
        <v>2890</v>
      </c>
      <c r="E134" s="124" t="s">
        <v>2421</v>
      </c>
      <c r="F134" s="124" t="s">
        <v>2891</v>
      </c>
      <c r="G134" s="137" t="s">
        <v>2389</v>
      </c>
      <c r="H134" s="124" t="s">
        <v>2892</v>
      </c>
      <c r="I134" s="166" t="s">
        <v>40</v>
      </c>
      <c r="J134" s="166" t="s">
        <v>2589</v>
      </c>
      <c r="K134" s="179" t="s">
        <v>41</v>
      </c>
      <c r="L134" s="137" t="s">
        <v>42</v>
      </c>
      <c r="M134" s="124" t="s">
        <v>43</v>
      </c>
      <c r="N134" s="166">
        <v>44866</v>
      </c>
      <c r="O134" s="124" t="s">
        <v>44</v>
      </c>
      <c r="P134" s="137" t="s">
        <v>2347</v>
      </c>
      <c r="Q134" s="137" t="s">
        <v>3676</v>
      </c>
      <c r="R134" s="124" t="s">
        <v>2893</v>
      </c>
      <c r="S134" s="124">
        <v>28238</v>
      </c>
      <c r="T134" s="134">
        <v>101870675881</v>
      </c>
      <c r="U134" s="126" t="s">
        <v>6464</v>
      </c>
      <c r="V134" s="126" t="s">
        <v>2894</v>
      </c>
      <c r="W134" s="135" t="s">
        <v>2895</v>
      </c>
      <c r="X134" s="135" t="s">
        <v>2896</v>
      </c>
      <c r="Y134" s="167" t="s">
        <v>2898</v>
      </c>
      <c r="Z134" s="126" t="s">
        <v>2897</v>
      </c>
      <c r="AA134" s="167" t="s">
        <v>2899</v>
      </c>
      <c r="AB134" s="167" t="s">
        <v>2899</v>
      </c>
      <c r="AC134" s="164" t="s">
        <v>2889</v>
      </c>
      <c r="AD134" s="140"/>
      <c r="AE134" s="126"/>
      <c r="AF134" s="126"/>
      <c r="AG134" s="168" t="s">
        <v>5335</v>
      </c>
      <c r="AH134" s="126"/>
      <c r="AI134" s="126"/>
      <c r="AJ134" s="136" t="s">
        <v>2589</v>
      </c>
      <c r="AK134" s="128"/>
      <c r="AL134" s="129"/>
      <c r="AM134" s="129"/>
    </row>
    <row r="135" spans="1:39" ht="45" customHeight="1">
      <c r="A135" s="137">
        <f>SUBTOTAL(3,$B$3:B135)</f>
        <v>133</v>
      </c>
      <c r="B135" s="164" t="s">
        <v>2900</v>
      </c>
      <c r="C135" s="165" t="s">
        <v>2901</v>
      </c>
      <c r="D135" s="124" t="s">
        <v>2901</v>
      </c>
      <c r="E135" s="124" t="s">
        <v>2902</v>
      </c>
      <c r="F135" s="124" t="s">
        <v>2903</v>
      </c>
      <c r="G135" s="137" t="s">
        <v>2345</v>
      </c>
      <c r="H135" s="124" t="s">
        <v>2904</v>
      </c>
      <c r="I135" s="166" t="s">
        <v>40</v>
      </c>
      <c r="J135" s="166" t="s">
        <v>2905</v>
      </c>
      <c r="K135" s="179" t="s">
        <v>41</v>
      </c>
      <c r="L135" s="137" t="s">
        <v>42</v>
      </c>
      <c r="M135" s="124" t="s">
        <v>43</v>
      </c>
      <c r="N135" s="180">
        <v>44866</v>
      </c>
      <c r="O135" s="124" t="s">
        <v>44</v>
      </c>
      <c r="P135" s="137" t="s">
        <v>2347</v>
      </c>
      <c r="Q135" s="137" t="s">
        <v>3676</v>
      </c>
      <c r="R135" s="124">
        <v>7573896803</v>
      </c>
      <c r="S135" s="124">
        <v>28242</v>
      </c>
      <c r="T135" s="134">
        <v>101842523074</v>
      </c>
      <c r="U135" s="126" t="s">
        <v>2907</v>
      </c>
      <c r="V135" s="126" t="s">
        <v>2906</v>
      </c>
      <c r="W135" s="135" t="s">
        <v>2908</v>
      </c>
      <c r="X135" s="135" t="s">
        <v>2909</v>
      </c>
      <c r="Y135" s="167" t="s">
        <v>146</v>
      </c>
      <c r="Z135" s="126" t="s">
        <v>2403</v>
      </c>
      <c r="AA135" s="167" t="s">
        <v>2910</v>
      </c>
      <c r="AB135" s="167" t="s">
        <v>2910</v>
      </c>
      <c r="AC135" s="164" t="s">
        <v>2900</v>
      </c>
      <c r="AD135" s="140"/>
      <c r="AE135" s="126"/>
      <c r="AF135" s="126"/>
      <c r="AG135" s="168" t="s">
        <v>5434</v>
      </c>
      <c r="AH135" s="126"/>
      <c r="AI135" s="126"/>
      <c r="AJ135" s="136" t="s">
        <v>2905</v>
      </c>
      <c r="AK135" s="128"/>
      <c r="AL135" s="129"/>
      <c r="AM135" s="129"/>
    </row>
    <row r="136" spans="1:39" ht="45" customHeight="1">
      <c r="A136" s="137">
        <f>SUBTOTAL(3,$B$3:B136)</f>
        <v>134</v>
      </c>
      <c r="B136" s="169" t="s">
        <v>2911</v>
      </c>
      <c r="C136" s="124" t="s">
        <v>2912</v>
      </c>
      <c r="D136" s="124" t="s">
        <v>2912</v>
      </c>
      <c r="E136" s="124" t="s">
        <v>544</v>
      </c>
      <c r="F136" s="124" t="s">
        <v>2913</v>
      </c>
      <c r="G136" s="137" t="s">
        <v>2345</v>
      </c>
      <c r="H136" s="124" t="s">
        <v>2914</v>
      </c>
      <c r="I136" s="166" t="s">
        <v>40</v>
      </c>
      <c r="J136" s="166" t="s">
        <v>2915</v>
      </c>
      <c r="K136" s="179" t="s">
        <v>41</v>
      </c>
      <c r="L136" s="137" t="s">
        <v>42</v>
      </c>
      <c r="M136" s="124" t="s">
        <v>43</v>
      </c>
      <c r="N136" s="180">
        <v>44866</v>
      </c>
      <c r="O136" s="124" t="s">
        <v>44</v>
      </c>
      <c r="P136" s="137" t="s">
        <v>2347</v>
      </c>
      <c r="Q136" s="137" t="s">
        <v>3676</v>
      </c>
      <c r="R136" s="124" t="s">
        <v>2916</v>
      </c>
      <c r="S136" s="124">
        <v>28241</v>
      </c>
      <c r="T136" s="134">
        <v>101839932943</v>
      </c>
      <c r="U136" s="126" t="s">
        <v>2918</v>
      </c>
      <c r="V136" s="126" t="s">
        <v>2917</v>
      </c>
      <c r="W136" s="135" t="s">
        <v>2919</v>
      </c>
      <c r="X136" s="135" t="s">
        <v>2920</v>
      </c>
      <c r="Y136" s="167" t="s">
        <v>146</v>
      </c>
      <c r="Z136" s="126" t="s">
        <v>2921</v>
      </c>
      <c r="AA136" s="167" t="s">
        <v>2922</v>
      </c>
      <c r="AB136" s="167" t="s">
        <v>2922</v>
      </c>
      <c r="AC136" s="164" t="s">
        <v>2911</v>
      </c>
      <c r="AD136" s="140"/>
      <c r="AE136" s="126"/>
      <c r="AF136" s="126"/>
      <c r="AG136" s="168" t="s">
        <v>5266</v>
      </c>
      <c r="AH136" s="126"/>
      <c r="AI136" s="126"/>
      <c r="AJ136" s="136" t="s">
        <v>2915</v>
      </c>
      <c r="AK136" s="128"/>
      <c r="AL136" s="129"/>
      <c r="AM136" s="129"/>
    </row>
    <row r="137" spans="1:39" ht="45" customHeight="1">
      <c r="A137" s="137">
        <f>SUBTOTAL(3,$B$3:B137)</f>
        <v>135</v>
      </c>
      <c r="B137" s="164" t="s">
        <v>2923</v>
      </c>
      <c r="C137" s="165" t="s">
        <v>2924</v>
      </c>
      <c r="D137" s="124" t="s">
        <v>2924</v>
      </c>
      <c r="E137" s="124" t="s">
        <v>2925</v>
      </c>
      <c r="F137" s="124" t="s">
        <v>2926</v>
      </c>
      <c r="G137" s="137" t="s">
        <v>2345</v>
      </c>
      <c r="H137" s="124" t="s">
        <v>2927</v>
      </c>
      <c r="I137" s="166" t="s">
        <v>702</v>
      </c>
      <c r="J137" s="166" t="s">
        <v>2928</v>
      </c>
      <c r="K137" s="179" t="s">
        <v>280</v>
      </c>
      <c r="L137" s="137" t="s">
        <v>42</v>
      </c>
      <c r="M137" s="124" t="s">
        <v>43</v>
      </c>
      <c r="N137" s="180">
        <v>44866</v>
      </c>
      <c r="O137" s="124" t="s">
        <v>44</v>
      </c>
      <c r="P137" s="137" t="s">
        <v>2347</v>
      </c>
      <c r="Q137" s="137" t="s">
        <v>3676</v>
      </c>
      <c r="R137" s="124">
        <v>6351353491</v>
      </c>
      <c r="S137" s="124">
        <v>28235</v>
      </c>
      <c r="T137" s="134">
        <v>101870675868</v>
      </c>
      <c r="U137" s="126" t="s">
        <v>6487</v>
      </c>
      <c r="V137" s="126" t="s">
        <v>2929</v>
      </c>
      <c r="W137" s="135" t="s">
        <v>2930</v>
      </c>
      <c r="X137" s="135" t="s">
        <v>2931</v>
      </c>
      <c r="Y137" s="167" t="s">
        <v>65</v>
      </c>
      <c r="Z137" s="126" t="s">
        <v>2932</v>
      </c>
      <c r="AA137" s="167" t="s">
        <v>2933</v>
      </c>
      <c r="AB137" s="167" t="s">
        <v>2933</v>
      </c>
      <c r="AC137" s="164" t="s">
        <v>2923</v>
      </c>
      <c r="AD137" s="140"/>
      <c r="AE137" s="126"/>
      <c r="AF137" s="126"/>
      <c r="AG137" s="168" t="s">
        <v>5447</v>
      </c>
      <c r="AH137" s="126"/>
      <c r="AI137" s="126"/>
      <c r="AJ137" s="136" t="s">
        <v>2928</v>
      </c>
      <c r="AK137" s="128"/>
      <c r="AL137" s="129"/>
      <c r="AM137" s="129"/>
    </row>
    <row r="138" spans="1:39" ht="45" customHeight="1">
      <c r="A138" s="137">
        <f>SUBTOTAL(3,$B$3:B138)</f>
        <v>136</v>
      </c>
      <c r="B138" s="164" t="s">
        <v>2934</v>
      </c>
      <c r="C138" s="165" t="s">
        <v>2935</v>
      </c>
      <c r="D138" s="124" t="s">
        <v>2935</v>
      </c>
      <c r="E138" s="124" t="s">
        <v>722</v>
      </c>
      <c r="F138" s="124" t="s">
        <v>2936</v>
      </c>
      <c r="G138" s="137" t="s">
        <v>2389</v>
      </c>
      <c r="H138" s="124" t="s">
        <v>2230</v>
      </c>
      <c r="I138" s="166" t="s">
        <v>40</v>
      </c>
      <c r="J138" s="166" t="s">
        <v>2937</v>
      </c>
      <c r="K138" s="179" t="s">
        <v>41</v>
      </c>
      <c r="L138" s="137" t="s">
        <v>42</v>
      </c>
      <c r="M138" s="124" t="s">
        <v>43</v>
      </c>
      <c r="N138" s="180">
        <v>44866</v>
      </c>
      <c r="O138" s="124" t="s">
        <v>44</v>
      </c>
      <c r="P138" s="137" t="s">
        <v>2347</v>
      </c>
      <c r="Q138" s="137" t="s">
        <v>3676</v>
      </c>
      <c r="R138" s="124">
        <v>7820007881</v>
      </c>
      <c r="S138" s="124">
        <v>28232</v>
      </c>
      <c r="T138" s="134">
        <v>101870675847</v>
      </c>
      <c r="U138" s="126" t="s">
        <v>2939</v>
      </c>
      <c r="V138" s="126" t="s">
        <v>2938</v>
      </c>
      <c r="W138" s="135" t="s">
        <v>2940</v>
      </c>
      <c r="X138" s="135" t="s">
        <v>2941</v>
      </c>
      <c r="Y138" s="167" t="s">
        <v>1852</v>
      </c>
      <c r="Z138" s="126" t="s">
        <v>2942</v>
      </c>
      <c r="AA138" s="167" t="s">
        <v>6465</v>
      </c>
      <c r="AB138" s="167" t="s">
        <v>6465</v>
      </c>
      <c r="AC138" s="164" t="s">
        <v>2934</v>
      </c>
      <c r="AD138" s="140"/>
      <c r="AE138" s="126"/>
      <c r="AF138" s="126"/>
      <c r="AG138" s="168" t="s">
        <v>5421</v>
      </c>
      <c r="AH138" s="126"/>
      <c r="AI138" s="126"/>
      <c r="AJ138" s="136" t="s">
        <v>2937</v>
      </c>
      <c r="AK138" s="128"/>
      <c r="AL138" s="129"/>
      <c r="AM138" s="129"/>
    </row>
    <row r="139" spans="1:39" ht="45" customHeight="1">
      <c r="A139" s="137">
        <f>SUBTOTAL(3,$B$3:B139)</f>
        <v>137</v>
      </c>
      <c r="B139" s="164" t="s">
        <v>2943</v>
      </c>
      <c r="C139" s="165" t="s">
        <v>2944</v>
      </c>
      <c r="D139" s="124" t="s">
        <v>2944</v>
      </c>
      <c r="E139" s="124" t="s">
        <v>2945</v>
      </c>
      <c r="F139" s="124" t="s">
        <v>2946</v>
      </c>
      <c r="G139" s="137" t="s">
        <v>2345</v>
      </c>
      <c r="H139" s="124" t="s">
        <v>2947</v>
      </c>
      <c r="I139" s="166" t="s">
        <v>40</v>
      </c>
      <c r="J139" s="166" t="s">
        <v>2948</v>
      </c>
      <c r="K139" s="179" t="s">
        <v>41</v>
      </c>
      <c r="L139" s="137" t="s">
        <v>42</v>
      </c>
      <c r="M139" s="124" t="s">
        <v>43</v>
      </c>
      <c r="N139" s="180">
        <v>44866</v>
      </c>
      <c r="O139" s="124" t="s">
        <v>44</v>
      </c>
      <c r="P139" s="137" t="s">
        <v>2347</v>
      </c>
      <c r="Q139" s="137" t="s">
        <v>3676</v>
      </c>
      <c r="R139" s="124" t="s">
        <v>2949</v>
      </c>
      <c r="S139" s="124">
        <v>28230</v>
      </c>
      <c r="T139" s="134">
        <v>101795609248</v>
      </c>
      <c r="U139" s="126" t="s">
        <v>2951</v>
      </c>
      <c r="V139" s="126" t="s">
        <v>2950</v>
      </c>
      <c r="W139" s="135" t="s">
        <v>2952</v>
      </c>
      <c r="X139" s="135" t="s">
        <v>2953</v>
      </c>
      <c r="Y139" s="167" t="s">
        <v>65</v>
      </c>
      <c r="Z139" s="126" t="s">
        <v>2954</v>
      </c>
      <c r="AA139" s="167" t="s">
        <v>2955</v>
      </c>
      <c r="AB139" s="167" t="s">
        <v>2955</v>
      </c>
      <c r="AC139" s="164" t="s">
        <v>2943</v>
      </c>
      <c r="AD139" s="140"/>
      <c r="AE139" s="126"/>
      <c r="AF139" s="126"/>
      <c r="AG139" s="168" t="s">
        <v>5333</v>
      </c>
      <c r="AH139" s="126"/>
      <c r="AI139" s="126"/>
      <c r="AJ139" s="136" t="s">
        <v>2948</v>
      </c>
      <c r="AK139" s="128"/>
      <c r="AL139" s="129"/>
      <c r="AM139" s="129"/>
    </row>
    <row r="140" spans="1:39" s="5" customFormat="1" ht="39.950000000000003" customHeight="1">
      <c r="A140" s="137">
        <f>SUBTOTAL(3,$B$3:B140)</f>
        <v>138</v>
      </c>
      <c r="B140" s="164" t="s">
        <v>2956</v>
      </c>
      <c r="C140" s="165" t="s">
        <v>2957</v>
      </c>
      <c r="D140" s="124" t="s">
        <v>2958</v>
      </c>
      <c r="E140" s="124" t="s">
        <v>415</v>
      </c>
      <c r="F140" s="124" t="s">
        <v>2959</v>
      </c>
      <c r="G140" s="137" t="s">
        <v>2345</v>
      </c>
      <c r="H140" s="124" t="s">
        <v>1042</v>
      </c>
      <c r="I140" s="137" t="s">
        <v>40</v>
      </c>
      <c r="J140" s="166">
        <v>36170</v>
      </c>
      <c r="K140" s="124" t="s">
        <v>41</v>
      </c>
      <c r="L140" s="137" t="s">
        <v>42</v>
      </c>
      <c r="M140" s="124" t="s">
        <v>43</v>
      </c>
      <c r="N140" s="166">
        <v>44866</v>
      </c>
      <c r="O140" s="124" t="s">
        <v>44</v>
      </c>
      <c r="P140" s="137" t="s">
        <v>2347</v>
      </c>
      <c r="Q140" s="137" t="s">
        <v>3676</v>
      </c>
      <c r="R140" s="124" t="s">
        <v>2960</v>
      </c>
      <c r="S140" s="137">
        <v>28024</v>
      </c>
      <c r="T140" s="125">
        <v>101545045254</v>
      </c>
      <c r="U140" s="126" t="s">
        <v>6477</v>
      </c>
      <c r="V140" s="126" t="s">
        <v>2961</v>
      </c>
      <c r="W140" s="126" t="s">
        <v>2962</v>
      </c>
      <c r="X140" s="126" t="s">
        <v>2963</v>
      </c>
      <c r="Y140" s="167" t="s">
        <v>146</v>
      </c>
      <c r="Z140" s="126" t="s">
        <v>447</v>
      </c>
      <c r="AA140" s="167" t="s">
        <v>2964</v>
      </c>
      <c r="AB140" s="167" t="s">
        <v>2964</v>
      </c>
      <c r="AC140" s="164" t="s">
        <v>2956</v>
      </c>
      <c r="AD140" s="140"/>
      <c r="AE140" s="126"/>
      <c r="AF140" s="126"/>
      <c r="AG140" s="168" t="s">
        <v>5430</v>
      </c>
      <c r="AH140" s="126"/>
      <c r="AI140" s="126"/>
      <c r="AJ140" s="136">
        <v>36170</v>
      </c>
      <c r="AK140" s="138"/>
      <c r="AL140" s="139"/>
      <c r="AM140" s="139"/>
    </row>
    <row r="141" spans="1:39" s="5" customFormat="1" ht="39.950000000000003" customHeight="1">
      <c r="A141" s="137">
        <f>SUBTOTAL(3,$B$3:B141)</f>
        <v>139</v>
      </c>
      <c r="B141" s="164" t="s">
        <v>2965</v>
      </c>
      <c r="C141" s="165" t="s">
        <v>2966</v>
      </c>
      <c r="D141" s="124" t="s">
        <v>2966</v>
      </c>
      <c r="E141" s="124" t="s">
        <v>136</v>
      </c>
      <c r="F141" s="124" t="s">
        <v>2967</v>
      </c>
      <c r="G141" s="137" t="s">
        <v>2389</v>
      </c>
      <c r="H141" s="124" t="s">
        <v>2968</v>
      </c>
      <c r="I141" s="137" t="s">
        <v>40</v>
      </c>
      <c r="J141" s="166">
        <v>35533</v>
      </c>
      <c r="K141" s="124" t="s">
        <v>41</v>
      </c>
      <c r="L141" s="137" t="s">
        <v>42</v>
      </c>
      <c r="M141" s="124" t="s">
        <v>43</v>
      </c>
      <c r="N141" s="166">
        <v>44866</v>
      </c>
      <c r="O141" s="124" t="s">
        <v>44</v>
      </c>
      <c r="P141" s="137" t="s">
        <v>2347</v>
      </c>
      <c r="Q141" s="137" t="s">
        <v>3676</v>
      </c>
      <c r="R141" s="124" t="s">
        <v>2969</v>
      </c>
      <c r="S141" s="137">
        <v>28283</v>
      </c>
      <c r="T141" s="125">
        <v>101283761043</v>
      </c>
      <c r="U141" s="126" t="s">
        <v>2971</v>
      </c>
      <c r="V141" s="126" t="s">
        <v>2970</v>
      </c>
      <c r="W141" s="126" t="s">
        <v>2972</v>
      </c>
      <c r="X141" s="126" t="s">
        <v>2973</v>
      </c>
      <c r="Y141" s="167" t="s">
        <v>326</v>
      </c>
      <c r="Z141" s="126" t="s">
        <v>2974</v>
      </c>
      <c r="AA141" s="167" t="s">
        <v>2975</v>
      </c>
      <c r="AB141" s="167" t="s">
        <v>2976</v>
      </c>
      <c r="AC141" s="164" t="s">
        <v>2965</v>
      </c>
      <c r="AD141" s="140"/>
      <c r="AE141" s="126"/>
      <c r="AF141" s="126"/>
      <c r="AG141" s="168" t="s">
        <v>5077</v>
      </c>
      <c r="AH141" s="126"/>
      <c r="AI141" s="126"/>
      <c r="AJ141" s="136">
        <v>35533</v>
      </c>
      <c r="AK141" s="138"/>
      <c r="AL141" s="139"/>
      <c r="AM141" s="139"/>
    </row>
    <row r="142" spans="1:39" s="5" customFormat="1" ht="39.950000000000003" customHeight="1">
      <c r="A142" s="137">
        <f>SUBTOTAL(3,$B$3:B142)</f>
        <v>140</v>
      </c>
      <c r="B142" s="164" t="s">
        <v>3210</v>
      </c>
      <c r="C142" s="165" t="s">
        <v>3211</v>
      </c>
      <c r="D142" s="124" t="s">
        <v>3211</v>
      </c>
      <c r="E142" s="124" t="s">
        <v>96</v>
      </c>
      <c r="F142" s="124" t="s">
        <v>3212</v>
      </c>
      <c r="G142" s="137" t="s">
        <v>2389</v>
      </c>
      <c r="H142" s="124" t="s">
        <v>1899</v>
      </c>
      <c r="I142" s="137" t="s">
        <v>40</v>
      </c>
      <c r="J142" s="166">
        <v>33609</v>
      </c>
      <c r="K142" s="124" t="s">
        <v>41</v>
      </c>
      <c r="L142" s="137" t="s">
        <v>42</v>
      </c>
      <c r="M142" s="124" t="s">
        <v>43</v>
      </c>
      <c r="N142" s="166">
        <v>44884</v>
      </c>
      <c r="O142" s="124" t="s">
        <v>44</v>
      </c>
      <c r="P142" s="137" t="s">
        <v>2347</v>
      </c>
      <c r="Q142" s="137" t="s">
        <v>3676</v>
      </c>
      <c r="R142" s="124">
        <v>8401741843</v>
      </c>
      <c r="S142" s="137">
        <v>27931</v>
      </c>
      <c r="T142" s="125">
        <v>101689392730</v>
      </c>
      <c r="U142" s="126" t="s">
        <v>6178</v>
      </c>
      <c r="V142" s="126" t="s">
        <v>3213</v>
      </c>
      <c r="W142" s="126" t="s">
        <v>3214</v>
      </c>
      <c r="X142" s="126" t="s">
        <v>3215</v>
      </c>
      <c r="Y142" s="167" t="s">
        <v>132</v>
      </c>
      <c r="Z142" s="126" t="s">
        <v>3216</v>
      </c>
      <c r="AA142" s="167" t="s">
        <v>3217</v>
      </c>
      <c r="AB142" s="167" t="s">
        <v>3217</v>
      </c>
      <c r="AC142" s="164" t="s">
        <v>3210</v>
      </c>
      <c r="AD142" s="140"/>
      <c r="AE142" s="126"/>
      <c r="AF142" s="126"/>
      <c r="AG142" s="168" t="s">
        <v>5460</v>
      </c>
      <c r="AH142" s="126"/>
      <c r="AI142" s="126"/>
      <c r="AJ142" s="136">
        <v>33609</v>
      </c>
      <c r="AK142" s="138"/>
      <c r="AL142" s="139"/>
      <c r="AM142" s="139"/>
    </row>
    <row r="143" spans="1:39" s="5" customFormat="1" ht="39.950000000000003" customHeight="1">
      <c r="A143" s="137">
        <f>SUBTOTAL(3,$B$3:B143)</f>
        <v>141</v>
      </c>
      <c r="B143" s="169" t="s">
        <v>3229</v>
      </c>
      <c r="C143" s="124" t="s">
        <v>3230</v>
      </c>
      <c r="D143" s="124" t="s">
        <v>3230</v>
      </c>
      <c r="E143" s="124" t="s">
        <v>3231</v>
      </c>
      <c r="F143" s="124" t="s">
        <v>3232</v>
      </c>
      <c r="G143" s="137" t="s">
        <v>2345</v>
      </c>
      <c r="H143" s="124" t="s">
        <v>2146</v>
      </c>
      <c r="I143" s="137" t="s">
        <v>40</v>
      </c>
      <c r="J143" s="166">
        <v>36162</v>
      </c>
      <c r="K143" s="124" t="s">
        <v>41</v>
      </c>
      <c r="L143" s="137" t="s">
        <v>42</v>
      </c>
      <c r="M143" s="124" t="s">
        <v>43</v>
      </c>
      <c r="N143" s="166">
        <v>44896</v>
      </c>
      <c r="O143" s="124" t="s">
        <v>44</v>
      </c>
      <c r="P143" s="137" t="s">
        <v>2347</v>
      </c>
      <c r="Q143" s="137" t="s">
        <v>3676</v>
      </c>
      <c r="R143" s="124">
        <v>9512366783</v>
      </c>
      <c r="S143" s="137">
        <v>28137</v>
      </c>
      <c r="T143" s="125">
        <v>101577573808</v>
      </c>
      <c r="U143" s="126" t="s">
        <v>3234</v>
      </c>
      <c r="V143" s="126" t="s">
        <v>3233</v>
      </c>
      <c r="W143" s="126" t="s">
        <v>3235</v>
      </c>
      <c r="X143" s="126" t="s">
        <v>3236</v>
      </c>
      <c r="Y143" s="167" t="s">
        <v>65</v>
      </c>
      <c r="Z143" s="126" t="s">
        <v>3237</v>
      </c>
      <c r="AA143" s="167" t="s">
        <v>3238</v>
      </c>
      <c r="AB143" s="167" t="s">
        <v>3239</v>
      </c>
      <c r="AC143" s="164" t="s">
        <v>3229</v>
      </c>
      <c r="AD143" s="140"/>
      <c r="AE143" s="126"/>
      <c r="AF143" s="126"/>
      <c r="AG143" s="168" t="s">
        <v>5117</v>
      </c>
      <c r="AH143" s="126"/>
      <c r="AI143" s="126"/>
      <c r="AJ143" s="136">
        <v>36162</v>
      </c>
      <c r="AK143" s="138"/>
      <c r="AL143" s="139"/>
      <c r="AM143" s="139"/>
    </row>
    <row r="144" spans="1:39" s="5" customFormat="1" ht="39.950000000000003" customHeight="1">
      <c r="A144" s="137">
        <f>SUBTOTAL(3,$B$3:B144)</f>
        <v>142</v>
      </c>
      <c r="B144" s="164" t="s">
        <v>3240</v>
      </c>
      <c r="C144" s="165" t="s">
        <v>3241</v>
      </c>
      <c r="D144" s="124" t="s">
        <v>3241</v>
      </c>
      <c r="E144" s="124" t="s">
        <v>3242</v>
      </c>
      <c r="F144" s="124" t="s">
        <v>2946</v>
      </c>
      <c r="G144" s="137" t="s">
        <v>2345</v>
      </c>
      <c r="H144" s="124" t="s">
        <v>1991</v>
      </c>
      <c r="I144" s="137" t="s">
        <v>40</v>
      </c>
      <c r="J144" s="166">
        <v>36567</v>
      </c>
      <c r="K144" s="124" t="s">
        <v>41</v>
      </c>
      <c r="L144" s="137" t="s">
        <v>42</v>
      </c>
      <c r="M144" s="124" t="s">
        <v>43</v>
      </c>
      <c r="N144" s="166">
        <v>44896</v>
      </c>
      <c r="O144" s="124" t="s">
        <v>44</v>
      </c>
      <c r="P144" s="137" t="s">
        <v>2347</v>
      </c>
      <c r="Q144" s="137" t="s">
        <v>3676</v>
      </c>
      <c r="R144" s="124" t="s">
        <v>3243</v>
      </c>
      <c r="S144" s="137">
        <v>28131</v>
      </c>
      <c r="T144" s="125">
        <v>101877158337</v>
      </c>
      <c r="U144" s="126" t="s">
        <v>3245</v>
      </c>
      <c r="V144" s="126" t="s">
        <v>3244</v>
      </c>
      <c r="W144" s="126" t="s">
        <v>3246</v>
      </c>
      <c r="X144" s="126" t="s">
        <v>3247</v>
      </c>
      <c r="Y144" s="167" t="s">
        <v>65</v>
      </c>
      <c r="Z144" s="126" t="s">
        <v>3248</v>
      </c>
      <c r="AA144" s="167" t="s">
        <v>3249</v>
      </c>
      <c r="AB144" s="167" t="s">
        <v>3250</v>
      </c>
      <c r="AC144" s="164" t="s">
        <v>3240</v>
      </c>
      <c r="AD144" s="140"/>
      <c r="AE144" s="126"/>
      <c r="AF144" s="126"/>
      <c r="AG144" s="168" t="s">
        <v>5119</v>
      </c>
      <c r="AH144" s="126"/>
      <c r="AI144" s="126"/>
      <c r="AJ144" s="136">
        <v>36567</v>
      </c>
      <c r="AK144" s="138"/>
      <c r="AL144" s="139"/>
      <c r="AM144" s="139"/>
    </row>
    <row r="145" spans="1:39" s="5" customFormat="1" ht="39.950000000000003" customHeight="1">
      <c r="A145" s="137">
        <f>SUBTOTAL(3,$B$3:B145)</f>
        <v>143</v>
      </c>
      <c r="B145" s="164" t="s">
        <v>3251</v>
      </c>
      <c r="C145" s="165" t="s">
        <v>3252</v>
      </c>
      <c r="D145" s="124" t="s">
        <v>3252</v>
      </c>
      <c r="E145" s="124" t="s">
        <v>2432</v>
      </c>
      <c r="F145" s="124" t="s">
        <v>3253</v>
      </c>
      <c r="G145" s="137" t="s">
        <v>2345</v>
      </c>
      <c r="H145" s="124" t="s">
        <v>3254</v>
      </c>
      <c r="I145" s="137" t="s">
        <v>40</v>
      </c>
      <c r="J145" s="166">
        <v>36936</v>
      </c>
      <c r="K145" s="124" t="s">
        <v>41</v>
      </c>
      <c r="L145" s="137" t="s">
        <v>42</v>
      </c>
      <c r="M145" s="124" t="s">
        <v>43</v>
      </c>
      <c r="N145" s="166">
        <v>44896</v>
      </c>
      <c r="O145" s="124" t="s">
        <v>44</v>
      </c>
      <c r="P145" s="137" t="s">
        <v>2347</v>
      </c>
      <c r="Q145" s="137" t="s">
        <v>3676</v>
      </c>
      <c r="R145" s="124">
        <v>7990490069</v>
      </c>
      <c r="S145" s="137">
        <v>28139</v>
      </c>
      <c r="T145" s="125">
        <v>101823376929</v>
      </c>
      <c r="U145" s="126" t="s">
        <v>3256</v>
      </c>
      <c r="V145" s="126" t="s">
        <v>3255</v>
      </c>
      <c r="W145" s="126" t="s">
        <v>3257</v>
      </c>
      <c r="X145" s="126" t="s">
        <v>3258</v>
      </c>
      <c r="Y145" s="167" t="s">
        <v>65</v>
      </c>
      <c r="Z145" s="126" t="s">
        <v>398</v>
      </c>
      <c r="AA145" s="167" t="s">
        <v>3259</v>
      </c>
      <c r="AB145" s="167" t="s">
        <v>3260</v>
      </c>
      <c r="AC145" s="164" t="s">
        <v>3251</v>
      </c>
      <c r="AD145" s="140"/>
      <c r="AE145" s="126"/>
      <c r="AF145" s="126"/>
      <c r="AG145" s="168" t="s">
        <v>5276</v>
      </c>
      <c r="AH145" s="126"/>
      <c r="AI145" s="126"/>
      <c r="AJ145" s="136">
        <v>36936</v>
      </c>
      <c r="AK145" s="138"/>
      <c r="AL145" s="139"/>
      <c r="AM145" s="139"/>
    </row>
    <row r="146" spans="1:39" s="5" customFormat="1" ht="39.950000000000003" customHeight="1">
      <c r="A146" s="137">
        <f>SUBTOTAL(3,$B$3:B146)</f>
        <v>144</v>
      </c>
      <c r="B146" s="164" t="s">
        <v>3261</v>
      </c>
      <c r="C146" s="165" t="s">
        <v>3262</v>
      </c>
      <c r="D146" s="124" t="s">
        <v>3262</v>
      </c>
      <c r="E146" s="124" t="s">
        <v>646</v>
      </c>
      <c r="F146" s="124" t="s">
        <v>3263</v>
      </c>
      <c r="G146" s="137" t="s">
        <v>2345</v>
      </c>
      <c r="H146" s="124" t="s">
        <v>251</v>
      </c>
      <c r="I146" s="137" t="s">
        <v>40</v>
      </c>
      <c r="J146" s="166">
        <v>36109</v>
      </c>
      <c r="K146" s="124" t="s">
        <v>41</v>
      </c>
      <c r="L146" s="137" t="s">
        <v>42</v>
      </c>
      <c r="M146" s="124" t="s">
        <v>43</v>
      </c>
      <c r="N146" s="166">
        <v>44866</v>
      </c>
      <c r="O146" s="124" t="s">
        <v>44</v>
      </c>
      <c r="P146" s="137" t="s">
        <v>2347</v>
      </c>
      <c r="Q146" s="137" t="s">
        <v>3676</v>
      </c>
      <c r="R146" s="124" t="s">
        <v>3264</v>
      </c>
      <c r="S146" s="137">
        <v>28159</v>
      </c>
      <c r="T146" s="125">
        <v>101809978616</v>
      </c>
      <c r="U146" s="126" t="s">
        <v>6178</v>
      </c>
      <c r="V146" s="126" t="s">
        <v>3265</v>
      </c>
      <c r="W146" s="126" t="s">
        <v>3266</v>
      </c>
      <c r="X146" s="126" t="s">
        <v>3267</v>
      </c>
      <c r="Y146" s="167" t="s">
        <v>146</v>
      </c>
      <c r="Z146" s="126" t="s">
        <v>3268</v>
      </c>
      <c r="AA146" s="167" t="s">
        <v>3269</v>
      </c>
      <c r="AB146" s="167" t="s">
        <v>6476</v>
      </c>
      <c r="AC146" s="164" t="s">
        <v>3261</v>
      </c>
      <c r="AD146" s="140"/>
      <c r="AE146" s="126"/>
      <c r="AF146" s="126"/>
      <c r="AG146" s="168" t="s">
        <v>5287</v>
      </c>
      <c r="AH146" s="126"/>
      <c r="AI146" s="126"/>
      <c r="AJ146" s="136">
        <v>36109</v>
      </c>
      <c r="AK146" s="138"/>
      <c r="AL146" s="139"/>
      <c r="AM146" s="139"/>
    </row>
    <row r="147" spans="1:39" s="5" customFormat="1" ht="39.950000000000003" customHeight="1">
      <c r="A147" s="137">
        <f>SUBTOTAL(3,$B$3:B147)</f>
        <v>145</v>
      </c>
      <c r="B147" s="164" t="s">
        <v>3270</v>
      </c>
      <c r="C147" s="165" t="s">
        <v>3271</v>
      </c>
      <c r="D147" s="124" t="s">
        <v>3271</v>
      </c>
      <c r="E147" s="124" t="s">
        <v>379</v>
      </c>
      <c r="F147" s="124" t="s">
        <v>3272</v>
      </c>
      <c r="G147" s="137" t="s">
        <v>2345</v>
      </c>
      <c r="H147" s="124" t="s">
        <v>3273</v>
      </c>
      <c r="I147" s="137" t="s">
        <v>40</v>
      </c>
      <c r="J147" s="166">
        <v>35583</v>
      </c>
      <c r="K147" s="124" t="s">
        <v>41</v>
      </c>
      <c r="L147" s="137" t="s">
        <v>42</v>
      </c>
      <c r="M147" s="124" t="s">
        <v>43</v>
      </c>
      <c r="N147" s="166">
        <v>44866</v>
      </c>
      <c r="O147" s="124" t="s">
        <v>44</v>
      </c>
      <c r="P147" s="137" t="s">
        <v>2347</v>
      </c>
      <c r="Q147" s="137" t="s">
        <v>3676</v>
      </c>
      <c r="R147" s="124">
        <v>8469522312</v>
      </c>
      <c r="S147" s="137">
        <v>28085</v>
      </c>
      <c r="T147" s="125">
        <v>101878158361</v>
      </c>
      <c r="U147" s="126" t="s">
        <v>3275</v>
      </c>
      <c r="V147" s="126" t="s">
        <v>3274</v>
      </c>
      <c r="W147" s="126" t="s">
        <v>3276</v>
      </c>
      <c r="X147" s="126" t="s">
        <v>3277</v>
      </c>
      <c r="Y147" s="167" t="s">
        <v>65</v>
      </c>
      <c r="Z147" s="126" t="s">
        <v>3278</v>
      </c>
      <c r="AA147" s="167" t="s">
        <v>3279</v>
      </c>
      <c r="AB147" s="167" t="s">
        <v>3280</v>
      </c>
      <c r="AC147" s="164" t="s">
        <v>3270</v>
      </c>
      <c r="AD147" s="140"/>
      <c r="AE147" s="126"/>
      <c r="AF147" s="126"/>
      <c r="AG147" s="168" t="s">
        <v>5365</v>
      </c>
      <c r="AH147" s="126"/>
      <c r="AI147" s="126"/>
      <c r="AJ147" s="136">
        <v>35583</v>
      </c>
      <c r="AK147" s="138"/>
      <c r="AL147" s="139"/>
      <c r="AM147" s="139"/>
    </row>
    <row r="148" spans="1:39" s="5" customFormat="1" ht="39.950000000000003" customHeight="1">
      <c r="A148" s="137">
        <f>SUBTOTAL(3,$B$3:B148)</f>
        <v>146</v>
      </c>
      <c r="B148" s="169" t="s">
        <v>3281</v>
      </c>
      <c r="C148" s="124" t="s">
        <v>3282</v>
      </c>
      <c r="D148" s="124" t="s">
        <v>3282</v>
      </c>
      <c r="E148" s="124" t="s">
        <v>754</v>
      </c>
      <c r="F148" s="124" t="s">
        <v>3283</v>
      </c>
      <c r="G148" s="137" t="s">
        <v>2389</v>
      </c>
      <c r="H148" s="124" t="s">
        <v>1681</v>
      </c>
      <c r="I148" s="137" t="s">
        <v>40</v>
      </c>
      <c r="J148" s="166">
        <v>35123</v>
      </c>
      <c r="K148" s="124" t="s">
        <v>41</v>
      </c>
      <c r="L148" s="137" t="s">
        <v>42</v>
      </c>
      <c r="M148" s="124" t="s">
        <v>43</v>
      </c>
      <c r="N148" s="166">
        <v>44874</v>
      </c>
      <c r="O148" s="124" t="s">
        <v>44</v>
      </c>
      <c r="P148" s="137" t="s">
        <v>2347</v>
      </c>
      <c r="Q148" s="137" t="s">
        <v>3676</v>
      </c>
      <c r="R148" s="124">
        <v>9574071907</v>
      </c>
      <c r="S148" s="137">
        <v>28081</v>
      </c>
      <c r="T148" s="125">
        <v>101250828319</v>
      </c>
      <c r="U148" s="126" t="s">
        <v>3285</v>
      </c>
      <c r="V148" s="126" t="s">
        <v>3284</v>
      </c>
      <c r="W148" s="126" t="s">
        <v>3286</v>
      </c>
      <c r="X148" s="126" t="s">
        <v>3287</v>
      </c>
      <c r="Y148" s="167" t="s">
        <v>65</v>
      </c>
      <c r="Z148" s="126" t="s">
        <v>91</v>
      </c>
      <c r="AA148" s="167" t="s">
        <v>3288</v>
      </c>
      <c r="AB148" s="167" t="s">
        <v>3289</v>
      </c>
      <c r="AC148" s="164" t="s">
        <v>3281</v>
      </c>
      <c r="AD148" s="140"/>
      <c r="AE148" s="126"/>
      <c r="AF148" s="126"/>
      <c r="AG148" s="168" t="s">
        <v>5281</v>
      </c>
      <c r="AH148" s="126"/>
      <c r="AI148" s="126"/>
      <c r="AJ148" s="136">
        <v>35123</v>
      </c>
      <c r="AK148" s="138"/>
      <c r="AL148" s="139"/>
      <c r="AM148" s="139"/>
    </row>
    <row r="149" spans="1:39" s="5" customFormat="1" ht="39.950000000000003" customHeight="1">
      <c r="A149" s="137">
        <f>SUBTOTAL(3,$B$3:B149)</f>
        <v>147</v>
      </c>
      <c r="B149" s="169" t="s">
        <v>3290</v>
      </c>
      <c r="C149" s="124" t="s">
        <v>3291</v>
      </c>
      <c r="D149" s="124" t="s">
        <v>3291</v>
      </c>
      <c r="E149" s="124" t="s">
        <v>3292</v>
      </c>
      <c r="F149" s="124" t="s">
        <v>1801</v>
      </c>
      <c r="G149" s="137" t="s">
        <v>2345</v>
      </c>
      <c r="H149" s="124" t="s">
        <v>3293</v>
      </c>
      <c r="I149" s="137" t="s">
        <v>40</v>
      </c>
      <c r="J149" s="166">
        <v>36132</v>
      </c>
      <c r="K149" s="124" t="s">
        <v>41</v>
      </c>
      <c r="L149" s="137" t="s">
        <v>42</v>
      </c>
      <c r="M149" s="124" t="s">
        <v>43</v>
      </c>
      <c r="N149" s="166">
        <v>44890</v>
      </c>
      <c r="O149" s="124" t="s">
        <v>44</v>
      </c>
      <c r="P149" s="137" t="s">
        <v>2347</v>
      </c>
      <c r="Q149" s="137" t="s">
        <v>3676</v>
      </c>
      <c r="R149" s="124">
        <v>9724960248</v>
      </c>
      <c r="S149" s="137">
        <v>27952</v>
      </c>
      <c r="T149" s="125">
        <v>101892732947</v>
      </c>
      <c r="U149" s="126" t="s">
        <v>3295</v>
      </c>
      <c r="V149" s="126" t="s">
        <v>3294</v>
      </c>
      <c r="W149" s="126" t="s">
        <v>3296</v>
      </c>
      <c r="X149" s="126" t="s">
        <v>3297</v>
      </c>
      <c r="Y149" s="167" t="s">
        <v>65</v>
      </c>
      <c r="Z149" s="126" t="s">
        <v>3298</v>
      </c>
      <c r="AA149" s="167" t="s">
        <v>3299</v>
      </c>
      <c r="AB149" s="167" t="s">
        <v>3299</v>
      </c>
      <c r="AC149" s="164" t="s">
        <v>3290</v>
      </c>
      <c r="AD149" s="140"/>
      <c r="AE149" s="126"/>
      <c r="AF149" s="126"/>
      <c r="AG149" s="168" t="s">
        <v>5300</v>
      </c>
      <c r="AH149" s="126"/>
      <c r="AI149" s="126"/>
      <c r="AJ149" s="136">
        <v>36132</v>
      </c>
      <c r="AK149" s="138"/>
      <c r="AL149" s="139"/>
      <c r="AM149" s="139"/>
    </row>
    <row r="150" spans="1:39" s="5" customFormat="1" ht="39.950000000000003" customHeight="1">
      <c r="A150" s="137">
        <f>SUBTOTAL(3,$B$3:B150)</f>
        <v>148</v>
      </c>
      <c r="B150" s="164" t="s">
        <v>3300</v>
      </c>
      <c r="C150" s="165" t="s">
        <v>3301</v>
      </c>
      <c r="D150" s="124" t="s">
        <v>3301</v>
      </c>
      <c r="E150" s="124" t="s">
        <v>3302</v>
      </c>
      <c r="F150" s="124" t="s">
        <v>3303</v>
      </c>
      <c r="G150" s="137" t="s">
        <v>2345</v>
      </c>
      <c r="H150" s="124" t="s">
        <v>3304</v>
      </c>
      <c r="I150" s="137" t="s">
        <v>40</v>
      </c>
      <c r="J150" s="166">
        <v>36603</v>
      </c>
      <c r="K150" s="124" t="s">
        <v>41</v>
      </c>
      <c r="L150" s="137" t="s">
        <v>42</v>
      </c>
      <c r="M150" s="124" t="s">
        <v>43</v>
      </c>
      <c r="N150" s="166">
        <v>44873</v>
      </c>
      <c r="O150" s="124" t="s">
        <v>44</v>
      </c>
      <c r="P150" s="137" t="s">
        <v>2347</v>
      </c>
      <c r="Q150" s="137" t="s">
        <v>3676</v>
      </c>
      <c r="R150" s="124" t="s">
        <v>3305</v>
      </c>
      <c r="S150" s="137">
        <v>27930</v>
      </c>
      <c r="T150" s="125">
        <v>101840977378</v>
      </c>
      <c r="U150" s="126" t="s">
        <v>3307</v>
      </c>
      <c r="V150" s="126" t="s">
        <v>3306</v>
      </c>
      <c r="W150" s="126" t="s">
        <v>3308</v>
      </c>
      <c r="X150" s="126" t="s">
        <v>3309</v>
      </c>
      <c r="Y150" s="167" t="s">
        <v>146</v>
      </c>
      <c r="Z150" s="126" t="s">
        <v>2352</v>
      </c>
      <c r="AA150" s="167" t="s">
        <v>3310</v>
      </c>
      <c r="AB150" s="167" t="s">
        <v>3310</v>
      </c>
      <c r="AC150" s="164" t="s">
        <v>3300</v>
      </c>
      <c r="AD150" s="140"/>
      <c r="AE150" s="126"/>
      <c r="AF150" s="126"/>
      <c r="AG150" s="168" t="s">
        <v>5267</v>
      </c>
      <c r="AH150" s="126"/>
      <c r="AI150" s="126"/>
      <c r="AJ150" s="136">
        <v>36603</v>
      </c>
      <c r="AK150" s="138"/>
      <c r="AL150" s="139"/>
      <c r="AM150" s="139"/>
    </row>
    <row r="151" spans="1:39" s="5" customFormat="1" ht="39.950000000000003" customHeight="1">
      <c r="A151" s="137">
        <f>SUBTOTAL(3,$B$3:B151)</f>
        <v>149</v>
      </c>
      <c r="B151" s="164" t="s">
        <v>3311</v>
      </c>
      <c r="C151" s="165" t="s">
        <v>3312</v>
      </c>
      <c r="D151" s="124" t="s">
        <v>3312</v>
      </c>
      <c r="E151" s="124" t="s">
        <v>3313</v>
      </c>
      <c r="F151" s="124" t="s">
        <v>3314</v>
      </c>
      <c r="G151" s="137" t="s">
        <v>2345</v>
      </c>
      <c r="H151" s="124" t="s">
        <v>3315</v>
      </c>
      <c r="I151" s="137" t="s">
        <v>40</v>
      </c>
      <c r="J151" s="166">
        <v>36542</v>
      </c>
      <c r="K151" s="124" t="s">
        <v>41</v>
      </c>
      <c r="L151" s="137" t="s">
        <v>42</v>
      </c>
      <c r="M151" s="124" t="s">
        <v>43</v>
      </c>
      <c r="N151" s="166">
        <v>44874</v>
      </c>
      <c r="O151" s="124" t="s">
        <v>44</v>
      </c>
      <c r="P151" s="137" t="s">
        <v>2347</v>
      </c>
      <c r="Q151" s="137" t="s">
        <v>3676</v>
      </c>
      <c r="R151" s="124" t="s">
        <v>3316</v>
      </c>
      <c r="S151" s="137">
        <v>27937</v>
      </c>
      <c r="T151" s="125">
        <v>101747376402</v>
      </c>
      <c r="U151" s="126" t="s">
        <v>3318</v>
      </c>
      <c r="V151" s="126" t="s">
        <v>3317</v>
      </c>
      <c r="W151" s="126" t="s">
        <v>3319</v>
      </c>
      <c r="X151" s="126" t="s">
        <v>3320</v>
      </c>
      <c r="Y151" s="167" t="s">
        <v>132</v>
      </c>
      <c r="Z151" s="126" t="s">
        <v>3321</v>
      </c>
      <c r="AA151" s="167" t="s">
        <v>3322</v>
      </c>
      <c r="AB151" s="167" t="s">
        <v>3322</v>
      </c>
      <c r="AC151" s="164" t="s">
        <v>3311</v>
      </c>
      <c r="AD151" s="140"/>
      <c r="AE151" s="126"/>
      <c r="AF151" s="126"/>
      <c r="AG151" s="168" t="s">
        <v>5377</v>
      </c>
      <c r="AH151" s="126"/>
      <c r="AI151" s="126"/>
      <c r="AJ151" s="136">
        <v>36542</v>
      </c>
      <c r="AK151" s="138"/>
      <c r="AL151" s="139"/>
      <c r="AM151" s="139"/>
    </row>
    <row r="152" spans="1:39" s="5" customFormat="1" ht="39.950000000000003" customHeight="1">
      <c r="A152" s="137">
        <f>SUBTOTAL(3,$B$3:B152)</f>
        <v>150</v>
      </c>
      <c r="B152" s="164" t="s">
        <v>3323</v>
      </c>
      <c r="C152" s="165" t="s">
        <v>3324</v>
      </c>
      <c r="D152" s="124" t="s">
        <v>3324</v>
      </c>
      <c r="E152" s="124" t="s">
        <v>3325</v>
      </c>
      <c r="F152" s="124" t="s">
        <v>3326</v>
      </c>
      <c r="G152" s="137" t="s">
        <v>2389</v>
      </c>
      <c r="H152" s="124" t="s">
        <v>3327</v>
      </c>
      <c r="I152" s="137" t="s">
        <v>40</v>
      </c>
      <c r="J152" s="166">
        <v>36756</v>
      </c>
      <c r="K152" s="124" t="s">
        <v>41</v>
      </c>
      <c r="L152" s="137" t="s">
        <v>42</v>
      </c>
      <c r="M152" s="124" t="s">
        <v>43</v>
      </c>
      <c r="N152" s="166">
        <v>44866</v>
      </c>
      <c r="O152" s="124" t="s">
        <v>44</v>
      </c>
      <c r="P152" s="137" t="s">
        <v>2347</v>
      </c>
      <c r="Q152" s="137" t="s">
        <v>3676</v>
      </c>
      <c r="R152" s="124" t="s">
        <v>3328</v>
      </c>
      <c r="S152" s="137">
        <v>28315</v>
      </c>
      <c r="T152" s="125">
        <v>101824709755</v>
      </c>
      <c r="U152" s="126" t="s">
        <v>3330</v>
      </c>
      <c r="V152" s="126" t="s">
        <v>3329</v>
      </c>
      <c r="W152" s="126" t="s">
        <v>3331</v>
      </c>
      <c r="X152" s="126" t="s">
        <v>3332</v>
      </c>
      <c r="Y152" s="167" t="s">
        <v>552</v>
      </c>
      <c r="Z152" s="126" t="s">
        <v>551</v>
      </c>
      <c r="AA152" s="167" t="s">
        <v>3333</v>
      </c>
      <c r="AB152" s="167" t="s">
        <v>3333</v>
      </c>
      <c r="AC152" s="164" t="s">
        <v>3323</v>
      </c>
      <c r="AD152" s="140"/>
      <c r="AE152" s="126"/>
      <c r="AF152" s="126"/>
      <c r="AG152" s="168" t="s">
        <v>5332</v>
      </c>
      <c r="AH152" s="126"/>
      <c r="AI152" s="126"/>
      <c r="AJ152" s="136">
        <v>36756</v>
      </c>
      <c r="AK152" s="138"/>
      <c r="AL152" s="139"/>
      <c r="AM152" s="139"/>
    </row>
    <row r="153" spans="1:39" s="5" customFormat="1" ht="39.950000000000003" customHeight="1">
      <c r="A153" s="137">
        <f>SUBTOTAL(3,$B$3:B153)</f>
        <v>151</v>
      </c>
      <c r="B153" s="164" t="s">
        <v>3334</v>
      </c>
      <c r="C153" s="165" t="s">
        <v>3335</v>
      </c>
      <c r="D153" s="124" t="s">
        <v>3335</v>
      </c>
      <c r="E153" s="124" t="s">
        <v>3336</v>
      </c>
      <c r="F153" s="124" t="s">
        <v>3077</v>
      </c>
      <c r="G153" s="137" t="s">
        <v>2345</v>
      </c>
      <c r="H153" s="124" t="s">
        <v>938</v>
      </c>
      <c r="I153" s="137" t="s">
        <v>40</v>
      </c>
      <c r="J153" s="166">
        <v>35779</v>
      </c>
      <c r="K153" s="124" t="s">
        <v>41</v>
      </c>
      <c r="L153" s="137" t="s">
        <v>42</v>
      </c>
      <c r="M153" s="124" t="s">
        <v>43</v>
      </c>
      <c r="N153" s="166">
        <v>44866</v>
      </c>
      <c r="O153" s="124" t="s">
        <v>44</v>
      </c>
      <c r="P153" s="137" t="s">
        <v>2347</v>
      </c>
      <c r="Q153" s="137" t="s">
        <v>3676</v>
      </c>
      <c r="R153" s="124" t="s">
        <v>3337</v>
      </c>
      <c r="S153" s="137">
        <v>28140</v>
      </c>
      <c r="T153" s="125">
        <v>101581654548</v>
      </c>
      <c r="U153" s="126" t="s">
        <v>6460</v>
      </c>
      <c r="V153" s="126" t="s">
        <v>3338</v>
      </c>
      <c r="W153" s="126" t="s">
        <v>3339</v>
      </c>
      <c r="X153" s="126" t="s">
        <v>3340</v>
      </c>
      <c r="Y153" s="167" t="s">
        <v>132</v>
      </c>
      <c r="Z153" s="126" t="s">
        <v>3341</v>
      </c>
      <c r="AA153" s="167" t="s">
        <v>3342</v>
      </c>
      <c r="AB153" s="167" t="s">
        <v>3342</v>
      </c>
      <c r="AC153" s="164" t="s">
        <v>3334</v>
      </c>
      <c r="AD153" s="140"/>
      <c r="AE153" s="126"/>
      <c r="AF153" s="126"/>
      <c r="AG153" s="168" t="s">
        <v>5074</v>
      </c>
      <c r="AH153" s="126"/>
      <c r="AI153" s="126"/>
      <c r="AJ153" s="136">
        <v>35779</v>
      </c>
      <c r="AK153" s="138"/>
      <c r="AL153" s="139"/>
      <c r="AM153" s="139"/>
    </row>
    <row r="154" spans="1:39" s="5" customFormat="1" ht="39.950000000000003" customHeight="1">
      <c r="A154" s="137">
        <f>SUBTOTAL(3,$B$3:B154)</f>
        <v>152</v>
      </c>
      <c r="B154" s="164" t="s">
        <v>3343</v>
      </c>
      <c r="C154" s="165" t="s">
        <v>3344</v>
      </c>
      <c r="D154" s="124" t="s">
        <v>3344</v>
      </c>
      <c r="E154" s="124" t="s">
        <v>1428</v>
      </c>
      <c r="F154" s="124" t="s">
        <v>755</v>
      </c>
      <c r="G154" s="137" t="s">
        <v>2389</v>
      </c>
      <c r="H154" s="124" t="s">
        <v>3345</v>
      </c>
      <c r="I154" s="137" t="s">
        <v>40</v>
      </c>
      <c r="J154" s="166">
        <v>36022</v>
      </c>
      <c r="K154" s="124" t="s">
        <v>41</v>
      </c>
      <c r="L154" s="137" t="s">
        <v>42</v>
      </c>
      <c r="M154" s="124" t="s">
        <v>43</v>
      </c>
      <c r="N154" s="166">
        <v>44874</v>
      </c>
      <c r="O154" s="124" t="s">
        <v>44</v>
      </c>
      <c r="P154" s="137" t="s">
        <v>2347</v>
      </c>
      <c r="Q154" s="137" t="s">
        <v>3676</v>
      </c>
      <c r="R154" s="124" t="s">
        <v>3346</v>
      </c>
      <c r="S154" s="137">
        <v>27927</v>
      </c>
      <c r="T154" s="125">
        <v>101653248592</v>
      </c>
      <c r="U154" s="126" t="s">
        <v>3348</v>
      </c>
      <c r="V154" s="126" t="s">
        <v>3347</v>
      </c>
      <c r="W154" s="126" t="s">
        <v>3349</v>
      </c>
      <c r="X154" s="126" t="s">
        <v>3350</v>
      </c>
      <c r="Y154" s="167" t="s">
        <v>1289</v>
      </c>
      <c r="Z154" s="126" t="s">
        <v>3351</v>
      </c>
      <c r="AA154" s="167" t="s">
        <v>3352</v>
      </c>
      <c r="AB154" s="167" t="s">
        <v>3352</v>
      </c>
      <c r="AC154" s="164" t="s">
        <v>3343</v>
      </c>
      <c r="AD154" s="140"/>
      <c r="AE154" s="126"/>
      <c r="AF154" s="126"/>
      <c r="AG154" s="168" t="s">
        <v>5075</v>
      </c>
      <c r="AH154" s="126"/>
      <c r="AI154" s="126"/>
      <c r="AJ154" s="136">
        <v>36022</v>
      </c>
      <c r="AK154" s="138"/>
      <c r="AL154" s="139"/>
      <c r="AM154" s="139"/>
    </row>
    <row r="155" spans="1:39" s="5" customFormat="1" ht="39.950000000000003" customHeight="1">
      <c r="A155" s="137">
        <f>SUBTOTAL(3,$B$3:B155)</f>
        <v>153</v>
      </c>
      <c r="B155" s="164" t="s">
        <v>3353</v>
      </c>
      <c r="C155" s="165" t="s">
        <v>3354</v>
      </c>
      <c r="D155" s="124" t="s">
        <v>3354</v>
      </c>
      <c r="E155" s="124" t="s">
        <v>291</v>
      </c>
      <c r="F155" s="124" t="s">
        <v>3355</v>
      </c>
      <c r="G155" s="137" t="s">
        <v>2345</v>
      </c>
      <c r="H155" s="124" t="s">
        <v>3356</v>
      </c>
      <c r="I155" s="137" t="s">
        <v>40</v>
      </c>
      <c r="J155" s="166">
        <v>36940</v>
      </c>
      <c r="K155" s="124" t="s">
        <v>41</v>
      </c>
      <c r="L155" s="137" t="s">
        <v>42</v>
      </c>
      <c r="M155" s="124" t="s">
        <v>43</v>
      </c>
      <c r="N155" s="166">
        <v>44866</v>
      </c>
      <c r="O155" s="124" t="s">
        <v>44</v>
      </c>
      <c r="P155" s="137" t="s">
        <v>2347</v>
      </c>
      <c r="Q155" s="137" t="s">
        <v>3676</v>
      </c>
      <c r="R155" s="124">
        <v>9328760411</v>
      </c>
      <c r="S155" s="137">
        <v>28086</v>
      </c>
      <c r="T155" s="125">
        <v>101878158357</v>
      </c>
      <c r="U155" s="126" t="s">
        <v>6178</v>
      </c>
      <c r="V155" s="126" t="s">
        <v>3357</v>
      </c>
      <c r="W155" s="126" t="s">
        <v>3358</v>
      </c>
      <c r="X155" s="126" t="s">
        <v>3359</v>
      </c>
      <c r="Y155" s="167" t="s">
        <v>146</v>
      </c>
      <c r="Z155" s="126" t="s">
        <v>3360</v>
      </c>
      <c r="AA155" s="167" t="s">
        <v>3361</v>
      </c>
      <c r="AB155" s="167" t="s">
        <v>3362</v>
      </c>
      <c r="AC155" s="164" t="s">
        <v>3353</v>
      </c>
      <c r="AD155" s="140"/>
      <c r="AE155" s="126"/>
      <c r="AF155" s="126"/>
      <c r="AG155" s="168" t="s">
        <v>5279</v>
      </c>
      <c r="AH155" s="126"/>
      <c r="AI155" s="126"/>
      <c r="AJ155" s="136">
        <v>36940</v>
      </c>
      <c r="AK155" s="138"/>
      <c r="AL155" s="139"/>
      <c r="AM155" s="139"/>
    </row>
    <row r="156" spans="1:39" s="5" customFormat="1" ht="39.950000000000003" customHeight="1">
      <c r="A156" s="137">
        <f>SUBTOTAL(3,$B$3:B156)</f>
        <v>154</v>
      </c>
      <c r="B156" s="164" t="s">
        <v>3363</v>
      </c>
      <c r="C156" s="165" t="s">
        <v>3364</v>
      </c>
      <c r="D156" s="124" t="s">
        <v>3364</v>
      </c>
      <c r="E156" s="124" t="s">
        <v>3365</v>
      </c>
      <c r="F156" s="124" t="s">
        <v>2848</v>
      </c>
      <c r="G156" s="137" t="s">
        <v>2345</v>
      </c>
      <c r="H156" s="124" t="s">
        <v>3366</v>
      </c>
      <c r="I156" s="137" t="s">
        <v>40</v>
      </c>
      <c r="J156" s="166">
        <v>36485</v>
      </c>
      <c r="K156" s="124" t="s">
        <v>41</v>
      </c>
      <c r="L156" s="137" t="s">
        <v>42</v>
      </c>
      <c r="M156" s="124" t="s">
        <v>43</v>
      </c>
      <c r="N156" s="166">
        <v>44895</v>
      </c>
      <c r="O156" s="124" t="s">
        <v>44</v>
      </c>
      <c r="P156" s="137" t="s">
        <v>2347</v>
      </c>
      <c r="Q156" s="137" t="s">
        <v>3676</v>
      </c>
      <c r="R156" s="124" t="s">
        <v>3367</v>
      </c>
      <c r="S156" s="137">
        <v>27938</v>
      </c>
      <c r="T156" s="125">
        <v>101676280554</v>
      </c>
      <c r="U156" s="126" t="s">
        <v>3369</v>
      </c>
      <c r="V156" s="126" t="s">
        <v>3368</v>
      </c>
      <c r="W156" s="126" t="s">
        <v>3370</v>
      </c>
      <c r="X156" s="126" t="s">
        <v>3371</v>
      </c>
      <c r="Y156" s="167" t="s">
        <v>146</v>
      </c>
      <c r="Z156" s="126" t="s">
        <v>3372</v>
      </c>
      <c r="AA156" s="167" t="s">
        <v>6488</v>
      </c>
      <c r="AB156" s="167" t="s">
        <v>6488</v>
      </c>
      <c r="AC156" s="164" t="s">
        <v>3363</v>
      </c>
      <c r="AD156" s="140"/>
      <c r="AE156" s="126"/>
      <c r="AF156" s="126"/>
      <c r="AG156" s="168" t="s">
        <v>5116</v>
      </c>
      <c r="AH156" s="126"/>
      <c r="AI156" s="126"/>
      <c r="AJ156" s="136">
        <v>36485</v>
      </c>
      <c r="AK156" s="138"/>
      <c r="AL156" s="139"/>
      <c r="AM156" s="139"/>
    </row>
    <row r="157" spans="1:39" s="5" customFormat="1" ht="39.950000000000003" customHeight="1">
      <c r="A157" s="137">
        <f>SUBTOTAL(3,$B$3:B157)</f>
        <v>155</v>
      </c>
      <c r="B157" s="169" t="s">
        <v>3373</v>
      </c>
      <c r="C157" s="124" t="s">
        <v>3374</v>
      </c>
      <c r="D157" s="124" t="s">
        <v>3374</v>
      </c>
      <c r="E157" s="124" t="s">
        <v>3375</v>
      </c>
      <c r="F157" s="124" t="s">
        <v>3376</v>
      </c>
      <c r="G157" s="137" t="s">
        <v>2345</v>
      </c>
      <c r="H157" s="124" t="s">
        <v>3377</v>
      </c>
      <c r="I157" s="137" t="s">
        <v>40</v>
      </c>
      <c r="J157" s="166">
        <v>35843</v>
      </c>
      <c r="K157" s="124" t="s">
        <v>41</v>
      </c>
      <c r="L157" s="137" t="s">
        <v>42</v>
      </c>
      <c r="M157" s="124" t="s">
        <v>43</v>
      </c>
      <c r="N157" s="166">
        <v>44866</v>
      </c>
      <c r="O157" s="124" t="s">
        <v>44</v>
      </c>
      <c r="P157" s="137" t="s">
        <v>2347</v>
      </c>
      <c r="Q157" s="137" t="s">
        <v>3676</v>
      </c>
      <c r="R157" s="124" t="s">
        <v>3378</v>
      </c>
      <c r="S157" s="137">
        <v>28185</v>
      </c>
      <c r="T157" s="125">
        <v>101581654530</v>
      </c>
      <c r="U157" s="126" t="s">
        <v>3380</v>
      </c>
      <c r="V157" s="126" t="s">
        <v>3379</v>
      </c>
      <c r="W157" s="126" t="s">
        <v>3381</v>
      </c>
      <c r="X157" s="126" t="s">
        <v>3382</v>
      </c>
      <c r="Y157" s="167" t="s">
        <v>132</v>
      </c>
      <c r="Z157" s="126" t="s">
        <v>3383</v>
      </c>
      <c r="AA157" s="167" t="s">
        <v>3384</v>
      </c>
      <c r="AB157" s="167" t="s">
        <v>3384</v>
      </c>
      <c r="AC157" s="164" t="s">
        <v>3373</v>
      </c>
      <c r="AD157" s="140"/>
      <c r="AE157" s="126"/>
      <c r="AF157" s="126"/>
      <c r="AG157" s="168" t="s">
        <v>5269</v>
      </c>
      <c r="AH157" s="126"/>
      <c r="AI157" s="126"/>
      <c r="AJ157" s="136">
        <v>35843</v>
      </c>
      <c r="AK157" s="138"/>
      <c r="AL157" s="139"/>
      <c r="AM157" s="139"/>
    </row>
    <row r="158" spans="1:39" s="5" customFormat="1" ht="39.950000000000003" customHeight="1">
      <c r="A158" s="137">
        <f>SUBTOTAL(3,$B$3:B158)</f>
        <v>156</v>
      </c>
      <c r="B158" s="164" t="s">
        <v>3385</v>
      </c>
      <c r="C158" s="165" t="s">
        <v>3386</v>
      </c>
      <c r="D158" s="124" t="s">
        <v>3386</v>
      </c>
      <c r="E158" s="124" t="s">
        <v>3387</v>
      </c>
      <c r="F158" s="124" t="s">
        <v>971</v>
      </c>
      <c r="G158" s="137" t="s">
        <v>2345</v>
      </c>
      <c r="H158" s="124" t="s">
        <v>3388</v>
      </c>
      <c r="I158" s="137" t="s">
        <v>40</v>
      </c>
      <c r="J158" s="166">
        <v>36908</v>
      </c>
      <c r="K158" s="124" t="s">
        <v>41</v>
      </c>
      <c r="L158" s="137" t="s">
        <v>42</v>
      </c>
      <c r="M158" s="124" t="s">
        <v>43</v>
      </c>
      <c r="N158" s="166">
        <v>44866</v>
      </c>
      <c r="O158" s="124" t="s">
        <v>44</v>
      </c>
      <c r="P158" s="137" t="s">
        <v>2347</v>
      </c>
      <c r="Q158" s="137" t="s">
        <v>3676</v>
      </c>
      <c r="R158" s="124">
        <v>6356015486</v>
      </c>
      <c r="S158" s="137">
        <v>28079</v>
      </c>
      <c r="T158" s="125">
        <v>101810409436</v>
      </c>
      <c r="U158" s="126" t="s">
        <v>3390</v>
      </c>
      <c r="V158" s="126" t="s">
        <v>3389</v>
      </c>
      <c r="W158" s="126" t="s">
        <v>3391</v>
      </c>
      <c r="X158" s="126" t="s">
        <v>3392</v>
      </c>
      <c r="Y158" s="167" t="s">
        <v>51</v>
      </c>
      <c r="Z158" s="126" t="s">
        <v>50</v>
      </c>
      <c r="AA158" s="167" t="s">
        <v>3393</v>
      </c>
      <c r="AB158" s="167" t="s">
        <v>3393</v>
      </c>
      <c r="AC158" s="164" t="s">
        <v>3385</v>
      </c>
      <c r="AD158" s="140"/>
      <c r="AE158" s="126"/>
      <c r="AF158" s="126"/>
      <c r="AG158" s="168" t="s">
        <v>5330</v>
      </c>
      <c r="AH158" s="126"/>
      <c r="AI158" s="126"/>
      <c r="AJ158" s="136">
        <v>36908</v>
      </c>
      <c r="AK158" s="138"/>
      <c r="AL158" s="139"/>
      <c r="AM158" s="139"/>
    </row>
    <row r="159" spans="1:39" s="5" customFormat="1" ht="39.950000000000003" customHeight="1">
      <c r="A159" s="137">
        <f>SUBTOTAL(3,$B$3:B159)</f>
        <v>157</v>
      </c>
      <c r="B159" s="164" t="s">
        <v>3394</v>
      </c>
      <c r="C159" s="165" t="s">
        <v>3395</v>
      </c>
      <c r="D159" s="124" t="s">
        <v>3395</v>
      </c>
      <c r="E159" s="124" t="s">
        <v>330</v>
      </c>
      <c r="F159" s="124" t="s">
        <v>3396</v>
      </c>
      <c r="G159" s="137" t="s">
        <v>2389</v>
      </c>
      <c r="H159" s="124" t="s">
        <v>3397</v>
      </c>
      <c r="I159" s="137" t="s">
        <v>40</v>
      </c>
      <c r="J159" s="166">
        <v>37002</v>
      </c>
      <c r="K159" s="124" t="s">
        <v>41</v>
      </c>
      <c r="L159" s="137" t="s">
        <v>42</v>
      </c>
      <c r="M159" s="124" t="s">
        <v>43</v>
      </c>
      <c r="N159" s="166">
        <v>44866</v>
      </c>
      <c r="O159" s="124" t="s">
        <v>44</v>
      </c>
      <c r="P159" s="137" t="s">
        <v>2347</v>
      </c>
      <c r="Q159" s="137" t="s">
        <v>3676</v>
      </c>
      <c r="R159" s="124">
        <v>9824250192</v>
      </c>
      <c r="S159" s="137">
        <v>28314</v>
      </c>
      <c r="T159" s="125">
        <v>101810409462</v>
      </c>
      <c r="U159" s="126" t="s">
        <v>3399</v>
      </c>
      <c r="V159" s="126" t="s">
        <v>3398</v>
      </c>
      <c r="W159" s="126" t="s">
        <v>3400</v>
      </c>
      <c r="X159" s="126" t="s">
        <v>3401</v>
      </c>
      <c r="Y159" s="167" t="s">
        <v>552</v>
      </c>
      <c r="Z159" s="126" t="s">
        <v>551</v>
      </c>
      <c r="AA159" s="167" t="s">
        <v>3402</v>
      </c>
      <c r="AB159" s="167" t="s">
        <v>3402</v>
      </c>
      <c r="AC159" s="164" t="s">
        <v>3394</v>
      </c>
      <c r="AD159" s="140"/>
      <c r="AE159" s="126"/>
      <c r="AF159" s="126"/>
      <c r="AG159" s="168" t="s">
        <v>5431</v>
      </c>
      <c r="AH159" s="126"/>
      <c r="AI159" s="126"/>
      <c r="AJ159" s="136">
        <v>37002</v>
      </c>
      <c r="AK159" s="138"/>
      <c r="AL159" s="139"/>
      <c r="AM159" s="139"/>
    </row>
    <row r="160" spans="1:39" s="5" customFormat="1" ht="39.950000000000003" customHeight="1">
      <c r="A160" s="137">
        <f>SUBTOTAL(3,$B$3:B160)</f>
        <v>158</v>
      </c>
      <c r="B160" s="164" t="s">
        <v>3403</v>
      </c>
      <c r="C160" s="165" t="s">
        <v>3404</v>
      </c>
      <c r="D160" s="124" t="s">
        <v>3404</v>
      </c>
      <c r="E160" s="124" t="s">
        <v>754</v>
      </c>
      <c r="F160" s="124" t="s">
        <v>3405</v>
      </c>
      <c r="G160" s="137" t="s">
        <v>2389</v>
      </c>
      <c r="H160" s="124" t="s">
        <v>3406</v>
      </c>
      <c r="I160" s="137" t="s">
        <v>40</v>
      </c>
      <c r="J160" s="166">
        <v>36797</v>
      </c>
      <c r="K160" s="124" t="s">
        <v>41</v>
      </c>
      <c r="L160" s="137" t="s">
        <v>42</v>
      </c>
      <c r="M160" s="124" t="s">
        <v>43</v>
      </c>
      <c r="N160" s="166">
        <v>44866</v>
      </c>
      <c r="O160" s="124" t="s">
        <v>44</v>
      </c>
      <c r="P160" s="137" t="s">
        <v>2347</v>
      </c>
      <c r="Q160" s="137" t="s">
        <v>3676</v>
      </c>
      <c r="R160" s="124" t="s">
        <v>3407</v>
      </c>
      <c r="S160" s="137">
        <v>28157</v>
      </c>
      <c r="T160" s="125">
        <v>101824709786</v>
      </c>
      <c r="U160" s="126" t="s">
        <v>3409</v>
      </c>
      <c r="V160" s="126" t="s">
        <v>3408</v>
      </c>
      <c r="W160" s="126" t="s">
        <v>3410</v>
      </c>
      <c r="X160" s="126" t="s">
        <v>3411</v>
      </c>
      <c r="Y160" s="167" t="s">
        <v>146</v>
      </c>
      <c r="Z160" s="126" t="s">
        <v>3412</v>
      </c>
      <c r="AA160" s="167" t="s">
        <v>3413</v>
      </c>
      <c r="AB160" s="167" t="s">
        <v>3414</v>
      </c>
      <c r="AC160" s="164" t="s">
        <v>3403</v>
      </c>
      <c r="AD160" s="140"/>
      <c r="AE160" s="126"/>
      <c r="AF160" s="126"/>
      <c r="AG160" s="168" t="s">
        <v>5288</v>
      </c>
      <c r="AH160" s="126"/>
      <c r="AI160" s="126"/>
      <c r="AJ160" s="136">
        <v>36797</v>
      </c>
      <c r="AK160" s="138"/>
      <c r="AL160" s="139"/>
      <c r="AM160" s="139"/>
    </row>
    <row r="161" spans="1:39" s="5" customFormat="1" ht="39.950000000000003" customHeight="1">
      <c r="A161" s="137">
        <f>SUBTOTAL(3,$B$3:B161)</f>
        <v>159</v>
      </c>
      <c r="B161" s="164" t="s">
        <v>3415</v>
      </c>
      <c r="C161" s="165" t="s">
        <v>3756</v>
      </c>
      <c r="D161" s="124" t="s">
        <v>3756</v>
      </c>
      <c r="E161" s="124" t="s">
        <v>3416</v>
      </c>
      <c r="F161" s="124" t="s">
        <v>3757</v>
      </c>
      <c r="G161" s="137" t="s">
        <v>2345</v>
      </c>
      <c r="H161" s="124" t="s">
        <v>3417</v>
      </c>
      <c r="I161" s="137" t="s">
        <v>40</v>
      </c>
      <c r="J161" s="166">
        <v>36438</v>
      </c>
      <c r="K161" s="124" t="s">
        <v>41</v>
      </c>
      <c r="L161" s="137" t="s">
        <v>42</v>
      </c>
      <c r="M161" s="124" t="s">
        <v>43</v>
      </c>
      <c r="N161" s="166">
        <v>44886</v>
      </c>
      <c r="O161" s="124" t="s">
        <v>44</v>
      </c>
      <c r="P161" s="137" t="s">
        <v>2347</v>
      </c>
      <c r="Q161" s="137" t="s">
        <v>3676</v>
      </c>
      <c r="R161" s="124" t="s">
        <v>3418</v>
      </c>
      <c r="S161" s="137">
        <v>27935</v>
      </c>
      <c r="T161" s="125">
        <v>101892061680</v>
      </c>
      <c r="U161" s="126" t="s">
        <v>3420</v>
      </c>
      <c r="V161" s="126" t="s">
        <v>3419</v>
      </c>
      <c r="W161" s="126" t="s">
        <v>3421</v>
      </c>
      <c r="X161" s="126" t="s">
        <v>3422</v>
      </c>
      <c r="Y161" s="167" t="s">
        <v>65</v>
      </c>
      <c r="Z161" s="126" t="s">
        <v>2874</v>
      </c>
      <c r="AA161" s="167" t="s">
        <v>3423</v>
      </c>
      <c r="AB161" s="167" t="s">
        <v>3423</v>
      </c>
      <c r="AC161" s="164" t="s">
        <v>3415</v>
      </c>
      <c r="AD161" s="140"/>
      <c r="AE161" s="126"/>
      <c r="AF161" s="126"/>
      <c r="AG161" s="168" t="s">
        <v>5360</v>
      </c>
      <c r="AH161" s="126"/>
      <c r="AI161" s="126"/>
      <c r="AJ161" s="136">
        <v>36438</v>
      </c>
      <c r="AK161" s="138"/>
      <c r="AL161" s="139"/>
      <c r="AM161" s="139"/>
    </row>
    <row r="162" spans="1:39" s="5" customFormat="1" ht="39.950000000000003" customHeight="1">
      <c r="A162" s="137">
        <f>SUBTOTAL(3,$B$3:B162)</f>
        <v>160</v>
      </c>
      <c r="B162" s="164" t="s">
        <v>3424</v>
      </c>
      <c r="C162" s="165" t="s">
        <v>3425</v>
      </c>
      <c r="D162" s="124" t="s">
        <v>3425</v>
      </c>
      <c r="E162" s="124" t="s">
        <v>3426</v>
      </c>
      <c r="F162" s="124" t="s">
        <v>3427</v>
      </c>
      <c r="G162" s="137" t="s">
        <v>2389</v>
      </c>
      <c r="H162" s="124" t="s">
        <v>2904</v>
      </c>
      <c r="I162" s="137" t="s">
        <v>40</v>
      </c>
      <c r="J162" s="166">
        <v>36056</v>
      </c>
      <c r="K162" s="124" t="s">
        <v>41</v>
      </c>
      <c r="L162" s="137" t="s">
        <v>42</v>
      </c>
      <c r="M162" s="124" t="s">
        <v>43</v>
      </c>
      <c r="N162" s="166">
        <v>44866</v>
      </c>
      <c r="O162" s="124" t="s">
        <v>44</v>
      </c>
      <c r="P162" s="137" t="s">
        <v>2347</v>
      </c>
      <c r="Q162" s="137" t="s">
        <v>3676</v>
      </c>
      <c r="R162" s="124" t="s">
        <v>3428</v>
      </c>
      <c r="S162" s="137">
        <v>28160</v>
      </c>
      <c r="T162" s="125">
        <v>101810408803</v>
      </c>
      <c r="U162" s="126" t="s">
        <v>3430</v>
      </c>
      <c r="V162" s="126" t="s">
        <v>3429</v>
      </c>
      <c r="W162" s="126" t="s">
        <v>3431</v>
      </c>
      <c r="X162" s="126" t="s">
        <v>3432</v>
      </c>
      <c r="Y162" s="167" t="s">
        <v>552</v>
      </c>
      <c r="Z162" s="126" t="s">
        <v>551</v>
      </c>
      <c r="AA162" s="167" t="s">
        <v>3413</v>
      </c>
      <c r="AB162" s="167" t="s">
        <v>3433</v>
      </c>
      <c r="AC162" s="164" t="s">
        <v>3424</v>
      </c>
      <c r="AD162" s="140"/>
      <c r="AE162" s="126"/>
      <c r="AF162" s="126"/>
      <c r="AG162" s="168" t="s">
        <v>5323</v>
      </c>
      <c r="AH162" s="126"/>
      <c r="AI162" s="126"/>
      <c r="AJ162" s="136">
        <v>36056</v>
      </c>
      <c r="AK162" s="138"/>
      <c r="AL162" s="139"/>
      <c r="AM162" s="139"/>
    </row>
    <row r="163" spans="1:39" s="5" customFormat="1" ht="39.950000000000003" customHeight="1">
      <c r="A163" s="137">
        <f>SUBTOTAL(3,$B$3:B163)</f>
        <v>161</v>
      </c>
      <c r="B163" s="169" t="s">
        <v>3434</v>
      </c>
      <c r="C163" s="124" t="s">
        <v>3435</v>
      </c>
      <c r="D163" s="124" t="s">
        <v>3435</v>
      </c>
      <c r="E163" s="124" t="s">
        <v>212</v>
      </c>
      <c r="F163" s="124" t="s">
        <v>3436</v>
      </c>
      <c r="G163" s="137" t="s">
        <v>2345</v>
      </c>
      <c r="H163" s="124" t="s">
        <v>768</v>
      </c>
      <c r="I163" s="137" t="s">
        <v>40</v>
      </c>
      <c r="J163" s="166">
        <v>36716</v>
      </c>
      <c r="K163" s="124" t="s">
        <v>41</v>
      </c>
      <c r="L163" s="137" t="s">
        <v>42</v>
      </c>
      <c r="M163" s="124" t="s">
        <v>43</v>
      </c>
      <c r="N163" s="166">
        <v>44893</v>
      </c>
      <c r="O163" s="124" t="s">
        <v>44</v>
      </c>
      <c r="P163" s="137" t="s">
        <v>2347</v>
      </c>
      <c r="Q163" s="137" t="s">
        <v>3676</v>
      </c>
      <c r="R163" s="124" t="s">
        <v>3437</v>
      </c>
      <c r="S163" s="137">
        <v>27929</v>
      </c>
      <c r="T163" s="125">
        <v>101891963341</v>
      </c>
      <c r="U163" s="126" t="s">
        <v>3439</v>
      </c>
      <c r="V163" s="126" t="s">
        <v>3438</v>
      </c>
      <c r="W163" s="126" t="s">
        <v>3440</v>
      </c>
      <c r="X163" s="126" t="s">
        <v>3441</v>
      </c>
      <c r="Y163" s="167" t="s">
        <v>619</v>
      </c>
      <c r="Z163" s="126" t="s">
        <v>3442</v>
      </c>
      <c r="AA163" s="167" t="s">
        <v>3443</v>
      </c>
      <c r="AB163" s="167" t="s">
        <v>3443</v>
      </c>
      <c r="AC163" s="164" t="s">
        <v>3434</v>
      </c>
      <c r="AD163" s="140"/>
      <c r="AE163" s="126"/>
      <c r="AF163" s="126"/>
      <c r="AG163" s="168" t="s">
        <v>5301</v>
      </c>
      <c r="AH163" s="126"/>
      <c r="AI163" s="126"/>
      <c r="AJ163" s="136">
        <v>36716</v>
      </c>
      <c r="AK163" s="138"/>
      <c r="AL163" s="139"/>
      <c r="AM163" s="139"/>
    </row>
    <row r="164" spans="1:39" s="5" customFormat="1" ht="39.950000000000003" customHeight="1">
      <c r="A164" s="137">
        <f>SUBTOTAL(3,$B$3:B164)</f>
        <v>162</v>
      </c>
      <c r="B164" s="164" t="s">
        <v>3444</v>
      </c>
      <c r="C164" s="165" t="s">
        <v>3445</v>
      </c>
      <c r="D164" s="124" t="s">
        <v>3445</v>
      </c>
      <c r="E164" s="124" t="s">
        <v>110</v>
      </c>
      <c r="F164" s="124" t="s">
        <v>3446</v>
      </c>
      <c r="G164" s="137" t="s">
        <v>2345</v>
      </c>
      <c r="H164" s="124" t="s">
        <v>3447</v>
      </c>
      <c r="I164" s="137" t="s">
        <v>702</v>
      </c>
      <c r="J164" s="166">
        <v>35342</v>
      </c>
      <c r="K164" s="124" t="s">
        <v>280</v>
      </c>
      <c r="L164" s="137" t="s">
        <v>42</v>
      </c>
      <c r="M164" s="124" t="s">
        <v>43</v>
      </c>
      <c r="N164" s="166">
        <v>44873</v>
      </c>
      <c r="O164" s="124" t="s">
        <v>44</v>
      </c>
      <c r="P164" s="137" t="s">
        <v>2347</v>
      </c>
      <c r="Q164" s="137" t="s">
        <v>3676</v>
      </c>
      <c r="R164" s="124" t="s">
        <v>3448</v>
      </c>
      <c r="S164" s="137">
        <v>27954</v>
      </c>
      <c r="T164" s="125">
        <v>101329660872</v>
      </c>
      <c r="U164" s="126" t="s">
        <v>3450</v>
      </c>
      <c r="V164" s="126" t="s">
        <v>3449</v>
      </c>
      <c r="W164" s="126" t="s">
        <v>3451</v>
      </c>
      <c r="X164" s="126" t="s">
        <v>3452</v>
      </c>
      <c r="Y164" s="167" t="s">
        <v>65</v>
      </c>
      <c r="Z164" s="126" t="s">
        <v>3453</v>
      </c>
      <c r="AA164" s="167" t="s">
        <v>3454</v>
      </c>
      <c r="AB164" s="167" t="s">
        <v>3454</v>
      </c>
      <c r="AC164" s="164" t="s">
        <v>3444</v>
      </c>
      <c r="AD164" s="140"/>
      <c r="AE164" s="126"/>
      <c r="AF164" s="126"/>
      <c r="AG164" s="168" t="s">
        <v>5356</v>
      </c>
      <c r="AH164" s="126"/>
      <c r="AI164" s="126"/>
      <c r="AJ164" s="136">
        <v>35342</v>
      </c>
      <c r="AK164" s="138"/>
      <c r="AL164" s="139"/>
      <c r="AM164" s="139"/>
    </row>
    <row r="165" spans="1:39" s="5" customFormat="1" ht="39.950000000000003" customHeight="1">
      <c r="A165" s="137">
        <f>SUBTOTAL(3,$B$3:B165)</f>
        <v>163</v>
      </c>
      <c r="B165" s="164" t="s">
        <v>3455</v>
      </c>
      <c r="C165" s="165" t="s">
        <v>3456</v>
      </c>
      <c r="D165" s="124" t="s">
        <v>3456</v>
      </c>
      <c r="E165" s="124" t="s">
        <v>3457</v>
      </c>
      <c r="F165" s="124" t="s">
        <v>3458</v>
      </c>
      <c r="G165" s="137" t="s">
        <v>2389</v>
      </c>
      <c r="H165" s="124" t="s">
        <v>3459</v>
      </c>
      <c r="I165" s="137" t="s">
        <v>40</v>
      </c>
      <c r="J165" s="166">
        <v>36887</v>
      </c>
      <c r="K165" s="124" t="s">
        <v>41</v>
      </c>
      <c r="L165" s="137" t="s">
        <v>42</v>
      </c>
      <c r="M165" s="124" t="s">
        <v>43</v>
      </c>
      <c r="N165" s="166">
        <v>44873</v>
      </c>
      <c r="O165" s="124" t="s">
        <v>44</v>
      </c>
      <c r="P165" s="137" t="s">
        <v>2347</v>
      </c>
      <c r="Q165" s="137" t="s">
        <v>3676</v>
      </c>
      <c r="R165" s="124" t="s">
        <v>3460</v>
      </c>
      <c r="S165" s="137">
        <v>27932</v>
      </c>
      <c r="T165" s="125">
        <v>101892027180</v>
      </c>
      <c r="U165" s="126" t="s">
        <v>3462</v>
      </c>
      <c r="V165" s="126" t="s">
        <v>3461</v>
      </c>
      <c r="W165" s="126" t="s">
        <v>3463</v>
      </c>
      <c r="X165" s="126" t="s">
        <v>3464</v>
      </c>
      <c r="Y165" s="167" t="s">
        <v>552</v>
      </c>
      <c r="Z165" s="126" t="s">
        <v>551</v>
      </c>
      <c r="AA165" s="167" t="s">
        <v>3413</v>
      </c>
      <c r="AB165" s="167" t="s">
        <v>3465</v>
      </c>
      <c r="AC165" s="164" t="s">
        <v>3455</v>
      </c>
      <c r="AD165" s="140"/>
      <c r="AE165" s="126"/>
      <c r="AF165" s="126"/>
      <c r="AG165" s="168" t="s">
        <v>5289</v>
      </c>
      <c r="AH165" s="126"/>
      <c r="AI165" s="126"/>
      <c r="AJ165" s="136">
        <v>36887</v>
      </c>
      <c r="AK165" s="138"/>
      <c r="AL165" s="139"/>
      <c r="AM165" s="139"/>
    </row>
    <row r="166" spans="1:39" s="5" customFormat="1" ht="39.950000000000003" customHeight="1">
      <c r="A166" s="137">
        <f>SUBTOTAL(3,$B$3:B166)</f>
        <v>164</v>
      </c>
      <c r="B166" s="164" t="s">
        <v>3466</v>
      </c>
      <c r="C166" s="165" t="s">
        <v>3467</v>
      </c>
      <c r="D166" s="124" t="s">
        <v>3467</v>
      </c>
      <c r="E166" s="124" t="s">
        <v>544</v>
      </c>
      <c r="F166" s="124" t="s">
        <v>3468</v>
      </c>
      <c r="G166" s="137" t="s">
        <v>2389</v>
      </c>
      <c r="H166" s="124" t="s">
        <v>507</v>
      </c>
      <c r="I166" s="137" t="s">
        <v>40</v>
      </c>
      <c r="J166" s="166">
        <v>37111</v>
      </c>
      <c r="K166" s="124" t="s">
        <v>41</v>
      </c>
      <c r="L166" s="137" t="s">
        <v>42</v>
      </c>
      <c r="M166" s="124" t="s">
        <v>43</v>
      </c>
      <c r="N166" s="166">
        <v>44874</v>
      </c>
      <c r="O166" s="124" t="s">
        <v>44</v>
      </c>
      <c r="P166" s="137" t="s">
        <v>2347</v>
      </c>
      <c r="Q166" s="137" t="s">
        <v>3676</v>
      </c>
      <c r="R166" s="124">
        <v>8128395121</v>
      </c>
      <c r="S166" s="137">
        <v>27933</v>
      </c>
      <c r="T166" s="125">
        <v>101872311352</v>
      </c>
      <c r="U166" s="126" t="s">
        <v>3470</v>
      </c>
      <c r="V166" s="126" t="s">
        <v>3469</v>
      </c>
      <c r="W166" s="126" t="s">
        <v>3471</v>
      </c>
      <c r="X166" s="126" t="s">
        <v>3472</v>
      </c>
      <c r="Y166" s="167" t="s">
        <v>487</v>
      </c>
      <c r="Z166" s="126" t="s">
        <v>3473</v>
      </c>
      <c r="AA166" s="167" t="s">
        <v>3474</v>
      </c>
      <c r="AB166" s="167" t="s">
        <v>3474</v>
      </c>
      <c r="AC166" s="164" t="s">
        <v>3466</v>
      </c>
      <c r="AD166" s="140"/>
      <c r="AE166" s="126"/>
      <c r="AF166" s="126"/>
      <c r="AG166" s="168" t="s">
        <v>5319</v>
      </c>
      <c r="AH166" s="126"/>
      <c r="AI166" s="126"/>
      <c r="AJ166" s="136">
        <v>37111</v>
      </c>
      <c r="AK166" s="138"/>
      <c r="AL166" s="139"/>
      <c r="AM166" s="139"/>
    </row>
    <row r="167" spans="1:39" s="5" customFormat="1" ht="39.950000000000003" customHeight="1">
      <c r="A167" s="137">
        <f>SUBTOTAL(3,$B$3:B167)</f>
        <v>165</v>
      </c>
      <c r="B167" s="169" t="s">
        <v>3475</v>
      </c>
      <c r="C167" s="124" t="s">
        <v>3476</v>
      </c>
      <c r="D167" s="124" t="s">
        <v>3476</v>
      </c>
      <c r="E167" s="124" t="s">
        <v>1279</v>
      </c>
      <c r="F167" s="124" t="s">
        <v>3477</v>
      </c>
      <c r="G167" s="137" t="s">
        <v>2389</v>
      </c>
      <c r="H167" s="124" t="s">
        <v>711</v>
      </c>
      <c r="I167" s="137" t="s">
        <v>40</v>
      </c>
      <c r="J167" s="166">
        <v>36869</v>
      </c>
      <c r="K167" s="124" t="s">
        <v>41</v>
      </c>
      <c r="L167" s="137" t="s">
        <v>42</v>
      </c>
      <c r="M167" s="124" t="s">
        <v>43</v>
      </c>
      <c r="N167" s="166">
        <v>44866</v>
      </c>
      <c r="O167" s="124" t="s">
        <v>44</v>
      </c>
      <c r="P167" s="137" t="s">
        <v>2347</v>
      </c>
      <c r="Q167" s="137" t="s">
        <v>3676</v>
      </c>
      <c r="R167" s="124">
        <v>6354142235</v>
      </c>
      <c r="S167" s="137">
        <v>28161</v>
      </c>
      <c r="T167" s="125">
        <v>101834064141</v>
      </c>
      <c r="U167" s="126" t="s">
        <v>3479</v>
      </c>
      <c r="V167" s="126" t="s">
        <v>3478</v>
      </c>
      <c r="W167" s="126" t="s">
        <v>3480</v>
      </c>
      <c r="X167" s="126" t="s">
        <v>3481</v>
      </c>
      <c r="Y167" s="167" t="s">
        <v>65</v>
      </c>
      <c r="Z167" s="126" t="s">
        <v>3482</v>
      </c>
      <c r="AA167" s="167" t="s">
        <v>3483</v>
      </c>
      <c r="AB167" s="167" t="s">
        <v>3484</v>
      </c>
      <c r="AC167" s="164" t="s">
        <v>3475</v>
      </c>
      <c r="AD167" s="140"/>
      <c r="AE167" s="126"/>
      <c r="AF167" s="126"/>
      <c r="AG167" s="168" t="s">
        <v>5325</v>
      </c>
      <c r="AH167" s="126"/>
      <c r="AI167" s="126"/>
      <c r="AJ167" s="136">
        <v>36869</v>
      </c>
      <c r="AK167" s="138"/>
      <c r="AL167" s="139"/>
      <c r="AM167" s="139"/>
    </row>
    <row r="168" spans="1:39" s="5" customFormat="1" ht="39.950000000000003" customHeight="1">
      <c r="A168" s="137">
        <f>SUBTOTAL(3,$B$3:B168)</f>
        <v>166</v>
      </c>
      <c r="B168" s="164" t="s">
        <v>3485</v>
      </c>
      <c r="C168" s="165" t="s">
        <v>3486</v>
      </c>
      <c r="D168" s="124" t="s">
        <v>3486</v>
      </c>
      <c r="E168" s="124" t="s">
        <v>3336</v>
      </c>
      <c r="F168" s="124" t="s">
        <v>3487</v>
      </c>
      <c r="G168" s="137" t="s">
        <v>2345</v>
      </c>
      <c r="H168" s="124" t="s">
        <v>938</v>
      </c>
      <c r="I168" s="137" t="s">
        <v>40</v>
      </c>
      <c r="J168" s="166">
        <v>36071</v>
      </c>
      <c r="K168" s="124" t="s">
        <v>41</v>
      </c>
      <c r="L168" s="137" t="s">
        <v>42</v>
      </c>
      <c r="M168" s="124" t="s">
        <v>43</v>
      </c>
      <c r="N168" s="166">
        <v>44866</v>
      </c>
      <c r="O168" s="124" t="s">
        <v>44</v>
      </c>
      <c r="P168" s="137" t="s">
        <v>2347</v>
      </c>
      <c r="Q168" s="137" t="s">
        <v>3676</v>
      </c>
      <c r="R168" s="124" t="s">
        <v>3488</v>
      </c>
      <c r="S168" s="137">
        <v>28087</v>
      </c>
      <c r="T168" s="125">
        <v>101581654576</v>
      </c>
      <c r="U168" s="126" t="s">
        <v>3490</v>
      </c>
      <c r="V168" s="126" t="s">
        <v>3489</v>
      </c>
      <c r="W168" s="126" t="s">
        <v>3491</v>
      </c>
      <c r="X168" s="126" t="s">
        <v>3492</v>
      </c>
      <c r="Y168" s="167" t="s">
        <v>619</v>
      </c>
      <c r="Z168" s="126" t="s">
        <v>3493</v>
      </c>
      <c r="AA168" s="167" t="s">
        <v>3342</v>
      </c>
      <c r="AB168" s="167" t="s">
        <v>3342</v>
      </c>
      <c r="AC168" s="164" t="s">
        <v>3485</v>
      </c>
      <c r="AD168" s="140"/>
      <c r="AE168" s="126"/>
      <c r="AF168" s="126"/>
      <c r="AG168" s="168" t="s">
        <v>5315</v>
      </c>
      <c r="AH168" s="126"/>
      <c r="AI168" s="126"/>
      <c r="AJ168" s="136">
        <v>36071</v>
      </c>
      <c r="AK168" s="138"/>
      <c r="AL168" s="139"/>
      <c r="AM168" s="139"/>
    </row>
    <row r="169" spans="1:39" s="5" customFormat="1" ht="39.950000000000003" customHeight="1">
      <c r="A169" s="137">
        <f>SUBTOTAL(3,$B$3:B169)</f>
        <v>167</v>
      </c>
      <c r="B169" s="164" t="s">
        <v>3494</v>
      </c>
      <c r="C169" s="165" t="s">
        <v>3495</v>
      </c>
      <c r="D169" s="124" t="s">
        <v>3495</v>
      </c>
      <c r="E169" s="124" t="s">
        <v>70</v>
      </c>
      <c r="F169" s="124" t="s">
        <v>3496</v>
      </c>
      <c r="G169" s="137" t="s">
        <v>2345</v>
      </c>
      <c r="H169" s="124" t="s">
        <v>3497</v>
      </c>
      <c r="I169" s="137" t="s">
        <v>40</v>
      </c>
      <c r="J169" s="166">
        <v>36241</v>
      </c>
      <c r="K169" s="124" t="s">
        <v>41</v>
      </c>
      <c r="L169" s="137" t="s">
        <v>42</v>
      </c>
      <c r="M169" s="124" t="s">
        <v>43</v>
      </c>
      <c r="N169" s="166">
        <v>44866</v>
      </c>
      <c r="O169" s="124" t="s">
        <v>44</v>
      </c>
      <c r="P169" s="137" t="s">
        <v>2347</v>
      </c>
      <c r="Q169" s="137" t="s">
        <v>3676</v>
      </c>
      <c r="R169" s="124" t="s">
        <v>3498</v>
      </c>
      <c r="S169" s="137">
        <v>28104</v>
      </c>
      <c r="T169" s="125">
        <v>101814618428</v>
      </c>
      <c r="U169" s="126" t="s">
        <v>3500</v>
      </c>
      <c r="V169" s="126" t="s">
        <v>3499</v>
      </c>
      <c r="W169" s="126" t="s">
        <v>3501</v>
      </c>
      <c r="X169" s="126" t="s">
        <v>3502</v>
      </c>
      <c r="Y169" s="167" t="s">
        <v>146</v>
      </c>
      <c r="Z169" s="126" t="s">
        <v>2352</v>
      </c>
      <c r="AA169" s="167" t="s">
        <v>3503</v>
      </c>
      <c r="AB169" s="167" t="s">
        <v>3503</v>
      </c>
      <c r="AC169" s="164" t="s">
        <v>3494</v>
      </c>
      <c r="AD169" s="140"/>
      <c r="AE169" s="126"/>
      <c r="AF169" s="126"/>
      <c r="AG169" s="168" t="s">
        <v>5280</v>
      </c>
      <c r="AH169" s="126"/>
      <c r="AI169" s="126"/>
      <c r="AJ169" s="136">
        <v>36241</v>
      </c>
      <c r="AK169" s="138"/>
      <c r="AL169" s="139"/>
      <c r="AM169" s="139"/>
    </row>
    <row r="170" spans="1:39" s="5" customFormat="1" ht="39.950000000000003" customHeight="1">
      <c r="A170" s="137">
        <f>SUBTOTAL(3,$B$3:B170)</f>
        <v>168</v>
      </c>
      <c r="B170" s="164" t="s">
        <v>3504</v>
      </c>
      <c r="C170" s="165" t="s">
        <v>3505</v>
      </c>
      <c r="D170" s="124" t="s">
        <v>3505</v>
      </c>
      <c r="E170" s="124" t="s">
        <v>122</v>
      </c>
      <c r="F170" s="124" t="s">
        <v>1065</v>
      </c>
      <c r="G170" s="137" t="s">
        <v>2345</v>
      </c>
      <c r="H170" s="124" t="s">
        <v>3506</v>
      </c>
      <c r="I170" s="137" t="s">
        <v>40</v>
      </c>
      <c r="J170" s="166">
        <v>35776</v>
      </c>
      <c r="K170" s="124" t="s">
        <v>41</v>
      </c>
      <c r="L170" s="137" t="s">
        <v>42</v>
      </c>
      <c r="M170" s="124" t="s">
        <v>43</v>
      </c>
      <c r="N170" s="166">
        <v>44866</v>
      </c>
      <c r="O170" s="124" t="s">
        <v>44</v>
      </c>
      <c r="P170" s="137" t="s">
        <v>2347</v>
      </c>
      <c r="Q170" s="137" t="s">
        <v>3676</v>
      </c>
      <c r="R170" s="124">
        <v>8849589161</v>
      </c>
      <c r="S170" s="137">
        <v>28103</v>
      </c>
      <c r="T170" s="125">
        <v>101568139347</v>
      </c>
      <c r="U170" s="126" t="s">
        <v>3508</v>
      </c>
      <c r="V170" s="126" t="s">
        <v>3507</v>
      </c>
      <c r="W170" s="126" t="s">
        <v>3509</v>
      </c>
      <c r="X170" s="126" t="s">
        <v>3510</v>
      </c>
      <c r="Y170" s="167" t="s">
        <v>65</v>
      </c>
      <c r="Z170" s="126" t="s">
        <v>943</v>
      </c>
      <c r="AA170" s="167" t="s">
        <v>3511</v>
      </c>
      <c r="AB170" s="167" t="s">
        <v>3511</v>
      </c>
      <c r="AC170" s="164" t="s">
        <v>3504</v>
      </c>
      <c r="AD170" s="140"/>
      <c r="AE170" s="126"/>
      <c r="AF170" s="126"/>
      <c r="AG170" s="168" t="s">
        <v>5362</v>
      </c>
      <c r="AH170" s="126"/>
      <c r="AI170" s="126"/>
      <c r="AJ170" s="136">
        <v>35776</v>
      </c>
      <c r="AK170" s="138"/>
      <c r="AL170" s="139"/>
      <c r="AM170" s="139"/>
    </row>
    <row r="171" spans="1:39" s="5" customFormat="1" ht="39.950000000000003" customHeight="1">
      <c r="A171" s="137">
        <f>SUBTOTAL(3,$B$3:B171)</f>
        <v>169</v>
      </c>
      <c r="B171" s="164" t="s">
        <v>3512</v>
      </c>
      <c r="C171" s="165" t="s">
        <v>3513</v>
      </c>
      <c r="D171" s="124" t="s">
        <v>3513</v>
      </c>
      <c r="E171" s="124" t="s">
        <v>3514</v>
      </c>
      <c r="F171" s="124" t="s">
        <v>2891</v>
      </c>
      <c r="G171" s="137" t="s">
        <v>2389</v>
      </c>
      <c r="H171" s="124" t="s">
        <v>3515</v>
      </c>
      <c r="I171" s="137" t="s">
        <v>40</v>
      </c>
      <c r="J171" s="166">
        <v>37055</v>
      </c>
      <c r="K171" s="124" t="s">
        <v>41</v>
      </c>
      <c r="L171" s="137" t="s">
        <v>42</v>
      </c>
      <c r="M171" s="124" t="s">
        <v>43</v>
      </c>
      <c r="N171" s="166">
        <v>44866</v>
      </c>
      <c r="O171" s="124" t="s">
        <v>44</v>
      </c>
      <c r="P171" s="137" t="s">
        <v>2347</v>
      </c>
      <c r="Q171" s="137" t="s">
        <v>3676</v>
      </c>
      <c r="R171" s="124" t="s">
        <v>3516</v>
      </c>
      <c r="S171" s="137">
        <v>28215</v>
      </c>
      <c r="T171" s="125">
        <v>101866511600</v>
      </c>
      <c r="U171" s="126" t="s">
        <v>3518</v>
      </c>
      <c r="V171" s="126" t="s">
        <v>3517</v>
      </c>
      <c r="W171" s="126" t="s">
        <v>3519</v>
      </c>
      <c r="X171" s="126" t="s">
        <v>3520</v>
      </c>
      <c r="Y171" s="167" t="s">
        <v>1289</v>
      </c>
      <c r="Z171" s="126" t="s">
        <v>3351</v>
      </c>
      <c r="AA171" s="167" t="s">
        <v>3521</v>
      </c>
      <c r="AB171" s="167" t="s">
        <v>3522</v>
      </c>
      <c r="AC171" s="164" t="s">
        <v>3512</v>
      </c>
      <c r="AD171" s="140"/>
      <c r="AE171" s="126"/>
      <c r="AF171" s="126"/>
      <c r="AG171" s="168" t="s">
        <v>5334</v>
      </c>
      <c r="AH171" s="126"/>
      <c r="AI171" s="126"/>
      <c r="AJ171" s="136">
        <v>37055</v>
      </c>
      <c r="AK171" s="138"/>
      <c r="AL171" s="139"/>
      <c r="AM171" s="139"/>
    </row>
    <row r="172" spans="1:39" s="5" customFormat="1" ht="39.950000000000003" customHeight="1">
      <c r="A172" s="137">
        <f>SUBTOTAL(3,$B$3:B172)</f>
        <v>170</v>
      </c>
      <c r="B172" s="169" t="s">
        <v>3523</v>
      </c>
      <c r="C172" s="124" t="s">
        <v>3524</v>
      </c>
      <c r="D172" s="124" t="s">
        <v>3524</v>
      </c>
      <c r="E172" s="124" t="s">
        <v>3525</v>
      </c>
      <c r="F172" s="124" t="s">
        <v>3526</v>
      </c>
      <c r="G172" s="137" t="s">
        <v>2345</v>
      </c>
      <c r="H172" s="124" t="s">
        <v>2632</v>
      </c>
      <c r="I172" s="137" t="s">
        <v>40</v>
      </c>
      <c r="J172" s="166">
        <v>35857</v>
      </c>
      <c r="K172" s="124" t="s">
        <v>41</v>
      </c>
      <c r="L172" s="137" t="s">
        <v>42</v>
      </c>
      <c r="M172" s="124" t="s">
        <v>43</v>
      </c>
      <c r="N172" s="166">
        <v>44866</v>
      </c>
      <c r="O172" s="124" t="s">
        <v>44</v>
      </c>
      <c r="P172" s="137" t="s">
        <v>2347</v>
      </c>
      <c r="Q172" s="137" t="s">
        <v>3676</v>
      </c>
      <c r="R172" s="124">
        <v>7487017410</v>
      </c>
      <c r="S172" s="137">
        <v>28088</v>
      </c>
      <c r="T172" s="125">
        <v>101544641186</v>
      </c>
      <c r="U172" s="126" t="s">
        <v>3528</v>
      </c>
      <c r="V172" s="126" t="s">
        <v>3527</v>
      </c>
      <c r="W172" s="126" t="s">
        <v>3529</v>
      </c>
      <c r="X172" s="126" t="s">
        <v>3530</v>
      </c>
      <c r="Y172" s="167" t="s">
        <v>3532</v>
      </c>
      <c r="Z172" s="126" t="s">
        <v>3531</v>
      </c>
      <c r="AA172" s="167" t="s">
        <v>3533</v>
      </c>
      <c r="AB172" s="167" t="s">
        <v>3533</v>
      </c>
      <c r="AC172" s="164" t="s">
        <v>3523</v>
      </c>
      <c r="AD172" s="140"/>
      <c r="AE172" s="126"/>
      <c r="AF172" s="126"/>
      <c r="AG172" s="168" t="s">
        <v>5371</v>
      </c>
      <c r="AH172" s="126"/>
      <c r="AI172" s="126"/>
      <c r="AJ172" s="136">
        <v>35857</v>
      </c>
      <c r="AK172" s="138"/>
      <c r="AL172" s="139"/>
      <c r="AM172" s="139"/>
    </row>
    <row r="173" spans="1:39" s="5" customFormat="1" ht="39.950000000000003" customHeight="1">
      <c r="A173" s="137">
        <f>SUBTOTAL(3,$B$3:B173)</f>
        <v>171</v>
      </c>
      <c r="B173" s="164" t="s">
        <v>3534</v>
      </c>
      <c r="C173" s="165" t="s">
        <v>3535</v>
      </c>
      <c r="D173" s="124" t="s">
        <v>3535</v>
      </c>
      <c r="E173" s="124" t="s">
        <v>2720</v>
      </c>
      <c r="F173" s="124" t="s">
        <v>3536</v>
      </c>
      <c r="G173" s="137" t="s">
        <v>2345</v>
      </c>
      <c r="H173" s="124" t="s">
        <v>3537</v>
      </c>
      <c r="I173" s="137" t="s">
        <v>40</v>
      </c>
      <c r="J173" s="166">
        <v>37019</v>
      </c>
      <c r="K173" s="124" t="s">
        <v>41</v>
      </c>
      <c r="L173" s="137" t="s">
        <v>42</v>
      </c>
      <c r="M173" s="124" t="s">
        <v>43</v>
      </c>
      <c r="N173" s="166">
        <v>44866</v>
      </c>
      <c r="O173" s="124" t="s">
        <v>44</v>
      </c>
      <c r="P173" s="137" t="s">
        <v>2347</v>
      </c>
      <c r="Q173" s="137" t="s">
        <v>3676</v>
      </c>
      <c r="R173" s="124" t="s">
        <v>3538</v>
      </c>
      <c r="S173" s="137">
        <v>28083</v>
      </c>
      <c r="T173" s="125">
        <v>101770453290</v>
      </c>
      <c r="U173" s="176" t="s">
        <v>3540</v>
      </c>
      <c r="V173" s="126" t="s">
        <v>3539</v>
      </c>
      <c r="W173" s="176" t="s">
        <v>3541</v>
      </c>
      <c r="X173" s="126" t="s">
        <v>3542</v>
      </c>
      <c r="Y173" s="167" t="s">
        <v>552</v>
      </c>
      <c r="Z173" s="126" t="s">
        <v>551</v>
      </c>
      <c r="AA173" s="167" t="s">
        <v>3543</v>
      </c>
      <c r="AB173" s="167" t="s">
        <v>3543</v>
      </c>
      <c r="AC173" s="164" t="s">
        <v>3534</v>
      </c>
      <c r="AD173" s="140"/>
      <c r="AE173" s="126"/>
      <c r="AF173" s="126"/>
      <c r="AG173" s="168" t="s">
        <v>5081</v>
      </c>
      <c r="AH173" s="126"/>
      <c r="AI173" s="126"/>
      <c r="AJ173" s="136">
        <v>37019</v>
      </c>
      <c r="AK173" s="138"/>
      <c r="AL173" s="139"/>
      <c r="AM173" s="139"/>
    </row>
    <row r="174" spans="1:39" s="5" customFormat="1" ht="39.950000000000003" customHeight="1">
      <c r="A174" s="137">
        <f>SUBTOTAL(3,$B$3:B174)</f>
        <v>172</v>
      </c>
      <c r="B174" s="169" t="s">
        <v>3544</v>
      </c>
      <c r="C174" s="124" t="s">
        <v>3545</v>
      </c>
      <c r="D174" s="124" t="s">
        <v>3545</v>
      </c>
      <c r="E174" s="124" t="s">
        <v>3313</v>
      </c>
      <c r="F174" s="124" t="s">
        <v>441</v>
      </c>
      <c r="G174" s="137" t="s">
        <v>2345</v>
      </c>
      <c r="H174" s="124" t="s">
        <v>332</v>
      </c>
      <c r="I174" s="137" t="s">
        <v>40</v>
      </c>
      <c r="J174" s="166">
        <v>36682</v>
      </c>
      <c r="K174" s="124" t="s">
        <v>41</v>
      </c>
      <c r="L174" s="137" t="s">
        <v>42</v>
      </c>
      <c r="M174" s="124" t="s">
        <v>43</v>
      </c>
      <c r="N174" s="166">
        <v>44896</v>
      </c>
      <c r="O174" s="124" t="s">
        <v>44</v>
      </c>
      <c r="P174" s="137" t="s">
        <v>2347</v>
      </c>
      <c r="Q174" s="137" t="s">
        <v>3676</v>
      </c>
      <c r="R174" s="124">
        <v>6352405508</v>
      </c>
      <c r="S174" s="137">
        <v>28080</v>
      </c>
      <c r="T174" s="125">
        <v>101732284757</v>
      </c>
      <c r="U174" s="126" t="s">
        <v>3547</v>
      </c>
      <c r="V174" s="126" t="s">
        <v>3546</v>
      </c>
      <c r="W174" s="126" t="s">
        <v>3548</v>
      </c>
      <c r="X174" s="126" t="s">
        <v>3549</v>
      </c>
      <c r="Y174" s="167" t="s">
        <v>146</v>
      </c>
      <c r="Z174" s="126" t="s">
        <v>3550</v>
      </c>
      <c r="AA174" s="167" t="s">
        <v>3551</v>
      </c>
      <c r="AB174" s="167" t="s">
        <v>3551</v>
      </c>
      <c r="AC174" s="164" t="s">
        <v>3544</v>
      </c>
      <c r="AD174" s="140"/>
      <c r="AE174" s="126"/>
      <c r="AF174" s="126"/>
      <c r="AG174" s="168" t="s">
        <v>5120</v>
      </c>
      <c r="AH174" s="126"/>
      <c r="AI174" s="126"/>
      <c r="AJ174" s="136">
        <v>36682</v>
      </c>
      <c r="AK174" s="138"/>
      <c r="AL174" s="139"/>
      <c r="AM174" s="139"/>
    </row>
    <row r="175" spans="1:39" s="5" customFormat="1" ht="39.950000000000003" customHeight="1">
      <c r="A175" s="137">
        <f>SUBTOTAL(3,$B$3:B175)</f>
        <v>173</v>
      </c>
      <c r="B175" s="164" t="s">
        <v>3552</v>
      </c>
      <c r="C175" s="165" t="s">
        <v>3553</v>
      </c>
      <c r="D175" s="124" t="s">
        <v>3553</v>
      </c>
      <c r="E175" s="124" t="s">
        <v>3554</v>
      </c>
      <c r="F175" s="124" t="s">
        <v>2654</v>
      </c>
      <c r="G175" s="137" t="s">
        <v>2345</v>
      </c>
      <c r="H175" s="124" t="s">
        <v>3555</v>
      </c>
      <c r="I175" s="137" t="s">
        <v>40</v>
      </c>
      <c r="J175" s="166">
        <v>36918</v>
      </c>
      <c r="K175" s="124" t="s">
        <v>41</v>
      </c>
      <c r="L175" s="137" t="s">
        <v>42</v>
      </c>
      <c r="M175" s="124" t="s">
        <v>43</v>
      </c>
      <c r="N175" s="166">
        <v>44866</v>
      </c>
      <c r="O175" s="124" t="s">
        <v>44</v>
      </c>
      <c r="P175" s="137" t="s">
        <v>2347</v>
      </c>
      <c r="Q175" s="137" t="s">
        <v>3676</v>
      </c>
      <c r="R175" s="124" t="s">
        <v>3556</v>
      </c>
      <c r="S175" s="137">
        <v>28319</v>
      </c>
      <c r="T175" s="125">
        <v>101784054370</v>
      </c>
      <c r="U175" s="126" t="s">
        <v>3558</v>
      </c>
      <c r="V175" s="126" t="s">
        <v>3557</v>
      </c>
      <c r="W175" s="126" t="s">
        <v>3559</v>
      </c>
      <c r="X175" s="126" t="s">
        <v>3560</v>
      </c>
      <c r="Y175" s="167" t="s">
        <v>552</v>
      </c>
      <c r="Z175" s="126" t="s">
        <v>551</v>
      </c>
      <c r="AA175" s="167" t="s">
        <v>3561</v>
      </c>
      <c r="AB175" s="167" t="s">
        <v>3561</v>
      </c>
      <c r="AC175" s="164" t="s">
        <v>3552</v>
      </c>
      <c r="AD175" s="140"/>
      <c r="AE175" s="126"/>
      <c r="AF175" s="126"/>
      <c r="AG175" s="168" t="s">
        <v>5113</v>
      </c>
      <c r="AH175" s="126"/>
      <c r="AI175" s="126"/>
      <c r="AJ175" s="136">
        <v>36918</v>
      </c>
      <c r="AK175" s="138"/>
      <c r="AL175" s="139"/>
      <c r="AM175" s="139"/>
    </row>
    <row r="176" spans="1:39" s="5" customFormat="1" ht="39.950000000000003" customHeight="1">
      <c r="A176" s="137">
        <f>SUBTOTAL(3,$B$3:B176)</f>
        <v>174</v>
      </c>
      <c r="B176" s="164" t="s">
        <v>3562</v>
      </c>
      <c r="C176" s="165" t="s">
        <v>3563</v>
      </c>
      <c r="D176" s="124" t="s">
        <v>3563</v>
      </c>
      <c r="E176" s="124" t="s">
        <v>56</v>
      </c>
      <c r="F176" s="124" t="s">
        <v>3564</v>
      </c>
      <c r="G176" s="137" t="s">
        <v>2345</v>
      </c>
      <c r="H176" s="124" t="s">
        <v>3565</v>
      </c>
      <c r="I176" s="137" t="s">
        <v>40</v>
      </c>
      <c r="J176" s="166">
        <v>36653</v>
      </c>
      <c r="K176" s="124" t="s">
        <v>41</v>
      </c>
      <c r="L176" s="137" t="s">
        <v>42</v>
      </c>
      <c r="M176" s="124" t="s">
        <v>43</v>
      </c>
      <c r="N176" s="166">
        <v>44866</v>
      </c>
      <c r="O176" s="124" t="s">
        <v>44</v>
      </c>
      <c r="P176" s="137" t="s">
        <v>2347</v>
      </c>
      <c r="Q176" s="137" t="s">
        <v>3676</v>
      </c>
      <c r="R176" s="124" t="s">
        <v>3566</v>
      </c>
      <c r="S176" s="137">
        <v>28138</v>
      </c>
      <c r="T176" s="125">
        <v>101769579512</v>
      </c>
      <c r="U176" s="126" t="s">
        <v>3568</v>
      </c>
      <c r="V176" s="126" t="s">
        <v>3567</v>
      </c>
      <c r="W176" s="126" t="s">
        <v>3569</v>
      </c>
      <c r="X176" s="126" t="s">
        <v>3570</v>
      </c>
      <c r="Y176" s="167" t="s">
        <v>1289</v>
      </c>
      <c r="Z176" s="126" t="s">
        <v>3571</v>
      </c>
      <c r="AA176" s="167" t="s">
        <v>3572</v>
      </c>
      <c r="AB176" s="167" t="s">
        <v>3572</v>
      </c>
      <c r="AC176" s="164" t="s">
        <v>3562</v>
      </c>
      <c r="AD176" s="140"/>
      <c r="AE176" s="126"/>
      <c r="AF176" s="126"/>
      <c r="AG176" s="168" t="s">
        <v>5104</v>
      </c>
      <c r="AH176" s="126"/>
      <c r="AI176" s="126"/>
      <c r="AJ176" s="136">
        <v>36653</v>
      </c>
      <c r="AK176" s="138"/>
      <c r="AL176" s="139"/>
      <c r="AM176" s="139"/>
    </row>
    <row r="177" spans="1:39" s="5" customFormat="1" ht="39.950000000000003" customHeight="1">
      <c r="A177" s="137">
        <f>SUBTOTAL(3,$B$3:B177)</f>
        <v>175</v>
      </c>
      <c r="B177" s="169" t="s">
        <v>3573</v>
      </c>
      <c r="C177" s="124" t="s">
        <v>3574</v>
      </c>
      <c r="D177" s="124" t="s">
        <v>3574</v>
      </c>
      <c r="E177" s="124" t="s">
        <v>3575</v>
      </c>
      <c r="F177" s="124" t="s">
        <v>3576</v>
      </c>
      <c r="G177" s="137" t="s">
        <v>2345</v>
      </c>
      <c r="H177" s="124" t="s">
        <v>3577</v>
      </c>
      <c r="I177" s="137" t="s">
        <v>40</v>
      </c>
      <c r="J177" s="166">
        <v>36337</v>
      </c>
      <c r="K177" s="124" t="s">
        <v>41</v>
      </c>
      <c r="L177" s="137" t="s">
        <v>42</v>
      </c>
      <c r="M177" s="124" t="s">
        <v>43</v>
      </c>
      <c r="N177" s="166">
        <v>44898</v>
      </c>
      <c r="O177" s="124" t="s">
        <v>44</v>
      </c>
      <c r="P177" s="137" t="s">
        <v>2347</v>
      </c>
      <c r="Q177" s="137" t="s">
        <v>3676</v>
      </c>
      <c r="R177" s="124" t="s">
        <v>3578</v>
      </c>
      <c r="S177" s="137">
        <v>28158</v>
      </c>
      <c r="T177" s="125">
        <v>101898017182</v>
      </c>
      <c r="U177" s="126" t="s">
        <v>3580</v>
      </c>
      <c r="V177" s="126" t="s">
        <v>3579</v>
      </c>
      <c r="W177" s="126" t="s">
        <v>3581</v>
      </c>
      <c r="X177" s="126" t="s">
        <v>3582</v>
      </c>
      <c r="Y177" s="167" t="s">
        <v>132</v>
      </c>
      <c r="Z177" s="126" t="s">
        <v>3583</v>
      </c>
      <c r="AA177" s="167" t="s">
        <v>3584</v>
      </c>
      <c r="AB177" s="167" t="s">
        <v>3584</v>
      </c>
      <c r="AC177" s="164" t="s">
        <v>3573</v>
      </c>
      <c r="AD177" s="140"/>
      <c r="AE177" s="126"/>
      <c r="AF177" s="126"/>
      <c r="AG177" s="168" t="s">
        <v>5122</v>
      </c>
      <c r="AH177" s="126"/>
      <c r="AI177" s="126"/>
      <c r="AJ177" s="136">
        <v>36337</v>
      </c>
      <c r="AK177" s="138"/>
      <c r="AL177" s="139"/>
      <c r="AM177" s="139"/>
    </row>
    <row r="178" spans="1:39" s="5" customFormat="1" ht="39.950000000000003" customHeight="1">
      <c r="A178" s="137">
        <f>SUBTOTAL(3,$B$3:B178)</f>
        <v>176</v>
      </c>
      <c r="B178" s="164" t="s">
        <v>3585</v>
      </c>
      <c r="C178" s="165" t="s">
        <v>3586</v>
      </c>
      <c r="D178" s="124" t="s">
        <v>3586</v>
      </c>
      <c r="E178" s="124" t="s">
        <v>3587</v>
      </c>
      <c r="F178" s="124" t="s">
        <v>3588</v>
      </c>
      <c r="G178" s="137" t="s">
        <v>2345</v>
      </c>
      <c r="H178" s="124" t="s">
        <v>3589</v>
      </c>
      <c r="I178" s="137" t="s">
        <v>40</v>
      </c>
      <c r="J178" s="166">
        <v>36525</v>
      </c>
      <c r="K178" s="124" t="s">
        <v>41</v>
      </c>
      <c r="L178" s="137" t="s">
        <v>42</v>
      </c>
      <c r="M178" s="124" t="s">
        <v>43</v>
      </c>
      <c r="N178" s="166">
        <v>44896</v>
      </c>
      <c r="O178" s="124" t="s">
        <v>44</v>
      </c>
      <c r="P178" s="137" t="s">
        <v>2347</v>
      </c>
      <c r="Q178" s="137" t="s">
        <v>3676</v>
      </c>
      <c r="R178" s="124" t="s">
        <v>3590</v>
      </c>
      <c r="S178" s="137">
        <v>28084</v>
      </c>
      <c r="T178" s="125">
        <v>101680675743</v>
      </c>
      <c r="U178" s="126" t="s">
        <v>3592</v>
      </c>
      <c r="V178" s="126" t="s">
        <v>3591</v>
      </c>
      <c r="W178" s="126" t="s">
        <v>3593</v>
      </c>
      <c r="X178" s="126" t="s">
        <v>3594</v>
      </c>
      <c r="Y178" s="167" t="s">
        <v>65</v>
      </c>
      <c r="Z178" s="126" t="s">
        <v>3237</v>
      </c>
      <c r="AA178" s="167" t="s">
        <v>6489</v>
      </c>
      <c r="AB178" s="167" t="s">
        <v>6489</v>
      </c>
      <c r="AC178" s="164" t="s">
        <v>3585</v>
      </c>
      <c r="AD178" s="140"/>
      <c r="AE178" s="126"/>
      <c r="AF178" s="126"/>
      <c r="AG178" s="168" t="s">
        <v>5118</v>
      </c>
      <c r="AH178" s="126"/>
      <c r="AI178" s="126"/>
      <c r="AJ178" s="136">
        <v>36525</v>
      </c>
      <c r="AK178" s="138"/>
      <c r="AL178" s="139"/>
      <c r="AM178" s="139"/>
    </row>
    <row r="179" spans="1:39" s="5" customFormat="1" ht="39.950000000000003" customHeight="1">
      <c r="A179" s="137">
        <f>SUBTOTAL(3,$B$3:B179)</f>
        <v>177</v>
      </c>
      <c r="B179" s="169" t="s">
        <v>3595</v>
      </c>
      <c r="C179" s="124" t="s">
        <v>3596</v>
      </c>
      <c r="D179" s="124" t="s">
        <v>3596</v>
      </c>
      <c r="E179" s="124" t="s">
        <v>263</v>
      </c>
      <c r="F179" s="124" t="s">
        <v>3597</v>
      </c>
      <c r="G179" s="137" t="s">
        <v>2345</v>
      </c>
      <c r="H179" s="124" t="s">
        <v>3598</v>
      </c>
      <c r="I179" s="137" t="s">
        <v>40</v>
      </c>
      <c r="J179" s="166">
        <v>36465</v>
      </c>
      <c r="K179" s="124" t="s">
        <v>41</v>
      </c>
      <c r="L179" s="137" t="s">
        <v>42</v>
      </c>
      <c r="M179" s="124" t="s">
        <v>43</v>
      </c>
      <c r="N179" s="166">
        <v>44898</v>
      </c>
      <c r="O179" s="124" t="s">
        <v>44</v>
      </c>
      <c r="P179" s="137" t="s">
        <v>2347</v>
      </c>
      <c r="Q179" s="137" t="s">
        <v>3676</v>
      </c>
      <c r="R179" s="124" t="s">
        <v>3599</v>
      </c>
      <c r="S179" s="137">
        <v>28318</v>
      </c>
      <c r="T179" s="125">
        <v>101777748820</v>
      </c>
      <c r="U179" s="126" t="s">
        <v>3601</v>
      </c>
      <c r="V179" s="126" t="s">
        <v>3600</v>
      </c>
      <c r="W179" s="126" t="s">
        <v>3602</v>
      </c>
      <c r="X179" s="126" t="s">
        <v>3603</v>
      </c>
      <c r="Y179" s="167" t="s">
        <v>65</v>
      </c>
      <c r="Z179" s="126" t="s">
        <v>707</v>
      </c>
      <c r="AA179" s="167" t="s">
        <v>3604</v>
      </c>
      <c r="AB179" s="167" t="s">
        <v>3604</v>
      </c>
      <c r="AC179" s="164" t="s">
        <v>3595</v>
      </c>
      <c r="AD179" s="140"/>
      <c r="AE179" s="126"/>
      <c r="AF179" s="126"/>
      <c r="AG179" s="168" t="s">
        <v>5121</v>
      </c>
      <c r="AH179" s="126"/>
      <c r="AI179" s="126"/>
      <c r="AJ179" s="136">
        <v>36465</v>
      </c>
      <c r="AK179" s="138"/>
      <c r="AL179" s="139"/>
      <c r="AM179" s="139"/>
    </row>
    <row r="180" spans="1:39" s="5" customFormat="1" ht="39.950000000000003" customHeight="1">
      <c r="A180" s="137">
        <f>SUBTOTAL(3,$B$3:B180)</f>
        <v>178</v>
      </c>
      <c r="B180" s="164" t="s">
        <v>3605</v>
      </c>
      <c r="C180" s="165" t="s">
        <v>3606</v>
      </c>
      <c r="D180" s="124" t="s">
        <v>3606</v>
      </c>
      <c r="E180" s="124" t="s">
        <v>3607</v>
      </c>
      <c r="F180" s="124" t="s">
        <v>3608</v>
      </c>
      <c r="G180" s="137" t="s">
        <v>2345</v>
      </c>
      <c r="H180" s="124" t="s">
        <v>711</v>
      </c>
      <c r="I180" s="137" t="s">
        <v>40</v>
      </c>
      <c r="J180" s="166">
        <v>36768</v>
      </c>
      <c r="K180" s="124" t="s">
        <v>41</v>
      </c>
      <c r="L180" s="137" t="s">
        <v>42</v>
      </c>
      <c r="M180" s="124" t="s">
        <v>43</v>
      </c>
      <c r="N180" s="166">
        <v>44866</v>
      </c>
      <c r="O180" s="124" t="s">
        <v>44</v>
      </c>
      <c r="P180" s="137" t="s">
        <v>2347</v>
      </c>
      <c r="Q180" s="137" t="s">
        <v>3676</v>
      </c>
      <c r="R180" s="124" t="s">
        <v>3609</v>
      </c>
      <c r="S180" s="137">
        <v>28282</v>
      </c>
      <c r="T180" s="125">
        <v>101824709793</v>
      </c>
      <c r="U180" s="126" t="s">
        <v>3611</v>
      </c>
      <c r="V180" s="126" t="s">
        <v>3610</v>
      </c>
      <c r="W180" s="126" t="s">
        <v>3612</v>
      </c>
      <c r="X180" s="126" t="s">
        <v>3613</v>
      </c>
      <c r="Y180" s="167" t="s">
        <v>619</v>
      </c>
      <c r="Z180" s="126" t="s">
        <v>3614</v>
      </c>
      <c r="AA180" s="167" t="s">
        <v>3615</v>
      </c>
      <c r="AB180" s="167" t="s">
        <v>3615</v>
      </c>
      <c r="AC180" s="164" t="s">
        <v>3605</v>
      </c>
      <c r="AD180" s="140"/>
      <c r="AE180" s="126"/>
      <c r="AF180" s="126"/>
      <c r="AG180" s="168" t="s">
        <v>5331</v>
      </c>
      <c r="AH180" s="126"/>
      <c r="AI180" s="126"/>
      <c r="AJ180" s="136">
        <v>36768</v>
      </c>
      <c r="AK180" s="138"/>
      <c r="AL180" s="139"/>
      <c r="AM180" s="139"/>
    </row>
    <row r="181" spans="1:39" s="5" customFormat="1" ht="39.950000000000003" customHeight="1">
      <c r="A181" s="137">
        <f>SUBTOTAL(3,$B$3:B181)</f>
        <v>179</v>
      </c>
      <c r="B181" s="164" t="s">
        <v>3616</v>
      </c>
      <c r="C181" s="165" t="s">
        <v>3617</v>
      </c>
      <c r="D181" s="124" t="s">
        <v>3617</v>
      </c>
      <c r="E181" s="124" t="s">
        <v>3618</v>
      </c>
      <c r="F181" s="124" t="s">
        <v>3619</v>
      </c>
      <c r="G181" s="137" t="s">
        <v>2345</v>
      </c>
      <c r="H181" s="124" t="s">
        <v>3620</v>
      </c>
      <c r="I181" s="137" t="s">
        <v>40</v>
      </c>
      <c r="J181" s="166">
        <v>35673</v>
      </c>
      <c r="K181" s="124" t="s">
        <v>41</v>
      </c>
      <c r="L181" s="137" t="s">
        <v>42</v>
      </c>
      <c r="M181" s="124" t="s">
        <v>43</v>
      </c>
      <c r="N181" s="166">
        <v>44873</v>
      </c>
      <c r="O181" s="124" t="s">
        <v>44</v>
      </c>
      <c r="P181" s="137" t="s">
        <v>2347</v>
      </c>
      <c r="Q181" s="137" t="s">
        <v>3676</v>
      </c>
      <c r="R181" s="124" t="s">
        <v>3621</v>
      </c>
      <c r="S181" s="137">
        <v>27939</v>
      </c>
      <c r="T181" s="125">
        <v>101864781624</v>
      </c>
      <c r="U181" s="126" t="s">
        <v>3623</v>
      </c>
      <c r="V181" s="126" t="s">
        <v>3622</v>
      </c>
      <c r="W181" s="126" t="s">
        <v>3624</v>
      </c>
      <c r="X181" s="126" t="s">
        <v>3625</v>
      </c>
      <c r="Y181" s="167" t="s">
        <v>132</v>
      </c>
      <c r="Z181" s="126" t="s">
        <v>3072</v>
      </c>
      <c r="AA181" s="167" t="s">
        <v>3626</v>
      </c>
      <c r="AB181" s="167" t="s">
        <v>3626</v>
      </c>
      <c r="AC181" s="164" t="s">
        <v>3616</v>
      </c>
      <c r="AD181" s="140"/>
      <c r="AE181" s="126"/>
      <c r="AF181" s="126"/>
      <c r="AG181" s="168" t="s">
        <v>5290</v>
      </c>
      <c r="AH181" s="126"/>
      <c r="AI181" s="126"/>
      <c r="AJ181" s="136">
        <v>35673</v>
      </c>
      <c r="AK181" s="138"/>
      <c r="AL181" s="139"/>
      <c r="AM181" s="139"/>
    </row>
    <row r="182" spans="1:39" s="5" customFormat="1" ht="39.950000000000003" customHeight="1">
      <c r="A182" s="137">
        <f>SUBTOTAL(3,$B$3:B182)</f>
        <v>180</v>
      </c>
      <c r="B182" s="164" t="s">
        <v>3627</v>
      </c>
      <c r="C182" s="165" t="s">
        <v>3628</v>
      </c>
      <c r="D182" s="124" t="s">
        <v>3628</v>
      </c>
      <c r="E182" s="124" t="s">
        <v>249</v>
      </c>
      <c r="F182" s="124" t="s">
        <v>440</v>
      </c>
      <c r="G182" s="137" t="s">
        <v>2345</v>
      </c>
      <c r="H182" s="124" t="s">
        <v>593</v>
      </c>
      <c r="I182" s="137" t="s">
        <v>40</v>
      </c>
      <c r="J182" s="166">
        <v>35951</v>
      </c>
      <c r="K182" s="124" t="s">
        <v>41</v>
      </c>
      <c r="L182" s="137" t="s">
        <v>42</v>
      </c>
      <c r="M182" s="124" t="s">
        <v>43</v>
      </c>
      <c r="N182" s="166">
        <v>44874</v>
      </c>
      <c r="O182" s="124" t="s">
        <v>44</v>
      </c>
      <c r="P182" s="137" t="s">
        <v>2347</v>
      </c>
      <c r="Q182" s="137" t="s">
        <v>3676</v>
      </c>
      <c r="R182" s="124">
        <v>9327133395</v>
      </c>
      <c r="S182" s="137">
        <v>27940</v>
      </c>
      <c r="T182" s="125">
        <v>101545044278</v>
      </c>
      <c r="U182" s="126" t="s">
        <v>3630</v>
      </c>
      <c r="V182" s="126" t="s">
        <v>3629</v>
      </c>
      <c r="W182" s="126" t="s">
        <v>3631</v>
      </c>
      <c r="X182" s="126" t="s">
        <v>3632</v>
      </c>
      <c r="Y182" s="167" t="s">
        <v>146</v>
      </c>
      <c r="Z182" s="126" t="s">
        <v>447</v>
      </c>
      <c r="AA182" s="167" t="s">
        <v>3633</v>
      </c>
      <c r="AB182" s="167" t="s">
        <v>3633</v>
      </c>
      <c r="AC182" s="164" t="s">
        <v>3627</v>
      </c>
      <c r="AD182" s="140"/>
      <c r="AE182" s="126"/>
      <c r="AF182" s="126"/>
      <c r="AG182" s="168" t="s">
        <v>5079</v>
      </c>
      <c r="AH182" s="126"/>
      <c r="AI182" s="126"/>
      <c r="AJ182" s="136">
        <v>35951</v>
      </c>
      <c r="AK182" s="138"/>
      <c r="AL182" s="139"/>
      <c r="AM182" s="139"/>
    </row>
    <row r="183" spans="1:39" s="5" customFormat="1" ht="39.950000000000003" customHeight="1">
      <c r="A183" s="137">
        <f>SUBTOTAL(3,$B$3:B183)</f>
        <v>181</v>
      </c>
      <c r="B183" s="169" t="s">
        <v>3634</v>
      </c>
      <c r="C183" s="124" t="s">
        <v>3635</v>
      </c>
      <c r="D183" s="124" t="s">
        <v>3635</v>
      </c>
      <c r="E183" s="124" t="s">
        <v>3636</v>
      </c>
      <c r="F183" s="124" t="s">
        <v>239</v>
      </c>
      <c r="G183" s="137" t="s">
        <v>2345</v>
      </c>
      <c r="H183" s="124" t="s">
        <v>3637</v>
      </c>
      <c r="I183" s="137" t="s">
        <v>40</v>
      </c>
      <c r="J183" s="166">
        <v>33756</v>
      </c>
      <c r="K183" s="124" t="s">
        <v>41</v>
      </c>
      <c r="L183" s="137" t="s">
        <v>42</v>
      </c>
      <c r="M183" s="124" t="s">
        <v>43</v>
      </c>
      <c r="N183" s="166">
        <v>44874</v>
      </c>
      <c r="O183" s="124" t="s">
        <v>44</v>
      </c>
      <c r="P183" s="137" t="s">
        <v>2347</v>
      </c>
      <c r="Q183" s="137" t="s">
        <v>3676</v>
      </c>
      <c r="R183" s="124">
        <v>7874268522</v>
      </c>
      <c r="S183" s="137">
        <v>28064</v>
      </c>
      <c r="T183" s="125">
        <v>101263900616</v>
      </c>
      <c r="U183" s="126" t="s">
        <v>3639</v>
      </c>
      <c r="V183" s="126" t="s">
        <v>3638</v>
      </c>
      <c r="W183" s="126" t="s">
        <v>3640</v>
      </c>
      <c r="X183" s="126" t="s">
        <v>3641</v>
      </c>
      <c r="Y183" s="167" t="s">
        <v>65</v>
      </c>
      <c r="Z183" s="126" t="s">
        <v>91</v>
      </c>
      <c r="AA183" s="167" t="s">
        <v>3642</v>
      </c>
      <c r="AB183" s="167" t="s">
        <v>3642</v>
      </c>
      <c r="AC183" s="164" t="s">
        <v>3634</v>
      </c>
      <c r="AD183" s="140"/>
      <c r="AE183" s="126"/>
      <c r="AF183" s="126"/>
      <c r="AG183" s="168" t="s">
        <v>5089</v>
      </c>
      <c r="AH183" s="126"/>
      <c r="AI183" s="126"/>
      <c r="AJ183" s="136">
        <v>33756</v>
      </c>
      <c r="AK183" s="138"/>
      <c r="AL183" s="139"/>
      <c r="AM183" s="139"/>
    </row>
    <row r="184" spans="1:39" s="5" customFormat="1" ht="39.950000000000003" customHeight="1">
      <c r="A184" s="137">
        <f>SUBTOTAL(3,$B$3:B184)</f>
        <v>182</v>
      </c>
      <c r="B184" s="164" t="s">
        <v>3643</v>
      </c>
      <c r="C184" s="165" t="s">
        <v>3644</v>
      </c>
      <c r="D184" s="124" t="s">
        <v>3644</v>
      </c>
      <c r="E184" s="124" t="s">
        <v>3645</v>
      </c>
      <c r="F184" s="124" t="s">
        <v>2536</v>
      </c>
      <c r="G184" s="137" t="s">
        <v>2345</v>
      </c>
      <c r="H184" s="124" t="s">
        <v>3646</v>
      </c>
      <c r="I184" s="137" t="s">
        <v>40</v>
      </c>
      <c r="J184" s="166">
        <v>37013</v>
      </c>
      <c r="K184" s="124" t="s">
        <v>41</v>
      </c>
      <c r="L184" s="137" t="s">
        <v>42</v>
      </c>
      <c r="M184" s="124" t="s">
        <v>43</v>
      </c>
      <c r="N184" s="166">
        <v>44874</v>
      </c>
      <c r="O184" s="124" t="s">
        <v>44</v>
      </c>
      <c r="P184" s="137" t="s">
        <v>2347</v>
      </c>
      <c r="Q184" s="137" t="s">
        <v>3676</v>
      </c>
      <c r="R184" s="124">
        <v>6355543410</v>
      </c>
      <c r="S184" s="137">
        <v>27941</v>
      </c>
      <c r="T184" s="125">
        <v>101855554706</v>
      </c>
      <c r="U184" s="126" t="s">
        <v>3648</v>
      </c>
      <c r="V184" s="126" t="s">
        <v>3647</v>
      </c>
      <c r="W184" s="126" t="s">
        <v>3649</v>
      </c>
      <c r="X184" s="126" t="s">
        <v>3650</v>
      </c>
      <c r="Y184" s="167" t="s">
        <v>65</v>
      </c>
      <c r="Z184" s="126" t="s">
        <v>3651</v>
      </c>
      <c r="AA184" s="167" t="s">
        <v>3652</v>
      </c>
      <c r="AB184" s="167" t="s">
        <v>3652</v>
      </c>
      <c r="AC184" s="164" t="s">
        <v>3643</v>
      </c>
      <c r="AD184" s="140"/>
      <c r="AE184" s="126"/>
      <c r="AF184" s="126"/>
      <c r="AG184" s="168" t="s">
        <v>5268</v>
      </c>
      <c r="AH184" s="126"/>
      <c r="AI184" s="126"/>
      <c r="AJ184" s="136">
        <v>37013</v>
      </c>
      <c r="AK184" s="138"/>
      <c r="AL184" s="139"/>
      <c r="AM184" s="139"/>
    </row>
    <row r="185" spans="1:39" s="5" customFormat="1" ht="39.950000000000003" customHeight="1">
      <c r="A185" s="137">
        <f>SUBTOTAL(3,$B$3:B185)</f>
        <v>183</v>
      </c>
      <c r="B185" s="164" t="s">
        <v>3653</v>
      </c>
      <c r="C185" s="165" t="s">
        <v>3654</v>
      </c>
      <c r="D185" s="124" t="s">
        <v>3654</v>
      </c>
      <c r="E185" s="124" t="s">
        <v>110</v>
      </c>
      <c r="F185" s="124" t="s">
        <v>3655</v>
      </c>
      <c r="G185" s="137" t="s">
        <v>2345</v>
      </c>
      <c r="H185" s="124" t="s">
        <v>3656</v>
      </c>
      <c r="I185" s="137" t="s">
        <v>40</v>
      </c>
      <c r="J185" s="166">
        <v>35376</v>
      </c>
      <c r="K185" s="124" t="s">
        <v>41</v>
      </c>
      <c r="L185" s="137" t="s">
        <v>42</v>
      </c>
      <c r="M185" s="124" t="s">
        <v>43</v>
      </c>
      <c r="N185" s="166">
        <v>44866</v>
      </c>
      <c r="O185" s="124" t="s">
        <v>44</v>
      </c>
      <c r="P185" s="137" t="s">
        <v>2347</v>
      </c>
      <c r="Q185" s="137" t="s">
        <v>3676</v>
      </c>
      <c r="R185" s="124">
        <v>9879679961</v>
      </c>
      <c r="S185" s="137">
        <v>28152</v>
      </c>
      <c r="T185" s="125">
        <v>101878158342</v>
      </c>
      <c r="U185" s="126" t="s">
        <v>3658</v>
      </c>
      <c r="V185" s="126" t="s">
        <v>3657</v>
      </c>
      <c r="W185" s="126" t="s">
        <v>3659</v>
      </c>
      <c r="X185" s="126" t="s">
        <v>3660</v>
      </c>
      <c r="Y185" s="167" t="s">
        <v>51</v>
      </c>
      <c r="Z185" s="126" t="s">
        <v>50</v>
      </c>
      <c r="AA185" s="167" t="s">
        <v>3661</v>
      </c>
      <c r="AB185" s="167" t="s">
        <v>3661</v>
      </c>
      <c r="AC185" s="164" t="s">
        <v>3653</v>
      </c>
      <c r="AD185" s="140"/>
      <c r="AE185" s="126"/>
      <c r="AF185" s="126"/>
      <c r="AG185" s="168" t="s">
        <v>5282</v>
      </c>
      <c r="AH185" s="126"/>
      <c r="AI185" s="126"/>
      <c r="AJ185" s="136">
        <v>35376</v>
      </c>
      <c r="AK185" s="138"/>
      <c r="AL185" s="139"/>
      <c r="AM185" s="139"/>
    </row>
    <row r="186" spans="1:39" s="5" customFormat="1" ht="39.950000000000003" customHeight="1">
      <c r="A186" s="137">
        <f>SUBTOTAL(3,$B$3:B186)</f>
        <v>184</v>
      </c>
      <c r="B186" s="169" t="s">
        <v>3662</v>
      </c>
      <c r="C186" s="124" t="s">
        <v>3663</v>
      </c>
      <c r="D186" s="124" t="s">
        <v>3663</v>
      </c>
      <c r="E186" s="124" t="s">
        <v>754</v>
      </c>
      <c r="F186" s="124" t="s">
        <v>3664</v>
      </c>
      <c r="G186" s="137" t="s">
        <v>2389</v>
      </c>
      <c r="H186" s="124" t="s">
        <v>1019</v>
      </c>
      <c r="I186" s="137" t="s">
        <v>40</v>
      </c>
      <c r="J186" s="166">
        <v>36719</v>
      </c>
      <c r="K186" s="124" t="s">
        <v>41</v>
      </c>
      <c r="L186" s="137" t="s">
        <v>42</v>
      </c>
      <c r="M186" s="124" t="s">
        <v>43</v>
      </c>
      <c r="N186" s="166">
        <v>44874</v>
      </c>
      <c r="O186" s="124" t="s">
        <v>44</v>
      </c>
      <c r="P186" s="137" t="s">
        <v>2347</v>
      </c>
      <c r="Q186" s="137" t="s">
        <v>3676</v>
      </c>
      <c r="R186" s="124">
        <v>7201898644</v>
      </c>
      <c r="S186" s="137">
        <v>27936</v>
      </c>
      <c r="T186" s="125">
        <v>101892063612</v>
      </c>
      <c r="U186" s="126" t="s">
        <v>6178</v>
      </c>
      <c r="V186" s="126" t="s">
        <v>3665</v>
      </c>
      <c r="W186" s="126" t="s">
        <v>3666</v>
      </c>
      <c r="X186" s="126" t="s">
        <v>3667</v>
      </c>
      <c r="Y186" s="167" t="s">
        <v>472</v>
      </c>
      <c r="Z186" s="126" t="s">
        <v>3668</v>
      </c>
      <c r="AA186" s="167" t="s">
        <v>3669</v>
      </c>
      <c r="AB186" s="167" t="s">
        <v>3670</v>
      </c>
      <c r="AC186" s="164" t="s">
        <v>3662</v>
      </c>
      <c r="AD186" s="140"/>
      <c r="AE186" s="126"/>
      <c r="AF186" s="126"/>
      <c r="AG186" s="168" t="s">
        <v>5416</v>
      </c>
      <c r="AH186" s="126"/>
      <c r="AI186" s="126"/>
      <c r="AJ186" s="136">
        <v>36719</v>
      </c>
      <c r="AK186" s="138"/>
      <c r="AL186" s="139"/>
      <c r="AM186" s="139"/>
    </row>
    <row r="187" spans="1:39" ht="47.25" customHeight="1">
      <c r="A187" s="137">
        <f>SUBTOTAL(3,$B$3:B187)</f>
        <v>185</v>
      </c>
      <c r="B187" s="164" t="s">
        <v>2264</v>
      </c>
      <c r="C187" s="165" t="s">
        <v>2265</v>
      </c>
      <c r="D187" s="124" t="s">
        <v>2266</v>
      </c>
      <c r="E187" s="137" t="s">
        <v>136</v>
      </c>
      <c r="F187" s="137" t="s">
        <v>2267</v>
      </c>
      <c r="G187" s="137" t="s">
        <v>2345</v>
      </c>
      <c r="H187" s="137" t="s">
        <v>2268</v>
      </c>
      <c r="I187" s="137" t="s">
        <v>40</v>
      </c>
      <c r="J187" s="137" t="s">
        <v>2269</v>
      </c>
      <c r="K187" s="137" t="s">
        <v>41</v>
      </c>
      <c r="L187" s="137" t="s">
        <v>42</v>
      </c>
      <c r="M187" s="183" t="s">
        <v>2270</v>
      </c>
      <c r="N187" s="166">
        <v>44866</v>
      </c>
      <c r="O187" s="124" t="s">
        <v>2644</v>
      </c>
      <c r="P187" s="137" t="s">
        <v>2347</v>
      </c>
      <c r="Q187" s="137" t="s">
        <v>3676</v>
      </c>
      <c r="R187" s="124" t="s">
        <v>2271</v>
      </c>
      <c r="S187" s="124">
        <f>VLOOKUP(B187,'[2]CL SAL SHEET'!$A$4:$D$57,4,0)</f>
        <v>28350</v>
      </c>
      <c r="T187" s="125">
        <v>101705756648</v>
      </c>
      <c r="U187" s="126" t="s">
        <v>1177</v>
      </c>
      <c r="V187" s="126">
        <v>3714195275</v>
      </c>
      <c r="W187" s="126" t="s">
        <v>2272</v>
      </c>
      <c r="X187" s="126" t="s">
        <v>2273</v>
      </c>
      <c r="Y187" s="167" t="s">
        <v>132</v>
      </c>
      <c r="Z187" s="126" t="s">
        <v>1218</v>
      </c>
      <c r="AA187" s="167" t="s">
        <v>2274</v>
      </c>
      <c r="AB187" s="167" t="s">
        <v>2274</v>
      </c>
      <c r="AC187" s="164" t="s">
        <v>2264</v>
      </c>
      <c r="AD187" s="140"/>
      <c r="AE187" s="126"/>
      <c r="AF187" s="126"/>
      <c r="AG187" s="168" t="s">
        <v>5401</v>
      </c>
      <c r="AH187" s="126"/>
      <c r="AI187" s="126"/>
      <c r="AJ187" s="127" t="s">
        <v>2269</v>
      </c>
      <c r="AK187" s="128"/>
      <c r="AL187" s="129"/>
      <c r="AM187" s="129"/>
    </row>
    <row r="188" spans="1:39" ht="47.25" customHeight="1">
      <c r="A188" s="137">
        <f>SUBTOTAL(3,$B$3:B188)</f>
        <v>186</v>
      </c>
      <c r="B188" s="169" t="s">
        <v>2275</v>
      </c>
      <c r="C188" s="124" t="s">
        <v>2276</v>
      </c>
      <c r="D188" s="124" t="s">
        <v>2276</v>
      </c>
      <c r="E188" s="137" t="s">
        <v>70</v>
      </c>
      <c r="F188" s="137" t="s">
        <v>2156</v>
      </c>
      <c r="G188" s="137" t="s">
        <v>2389</v>
      </c>
      <c r="H188" s="137" t="s">
        <v>2277</v>
      </c>
      <c r="I188" s="137" t="s">
        <v>40</v>
      </c>
      <c r="J188" s="137" t="s">
        <v>2278</v>
      </c>
      <c r="K188" s="137" t="s">
        <v>41</v>
      </c>
      <c r="L188" s="137" t="s">
        <v>42</v>
      </c>
      <c r="M188" s="183" t="s">
        <v>2279</v>
      </c>
      <c r="N188" s="166">
        <v>44866</v>
      </c>
      <c r="O188" s="124" t="s">
        <v>2644</v>
      </c>
      <c r="P188" s="137" t="s">
        <v>2347</v>
      </c>
      <c r="Q188" s="137" t="s">
        <v>3676</v>
      </c>
      <c r="R188" s="124" t="s">
        <v>2280</v>
      </c>
      <c r="S188" s="124"/>
      <c r="T188" s="125">
        <v>101575388046</v>
      </c>
      <c r="U188" s="126" t="s">
        <v>2282</v>
      </c>
      <c r="V188" s="126" t="s">
        <v>2281</v>
      </c>
      <c r="W188" s="126" t="s">
        <v>2283</v>
      </c>
      <c r="X188" s="126" t="s">
        <v>2284</v>
      </c>
      <c r="Y188" s="167" t="s">
        <v>146</v>
      </c>
      <c r="Z188" s="126" t="s">
        <v>2285</v>
      </c>
      <c r="AA188" s="167" t="s">
        <v>2286</v>
      </c>
      <c r="AB188" s="167" t="s">
        <v>2286</v>
      </c>
      <c r="AC188" s="164" t="s">
        <v>2275</v>
      </c>
      <c r="AD188" s="140"/>
      <c r="AE188" s="126"/>
      <c r="AF188" s="126"/>
      <c r="AG188" s="168" t="s">
        <v>5395</v>
      </c>
      <c r="AH188" s="126"/>
      <c r="AI188" s="126"/>
      <c r="AJ188" s="127" t="s">
        <v>2278</v>
      </c>
      <c r="AK188" s="128"/>
      <c r="AL188" s="129"/>
      <c r="AM188" s="129"/>
    </row>
    <row r="189" spans="1:39" ht="45" customHeight="1">
      <c r="A189" s="137">
        <f>SUBTOTAL(3,$B$3:B189)</f>
        <v>187</v>
      </c>
      <c r="B189" s="169" t="s">
        <v>2639</v>
      </c>
      <c r="C189" s="124" t="s">
        <v>2640</v>
      </c>
      <c r="D189" s="124" t="s">
        <v>2641</v>
      </c>
      <c r="E189" s="137" t="s">
        <v>70</v>
      </c>
      <c r="F189" s="137" t="s">
        <v>1836</v>
      </c>
      <c r="G189" s="137" t="s">
        <v>2389</v>
      </c>
      <c r="H189" s="137" t="s">
        <v>2642</v>
      </c>
      <c r="I189" s="166" t="s">
        <v>40</v>
      </c>
      <c r="J189" s="166" t="s">
        <v>2643</v>
      </c>
      <c r="K189" s="166" t="s">
        <v>280</v>
      </c>
      <c r="L189" s="137" t="s">
        <v>42</v>
      </c>
      <c r="M189" s="124" t="s">
        <v>3685</v>
      </c>
      <c r="N189" s="180">
        <v>44866</v>
      </c>
      <c r="O189" s="124" t="s">
        <v>2644</v>
      </c>
      <c r="P189" s="137" t="s">
        <v>2347</v>
      </c>
      <c r="Q189" s="137" t="s">
        <v>3676</v>
      </c>
      <c r="R189" s="124" t="s">
        <v>2645</v>
      </c>
      <c r="S189" s="124">
        <v>28032</v>
      </c>
      <c r="T189" s="134">
        <v>101442006533</v>
      </c>
      <c r="U189" s="126" t="s">
        <v>6178</v>
      </c>
      <c r="V189" s="126" t="s">
        <v>2646</v>
      </c>
      <c r="W189" s="135" t="s">
        <v>2647</v>
      </c>
      <c r="X189" s="135" t="s">
        <v>2648</v>
      </c>
      <c r="Y189" s="167" t="s">
        <v>1289</v>
      </c>
      <c r="Z189" s="126" t="s">
        <v>2649</v>
      </c>
      <c r="AA189" s="167" t="s">
        <v>2650</v>
      </c>
      <c r="AB189" s="167" t="s">
        <v>2650</v>
      </c>
      <c r="AC189" s="164" t="s">
        <v>2639</v>
      </c>
      <c r="AD189" s="140"/>
      <c r="AE189" s="126"/>
      <c r="AF189" s="126"/>
      <c r="AG189" s="168" t="s">
        <v>5390</v>
      </c>
      <c r="AH189" s="126"/>
      <c r="AI189" s="126"/>
      <c r="AJ189" s="136" t="s">
        <v>2643</v>
      </c>
      <c r="AK189" s="128"/>
      <c r="AL189" s="129"/>
      <c r="AM189" s="129"/>
    </row>
    <row r="190" spans="1:39" s="5" customFormat="1" ht="39.950000000000003" customHeight="1">
      <c r="A190" s="137">
        <f>SUBTOTAL(3,$B$3:B190)</f>
        <v>188</v>
      </c>
      <c r="B190" s="169" t="s">
        <v>3186</v>
      </c>
      <c r="C190" s="124" t="s">
        <v>3187</v>
      </c>
      <c r="D190" s="124" t="s">
        <v>3188</v>
      </c>
      <c r="E190" s="137" t="s">
        <v>808</v>
      </c>
      <c r="F190" s="137" t="s">
        <v>3189</v>
      </c>
      <c r="G190" s="137" t="s">
        <v>2389</v>
      </c>
      <c r="H190" s="137" t="s">
        <v>3190</v>
      </c>
      <c r="I190" s="137" t="s">
        <v>40</v>
      </c>
      <c r="J190" s="166">
        <v>33028</v>
      </c>
      <c r="K190" s="137" t="s">
        <v>41</v>
      </c>
      <c r="L190" s="137" t="s">
        <v>42</v>
      </c>
      <c r="M190" s="124" t="s">
        <v>3191</v>
      </c>
      <c r="N190" s="166">
        <v>44890</v>
      </c>
      <c r="O190" s="124" t="s">
        <v>2644</v>
      </c>
      <c r="P190" s="137" t="s">
        <v>2347</v>
      </c>
      <c r="Q190" s="137" t="s">
        <v>3676</v>
      </c>
      <c r="R190" s="137">
        <v>9033105079</v>
      </c>
      <c r="S190" s="137">
        <v>28075</v>
      </c>
      <c r="T190" s="125">
        <v>101898017153</v>
      </c>
      <c r="U190" s="126" t="s">
        <v>3193</v>
      </c>
      <c r="V190" s="126" t="s">
        <v>3192</v>
      </c>
      <c r="W190" s="126" t="s">
        <v>3194</v>
      </c>
      <c r="X190" s="126" t="s">
        <v>3195</v>
      </c>
      <c r="Y190" s="167" t="s">
        <v>65</v>
      </c>
      <c r="Z190" s="126" t="s">
        <v>3196</v>
      </c>
      <c r="AA190" s="167" t="s">
        <v>3197</v>
      </c>
      <c r="AB190" s="167" t="s">
        <v>3197</v>
      </c>
      <c r="AC190" s="164" t="s">
        <v>3186</v>
      </c>
      <c r="AD190" s="140"/>
      <c r="AE190" s="126"/>
      <c r="AF190" s="126"/>
      <c r="AG190" s="168" t="s">
        <v>5407</v>
      </c>
      <c r="AH190" s="126"/>
      <c r="AI190" s="126"/>
      <c r="AJ190" s="136">
        <v>33028</v>
      </c>
      <c r="AK190" s="138"/>
      <c r="AL190" s="139"/>
      <c r="AM190" s="139"/>
    </row>
    <row r="191" spans="1:39" ht="47.25" customHeight="1">
      <c r="A191" s="137">
        <f>SUBTOTAL(3,$B$3:B191)</f>
        <v>189</v>
      </c>
      <c r="B191" s="169" t="s">
        <v>2287</v>
      </c>
      <c r="C191" s="124" t="s">
        <v>3732</v>
      </c>
      <c r="D191" s="124" t="s">
        <v>3733</v>
      </c>
      <c r="E191" s="137" t="s">
        <v>754</v>
      </c>
      <c r="F191" s="137" t="s">
        <v>671</v>
      </c>
      <c r="G191" s="137" t="s">
        <v>2345</v>
      </c>
      <c r="H191" s="137" t="s">
        <v>2288</v>
      </c>
      <c r="I191" s="137" t="s">
        <v>40</v>
      </c>
      <c r="J191" s="137" t="s">
        <v>2289</v>
      </c>
      <c r="K191" s="137" t="s">
        <v>41</v>
      </c>
      <c r="L191" s="137" t="s">
        <v>42</v>
      </c>
      <c r="M191" s="183" t="s">
        <v>2290</v>
      </c>
      <c r="N191" s="166">
        <v>44866</v>
      </c>
      <c r="O191" s="124" t="s">
        <v>2291</v>
      </c>
      <c r="P191" s="137" t="s">
        <v>2347</v>
      </c>
      <c r="Q191" s="137" t="s">
        <v>3676</v>
      </c>
      <c r="R191" s="124" t="s">
        <v>2292</v>
      </c>
      <c r="S191" s="124"/>
      <c r="T191" s="125">
        <v>101678084808</v>
      </c>
      <c r="U191" s="126" t="s">
        <v>6178</v>
      </c>
      <c r="V191" s="126" t="s">
        <v>2293</v>
      </c>
      <c r="W191" s="126" t="s">
        <v>2294</v>
      </c>
      <c r="X191" s="126" t="s">
        <v>2295</v>
      </c>
      <c r="Y191" s="167" t="s">
        <v>146</v>
      </c>
      <c r="Z191" s="126" t="s">
        <v>2198</v>
      </c>
      <c r="AA191" s="167" t="s">
        <v>2296</v>
      </c>
      <c r="AB191" s="167" t="s">
        <v>2296</v>
      </c>
      <c r="AC191" s="164" t="s">
        <v>2287</v>
      </c>
      <c r="AD191" s="140"/>
      <c r="AE191" s="126"/>
      <c r="AF191" s="126"/>
      <c r="AG191" s="168" t="s">
        <v>5392</v>
      </c>
      <c r="AH191" s="126"/>
      <c r="AI191" s="126"/>
      <c r="AJ191" s="127" t="s">
        <v>2289</v>
      </c>
      <c r="AK191" s="128"/>
      <c r="AL191" s="129"/>
      <c r="AM191" s="129"/>
    </row>
    <row r="192" spans="1:39" ht="47.25" customHeight="1">
      <c r="A192" s="137">
        <f>SUBTOTAL(3,$B$3:B192)</f>
        <v>190</v>
      </c>
      <c r="B192" s="169" t="s">
        <v>2297</v>
      </c>
      <c r="C192" s="124" t="s">
        <v>2298</v>
      </c>
      <c r="D192" s="124" t="s">
        <v>2298</v>
      </c>
      <c r="E192" s="137" t="s">
        <v>2299</v>
      </c>
      <c r="F192" s="137" t="s">
        <v>2300</v>
      </c>
      <c r="G192" s="137" t="s">
        <v>2345</v>
      </c>
      <c r="H192" s="137" t="s">
        <v>1802</v>
      </c>
      <c r="I192" s="137" t="s">
        <v>40</v>
      </c>
      <c r="J192" s="137" t="s">
        <v>2301</v>
      </c>
      <c r="K192" s="137" t="s">
        <v>41</v>
      </c>
      <c r="L192" s="137" t="s">
        <v>42</v>
      </c>
      <c r="M192" s="183" t="s">
        <v>2290</v>
      </c>
      <c r="N192" s="166">
        <v>44866</v>
      </c>
      <c r="O192" s="124" t="s">
        <v>2291</v>
      </c>
      <c r="P192" s="137" t="s">
        <v>2347</v>
      </c>
      <c r="Q192" s="137" t="s">
        <v>3676</v>
      </c>
      <c r="R192" s="124" t="s">
        <v>2302</v>
      </c>
      <c r="S192" s="124"/>
      <c r="T192" s="125">
        <v>101677915857</v>
      </c>
      <c r="U192" s="126" t="s">
        <v>2304</v>
      </c>
      <c r="V192" s="126" t="s">
        <v>2303</v>
      </c>
      <c r="W192" s="126" t="s">
        <v>2305</v>
      </c>
      <c r="X192" s="126" t="s">
        <v>2306</v>
      </c>
      <c r="Y192" s="167" t="s">
        <v>65</v>
      </c>
      <c r="Z192" s="126" t="s">
        <v>1873</v>
      </c>
      <c r="AA192" s="167" t="s">
        <v>2307</v>
      </c>
      <c r="AB192" s="167" t="s">
        <v>2307</v>
      </c>
      <c r="AC192" s="164" t="s">
        <v>2297</v>
      </c>
      <c r="AD192" s="140"/>
      <c r="AE192" s="126"/>
      <c r="AF192" s="126"/>
      <c r="AG192" s="168" t="s">
        <v>5393</v>
      </c>
      <c r="AH192" s="126"/>
      <c r="AI192" s="126"/>
      <c r="AJ192" s="127" t="s">
        <v>2301</v>
      </c>
      <c r="AK192" s="128"/>
      <c r="AL192" s="129"/>
      <c r="AM192" s="129"/>
    </row>
    <row r="193" spans="1:39" s="5" customFormat="1" ht="39.950000000000003" customHeight="1">
      <c r="A193" s="137">
        <f>SUBTOTAL(3,$B$3:B193)</f>
        <v>191</v>
      </c>
      <c r="B193" s="169" t="s">
        <v>3035</v>
      </c>
      <c r="C193" s="124" t="s">
        <v>3036</v>
      </c>
      <c r="D193" s="124" t="s">
        <v>3036</v>
      </c>
      <c r="E193" s="137" t="s">
        <v>136</v>
      </c>
      <c r="F193" s="137" t="s">
        <v>137</v>
      </c>
      <c r="G193" s="137" t="s">
        <v>2345</v>
      </c>
      <c r="H193" s="137" t="s">
        <v>1528</v>
      </c>
      <c r="I193" s="137" t="s">
        <v>40</v>
      </c>
      <c r="J193" s="166">
        <v>36707</v>
      </c>
      <c r="K193" s="137" t="s">
        <v>41</v>
      </c>
      <c r="L193" s="137" t="s">
        <v>42</v>
      </c>
      <c r="M193" s="124" t="s">
        <v>1044</v>
      </c>
      <c r="N193" s="166">
        <v>44866</v>
      </c>
      <c r="O193" s="124" t="s">
        <v>3037</v>
      </c>
      <c r="P193" s="137" t="s">
        <v>3048</v>
      </c>
      <c r="Q193" s="137" t="s">
        <v>3676</v>
      </c>
      <c r="R193" s="124" t="s">
        <v>3038</v>
      </c>
      <c r="S193" s="137">
        <v>28317</v>
      </c>
      <c r="T193" s="125">
        <v>101810409443</v>
      </c>
      <c r="U193" s="126" t="s">
        <v>3039</v>
      </c>
      <c r="V193" s="126">
        <v>3714248892</v>
      </c>
      <c r="W193" s="126" t="s">
        <v>3040</v>
      </c>
      <c r="X193" s="126" t="s">
        <v>3041</v>
      </c>
      <c r="Y193" s="167" t="s">
        <v>146</v>
      </c>
      <c r="Z193" s="126" t="s">
        <v>447</v>
      </c>
      <c r="AA193" s="167" t="s">
        <v>3042</v>
      </c>
      <c r="AB193" s="167" t="s">
        <v>3042</v>
      </c>
      <c r="AC193" s="164" t="s">
        <v>3035</v>
      </c>
      <c r="AD193" s="140"/>
      <c r="AE193" s="126"/>
      <c r="AF193" s="126"/>
      <c r="AG193" s="168" t="s">
        <v>5195</v>
      </c>
      <c r="AH193" s="126"/>
      <c r="AI193" s="126"/>
      <c r="AJ193" s="136">
        <v>36707</v>
      </c>
      <c r="AK193" s="138"/>
      <c r="AL193" s="139"/>
      <c r="AM193" s="139"/>
    </row>
    <row r="194" spans="1:39" ht="47.25" customHeight="1">
      <c r="A194" s="137">
        <f>SUBTOTAL(3,$B$3:B194)</f>
        <v>192</v>
      </c>
      <c r="B194" s="164" t="s">
        <v>1875</v>
      </c>
      <c r="C194" s="165" t="s">
        <v>1876</v>
      </c>
      <c r="D194" s="124" t="s">
        <v>1876</v>
      </c>
      <c r="E194" s="137" t="s">
        <v>1877</v>
      </c>
      <c r="F194" s="137" t="s">
        <v>1878</v>
      </c>
      <c r="G194" s="137" t="s">
        <v>2345</v>
      </c>
      <c r="H194" s="137" t="s">
        <v>1879</v>
      </c>
      <c r="I194" s="137" t="s">
        <v>40</v>
      </c>
      <c r="J194" s="166">
        <v>35873</v>
      </c>
      <c r="K194" s="137" t="s">
        <v>41</v>
      </c>
      <c r="L194" s="137" t="s">
        <v>42</v>
      </c>
      <c r="M194" s="124" t="s">
        <v>1880</v>
      </c>
      <c r="N194" s="166">
        <v>44866</v>
      </c>
      <c r="O194" s="124" t="s">
        <v>2981</v>
      </c>
      <c r="P194" s="137" t="s">
        <v>2347</v>
      </c>
      <c r="Q194" s="137" t="s">
        <v>3676</v>
      </c>
      <c r="R194" s="124" t="s">
        <v>1881</v>
      </c>
      <c r="S194" s="124">
        <f>VLOOKUP(B194,'[2]CL SAL SHEET'!$A$4:$D$57,4,0)</f>
        <v>28059</v>
      </c>
      <c r="T194" s="125">
        <v>101541307245</v>
      </c>
      <c r="U194" s="126" t="s">
        <v>1883</v>
      </c>
      <c r="V194" s="126" t="s">
        <v>1882</v>
      </c>
      <c r="W194" s="126" t="s">
        <v>1884</v>
      </c>
      <c r="X194" s="126" t="s">
        <v>1885</v>
      </c>
      <c r="Y194" s="167" t="s">
        <v>51</v>
      </c>
      <c r="Z194" s="126" t="s">
        <v>50</v>
      </c>
      <c r="AA194" s="167" t="s">
        <v>1886</v>
      </c>
      <c r="AB194" s="167" t="s">
        <v>1886</v>
      </c>
      <c r="AC194" s="164" t="s">
        <v>1875</v>
      </c>
      <c r="AD194" s="140"/>
      <c r="AE194" s="126"/>
      <c r="AF194" s="126"/>
      <c r="AG194" s="168" t="s">
        <v>5191</v>
      </c>
      <c r="AH194" s="126"/>
      <c r="AI194" s="126"/>
      <c r="AJ194" s="127">
        <v>35873</v>
      </c>
      <c r="AK194" s="128"/>
      <c r="AL194" s="129"/>
      <c r="AM194" s="129"/>
    </row>
    <row r="195" spans="1:39" ht="47.25" customHeight="1">
      <c r="A195" s="137">
        <f>SUBTOTAL(3,$B$3:B195)</f>
        <v>193</v>
      </c>
      <c r="B195" s="164" t="s">
        <v>1887</v>
      </c>
      <c r="C195" s="165" t="s">
        <v>1888</v>
      </c>
      <c r="D195" s="124" t="s">
        <v>1888</v>
      </c>
      <c r="E195" s="137" t="s">
        <v>1889</v>
      </c>
      <c r="F195" s="137" t="s">
        <v>1890</v>
      </c>
      <c r="G195" s="137" t="s">
        <v>2345</v>
      </c>
      <c r="H195" s="137" t="s">
        <v>711</v>
      </c>
      <c r="I195" s="137" t="s">
        <v>40</v>
      </c>
      <c r="J195" s="166">
        <v>35924</v>
      </c>
      <c r="K195" s="137" t="s">
        <v>41</v>
      </c>
      <c r="L195" s="137" t="s">
        <v>42</v>
      </c>
      <c r="M195" s="124" t="s">
        <v>1880</v>
      </c>
      <c r="N195" s="166">
        <v>44866</v>
      </c>
      <c r="O195" s="124" t="s">
        <v>2981</v>
      </c>
      <c r="P195" s="137" t="s">
        <v>2347</v>
      </c>
      <c r="Q195" s="137" t="s">
        <v>3676</v>
      </c>
      <c r="R195" s="124" t="s">
        <v>1891</v>
      </c>
      <c r="S195" s="124">
        <f>VLOOKUP(B195,'[2]CL SAL SHEET'!$A$4:$D$57,4,0)</f>
        <v>28313</v>
      </c>
      <c r="T195" s="125">
        <v>101545045157</v>
      </c>
      <c r="U195" s="126" t="s">
        <v>6531</v>
      </c>
      <c r="V195" s="126" t="s">
        <v>1892</v>
      </c>
      <c r="W195" s="126" t="s">
        <v>1893</v>
      </c>
      <c r="X195" s="126" t="s">
        <v>1894</v>
      </c>
      <c r="Y195" s="167" t="s">
        <v>51</v>
      </c>
      <c r="Z195" s="126" t="s">
        <v>50</v>
      </c>
      <c r="AA195" s="167" t="s">
        <v>1895</v>
      </c>
      <c r="AB195" s="167" t="s">
        <v>1895</v>
      </c>
      <c r="AC195" s="164" t="s">
        <v>1887</v>
      </c>
      <c r="AD195" s="140"/>
      <c r="AE195" s="126"/>
      <c r="AF195" s="126"/>
      <c r="AG195" s="168" t="s">
        <v>5189</v>
      </c>
      <c r="AH195" s="126"/>
      <c r="AI195" s="126"/>
      <c r="AJ195" s="127">
        <v>35924</v>
      </c>
      <c r="AK195" s="128"/>
      <c r="AL195" s="129"/>
      <c r="AM195" s="129"/>
    </row>
    <row r="196" spans="1:39" ht="47.25" customHeight="1">
      <c r="A196" s="137">
        <f>SUBTOTAL(3,$B$3:B196)</f>
        <v>194</v>
      </c>
      <c r="B196" s="164" t="s">
        <v>1896</v>
      </c>
      <c r="C196" s="165" t="s">
        <v>1897</v>
      </c>
      <c r="D196" s="124" t="s">
        <v>1897</v>
      </c>
      <c r="E196" s="137" t="s">
        <v>1877</v>
      </c>
      <c r="F196" s="137" t="s">
        <v>1898</v>
      </c>
      <c r="G196" s="137" t="s">
        <v>2345</v>
      </c>
      <c r="H196" s="137" t="s">
        <v>1899</v>
      </c>
      <c r="I196" s="137" t="s">
        <v>40</v>
      </c>
      <c r="J196" s="166">
        <v>36123</v>
      </c>
      <c r="K196" s="137" t="s">
        <v>41</v>
      </c>
      <c r="L196" s="137" t="s">
        <v>42</v>
      </c>
      <c r="M196" s="124" t="s">
        <v>1880</v>
      </c>
      <c r="N196" s="166">
        <v>44866</v>
      </c>
      <c r="O196" s="124" t="s">
        <v>2981</v>
      </c>
      <c r="P196" s="137" t="s">
        <v>2347</v>
      </c>
      <c r="Q196" s="137" t="s">
        <v>3676</v>
      </c>
      <c r="R196" s="124" t="s">
        <v>1900</v>
      </c>
      <c r="S196" s="124">
        <f>VLOOKUP(B196,'[2]CL SAL SHEET'!$A$4:$D$57,4,0)</f>
        <v>28033</v>
      </c>
      <c r="T196" s="125">
        <v>101545045249</v>
      </c>
      <c r="U196" s="126" t="s">
        <v>6532</v>
      </c>
      <c r="V196" s="126" t="s">
        <v>1901</v>
      </c>
      <c r="W196" s="126" t="s">
        <v>1902</v>
      </c>
      <c r="X196" s="126" t="s">
        <v>1903</v>
      </c>
      <c r="Y196" s="167" t="s">
        <v>65</v>
      </c>
      <c r="Z196" s="126" t="s">
        <v>1904</v>
      </c>
      <c r="AA196" s="167" t="s">
        <v>1905</v>
      </c>
      <c r="AB196" s="167" t="s">
        <v>1905</v>
      </c>
      <c r="AC196" s="164" t="s">
        <v>1896</v>
      </c>
      <c r="AD196" s="140"/>
      <c r="AE196" s="126"/>
      <c r="AF196" s="126"/>
      <c r="AG196" s="168" t="s">
        <v>5190</v>
      </c>
      <c r="AH196" s="126"/>
      <c r="AI196" s="126"/>
      <c r="AJ196" s="127">
        <v>36123</v>
      </c>
      <c r="AK196" s="128"/>
      <c r="AL196" s="129"/>
      <c r="AM196" s="129"/>
    </row>
    <row r="197" spans="1:39" ht="47.25" customHeight="1">
      <c r="A197" s="137">
        <f>SUBTOTAL(3,$B$3:B197)</f>
        <v>195</v>
      </c>
      <c r="B197" s="164" t="s">
        <v>1906</v>
      </c>
      <c r="C197" s="165" t="s">
        <v>1907</v>
      </c>
      <c r="D197" s="124" t="s">
        <v>1907</v>
      </c>
      <c r="E197" s="137" t="s">
        <v>1908</v>
      </c>
      <c r="F197" s="137" t="s">
        <v>1909</v>
      </c>
      <c r="G197" s="137" t="s">
        <v>2345</v>
      </c>
      <c r="H197" s="137" t="s">
        <v>381</v>
      </c>
      <c r="I197" s="137" t="s">
        <v>40</v>
      </c>
      <c r="J197" s="166">
        <v>35940</v>
      </c>
      <c r="K197" s="137" t="s">
        <v>41</v>
      </c>
      <c r="L197" s="137" t="s">
        <v>42</v>
      </c>
      <c r="M197" s="124" t="s">
        <v>1880</v>
      </c>
      <c r="N197" s="166">
        <v>44866</v>
      </c>
      <c r="O197" s="124" t="s">
        <v>2981</v>
      </c>
      <c r="P197" s="137" t="s">
        <v>2347</v>
      </c>
      <c r="Q197" s="137" t="s">
        <v>3676</v>
      </c>
      <c r="R197" s="124" t="s">
        <v>1910</v>
      </c>
      <c r="S197" s="124">
        <f>VLOOKUP(B197,'[2]CL SAL SHEET'!$A$4:$D$57,4,0)</f>
        <v>28228</v>
      </c>
      <c r="T197" s="125">
        <v>101568672211</v>
      </c>
      <c r="U197" s="126" t="s">
        <v>6533</v>
      </c>
      <c r="V197" s="126" t="s">
        <v>1911</v>
      </c>
      <c r="W197" s="126" t="s">
        <v>1912</v>
      </c>
      <c r="X197" s="126" t="s">
        <v>1913</v>
      </c>
      <c r="Y197" s="167" t="s">
        <v>65</v>
      </c>
      <c r="Z197" s="126" t="s">
        <v>1914</v>
      </c>
      <c r="AA197" s="167" t="s">
        <v>1915</v>
      </c>
      <c r="AB197" s="167" t="s">
        <v>1915</v>
      </c>
      <c r="AC197" s="164" t="s">
        <v>1906</v>
      </c>
      <c r="AD197" s="140"/>
      <c r="AE197" s="126"/>
      <c r="AF197" s="126"/>
      <c r="AG197" s="168" t="s">
        <v>5192</v>
      </c>
      <c r="AH197" s="126"/>
      <c r="AI197" s="126"/>
      <c r="AJ197" s="127">
        <v>35940</v>
      </c>
      <c r="AK197" s="128"/>
      <c r="AL197" s="129"/>
      <c r="AM197" s="129"/>
    </row>
    <row r="198" spans="1:39" ht="47.25" customHeight="1">
      <c r="A198" s="137">
        <f>SUBTOTAL(3,$B$3:B198)</f>
        <v>196</v>
      </c>
      <c r="B198" s="169" t="s">
        <v>1916</v>
      </c>
      <c r="C198" s="124" t="s">
        <v>1917</v>
      </c>
      <c r="D198" s="124" t="s">
        <v>1918</v>
      </c>
      <c r="E198" s="137" t="s">
        <v>1919</v>
      </c>
      <c r="F198" s="137" t="s">
        <v>1920</v>
      </c>
      <c r="G198" s="137" t="s">
        <v>2345</v>
      </c>
      <c r="H198" s="137" t="s">
        <v>927</v>
      </c>
      <c r="I198" s="137" t="s">
        <v>40</v>
      </c>
      <c r="J198" s="166">
        <v>36629</v>
      </c>
      <c r="K198" s="137" t="s">
        <v>41</v>
      </c>
      <c r="L198" s="137" t="s">
        <v>42</v>
      </c>
      <c r="M198" s="124" t="s">
        <v>1880</v>
      </c>
      <c r="N198" s="166">
        <v>44866</v>
      </c>
      <c r="O198" s="124" t="s">
        <v>2981</v>
      </c>
      <c r="P198" s="137" t="s">
        <v>2347</v>
      </c>
      <c r="Q198" s="137" t="s">
        <v>3676</v>
      </c>
      <c r="R198" s="124" t="s">
        <v>1921</v>
      </c>
      <c r="S198" s="124" t="e">
        <f>VLOOKUP(B198,'[2]CL SAL SHEET'!$A$4:$D$57,4,0)</f>
        <v>#N/A</v>
      </c>
      <c r="T198" s="125">
        <v>101783930263</v>
      </c>
      <c r="U198" s="126" t="s">
        <v>1923</v>
      </c>
      <c r="V198" s="126" t="s">
        <v>1922</v>
      </c>
      <c r="W198" s="126" t="s">
        <v>1924</v>
      </c>
      <c r="X198" s="126" t="s">
        <v>1925</v>
      </c>
      <c r="Y198" s="167" t="s">
        <v>65</v>
      </c>
      <c r="Z198" s="126" t="s">
        <v>1926</v>
      </c>
      <c r="AA198" s="167" t="s">
        <v>1927</v>
      </c>
      <c r="AB198" s="167" t="s">
        <v>1927</v>
      </c>
      <c r="AC198" s="164" t="s">
        <v>1916</v>
      </c>
      <c r="AD198" s="140"/>
      <c r="AE198" s="126"/>
      <c r="AF198" s="126"/>
      <c r="AG198" s="168" t="s">
        <v>5183</v>
      </c>
      <c r="AH198" s="126"/>
      <c r="AI198" s="126"/>
      <c r="AJ198" s="127">
        <v>36629</v>
      </c>
      <c r="AK198" s="128"/>
      <c r="AL198" s="129"/>
      <c r="AM198" s="129"/>
    </row>
    <row r="199" spans="1:39" ht="47.25" customHeight="1">
      <c r="A199" s="137">
        <f>SUBTOTAL(3,$B$3:B199)</f>
        <v>197</v>
      </c>
      <c r="B199" s="164" t="s">
        <v>1928</v>
      </c>
      <c r="C199" s="165" t="s">
        <v>1929</v>
      </c>
      <c r="D199" s="124" t="s">
        <v>1929</v>
      </c>
      <c r="E199" s="137" t="s">
        <v>1930</v>
      </c>
      <c r="F199" s="137" t="s">
        <v>1931</v>
      </c>
      <c r="G199" s="137" t="s">
        <v>2345</v>
      </c>
      <c r="H199" s="137" t="s">
        <v>441</v>
      </c>
      <c r="I199" s="137" t="s">
        <v>40</v>
      </c>
      <c r="J199" s="166">
        <v>35775</v>
      </c>
      <c r="K199" s="137" t="s">
        <v>41</v>
      </c>
      <c r="L199" s="137" t="s">
        <v>42</v>
      </c>
      <c r="M199" s="124" t="s">
        <v>1880</v>
      </c>
      <c r="N199" s="166">
        <v>44866</v>
      </c>
      <c r="O199" s="124" t="s">
        <v>2981</v>
      </c>
      <c r="P199" s="137" t="s">
        <v>2347</v>
      </c>
      <c r="Q199" s="137" t="s">
        <v>3676</v>
      </c>
      <c r="R199" s="124" t="s">
        <v>1932</v>
      </c>
      <c r="S199" s="124">
        <f>VLOOKUP(B199,'[2]CL SAL SHEET'!$A$4:$D$57,4,0)</f>
        <v>28229</v>
      </c>
      <c r="T199" s="125">
        <v>101523756419</v>
      </c>
      <c r="U199" s="126" t="s">
        <v>1934</v>
      </c>
      <c r="V199" s="126" t="s">
        <v>1933</v>
      </c>
      <c r="W199" s="126" t="s">
        <v>1935</v>
      </c>
      <c r="X199" s="126" t="s">
        <v>1936</v>
      </c>
      <c r="Y199" s="167" t="s">
        <v>3734</v>
      </c>
      <c r="Z199" s="126" t="s">
        <v>1937</v>
      </c>
      <c r="AA199" s="167" t="s">
        <v>1938</v>
      </c>
      <c r="AB199" s="167" t="s">
        <v>1938</v>
      </c>
      <c r="AC199" s="164" t="s">
        <v>1928</v>
      </c>
      <c r="AD199" s="140"/>
      <c r="AE199" s="126"/>
      <c r="AF199" s="126"/>
      <c r="AG199" s="168" t="s">
        <v>5154</v>
      </c>
      <c r="AH199" s="126"/>
      <c r="AI199" s="126"/>
      <c r="AJ199" s="127">
        <v>35775</v>
      </c>
      <c r="AK199" s="128"/>
      <c r="AL199" s="129"/>
      <c r="AM199" s="129"/>
    </row>
    <row r="200" spans="1:39" ht="47.25" customHeight="1">
      <c r="A200" s="137">
        <f>SUBTOTAL(3,$B$3:B200)</f>
        <v>198</v>
      </c>
      <c r="B200" s="164" t="s">
        <v>1939</v>
      </c>
      <c r="C200" s="165" t="s">
        <v>1940</v>
      </c>
      <c r="D200" s="124" t="s">
        <v>1940</v>
      </c>
      <c r="E200" s="137" t="s">
        <v>754</v>
      </c>
      <c r="F200" s="137" t="s">
        <v>1941</v>
      </c>
      <c r="G200" s="137" t="s">
        <v>2345</v>
      </c>
      <c r="H200" s="137" t="s">
        <v>927</v>
      </c>
      <c r="I200" s="137" t="s">
        <v>40</v>
      </c>
      <c r="J200" s="166">
        <v>35810</v>
      </c>
      <c r="K200" s="137" t="s">
        <v>41</v>
      </c>
      <c r="L200" s="137" t="s">
        <v>42</v>
      </c>
      <c r="M200" s="124" t="s">
        <v>1880</v>
      </c>
      <c r="N200" s="166">
        <v>44866</v>
      </c>
      <c r="O200" s="124" t="s">
        <v>2981</v>
      </c>
      <c r="P200" s="137" t="s">
        <v>2347</v>
      </c>
      <c r="Q200" s="137" t="s">
        <v>3676</v>
      </c>
      <c r="R200" s="124" t="s">
        <v>1942</v>
      </c>
      <c r="S200" s="124">
        <f>VLOOKUP(B200,'[2]CL SAL SHEET'!$A$4:$D$57,4,0)</f>
        <v>28060</v>
      </c>
      <c r="T200" s="125">
        <v>101573647954</v>
      </c>
      <c r="U200" s="126" t="s">
        <v>6530</v>
      </c>
      <c r="V200" s="126" t="s">
        <v>1943</v>
      </c>
      <c r="W200" s="126" t="s">
        <v>1944</v>
      </c>
      <c r="X200" s="126" t="s">
        <v>1945</v>
      </c>
      <c r="Y200" s="167" t="s">
        <v>1947</v>
      </c>
      <c r="Z200" s="126" t="s">
        <v>1946</v>
      </c>
      <c r="AA200" s="167" t="s">
        <v>1948</v>
      </c>
      <c r="AB200" s="167" t="s">
        <v>1948</v>
      </c>
      <c r="AC200" s="164" t="s">
        <v>1939</v>
      </c>
      <c r="AD200" s="140"/>
      <c r="AE200" s="126"/>
      <c r="AF200" s="126"/>
      <c r="AG200" s="168" t="s">
        <v>5184</v>
      </c>
      <c r="AH200" s="126"/>
      <c r="AI200" s="126"/>
      <c r="AJ200" s="127">
        <v>35810</v>
      </c>
      <c r="AK200" s="128"/>
      <c r="AL200" s="129"/>
      <c r="AM200" s="129"/>
    </row>
    <row r="201" spans="1:39" ht="47.25" customHeight="1">
      <c r="A201" s="137">
        <f>SUBTOTAL(3,$B$3:B201)</f>
        <v>199</v>
      </c>
      <c r="B201" s="164" t="s">
        <v>1949</v>
      </c>
      <c r="C201" s="165" t="s">
        <v>1950</v>
      </c>
      <c r="D201" s="124" t="s">
        <v>1950</v>
      </c>
      <c r="E201" s="137" t="s">
        <v>1930</v>
      </c>
      <c r="F201" s="137" t="s">
        <v>1951</v>
      </c>
      <c r="G201" s="137" t="s">
        <v>2345</v>
      </c>
      <c r="H201" s="137" t="s">
        <v>1952</v>
      </c>
      <c r="I201" s="137" t="s">
        <v>40</v>
      </c>
      <c r="J201" s="166">
        <v>36580</v>
      </c>
      <c r="K201" s="137" t="s">
        <v>41</v>
      </c>
      <c r="L201" s="137" t="s">
        <v>42</v>
      </c>
      <c r="M201" s="124" t="s">
        <v>1880</v>
      </c>
      <c r="N201" s="166">
        <v>44866</v>
      </c>
      <c r="O201" s="124" t="s">
        <v>2981</v>
      </c>
      <c r="P201" s="137" t="s">
        <v>2347</v>
      </c>
      <c r="Q201" s="137" t="s">
        <v>3676</v>
      </c>
      <c r="R201" s="124" t="s">
        <v>1953</v>
      </c>
      <c r="S201" s="124">
        <f>VLOOKUP(B201,'[2]CL SAL SHEET'!$A$4:$D$57,4,0)</f>
        <v>28253</v>
      </c>
      <c r="T201" s="125">
        <v>101753036565</v>
      </c>
      <c r="U201" s="126" t="s">
        <v>1095</v>
      </c>
      <c r="V201" s="126" t="s">
        <v>1954</v>
      </c>
      <c r="W201" s="126" t="s">
        <v>1955</v>
      </c>
      <c r="X201" s="126" t="s">
        <v>1956</v>
      </c>
      <c r="Y201" s="167" t="s">
        <v>146</v>
      </c>
      <c r="Z201" s="126" t="s">
        <v>1957</v>
      </c>
      <c r="AA201" s="167" t="s">
        <v>1958</v>
      </c>
      <c r="AB201" s="167" t="s">
        <v>1958</v>
      </c>
      <c r="AC201" s="164" t="s">
        <v>1949</v>
      </c>
      <c r="AD201" s="140"/>
      <c r="AE201" s="126"/>
      <c r="AF201" s="126"/>
      <c r="AG201" s="168" t="s">
        <v>5186</v>
      </c>
      <c r="AH201" s="126"/>
      <c r="AI201" s="126"/>
      <c r="AJ201" s="127">
        <v>36580</v>
      </c>
      <c r="AK201" s="128"/>
      <c r="AL201" s="129"/>
      <c r="AM201" s="129"/>
    </row>
    <row r="202" spans="1:39" ht="47.25" customHeight="1">
      <c r="A202" s="137">
        <f>SUBTOTAL(3,$B$3:B202)</f>
        <v>200</v>
      </c>
      <c r="B202" s="164" t="s">
        <v>1959</v>
      </c>
      <c r="C202" s="165" t="s">
        <v>7462</v>
      </c>
      <c r="D202" s="184" t="s">
        <v>7462</v>
      </c>
      <c r="E202" s="137" t="s">
        <v>1960</v>
      </c>
      <c r="F202" s="137" t="s">
        <v>3728</v>
      </c>
      <c r="G202" s="137" t="s">
        <v>2345</v>
      </c>
      <c r="H202" s="137" t="s">
        <v>1961</v>
      </c>
      <c r="I202" s="137" t="s">
        <v>40</v>
      </c>
      <c r="J202" s="166">
        <v>34988</v>
      </c>
      <c r="K202" s="137" t="s">
        <v>41</v>
      </c>
      <c r="L202" s="137" t="s">
        <v>42</v>
      </c>
      <c r="M202" s="124" t="s">
        <v>1880</v>
      </c>
      <c r="N202" s="166">
        <v>44866</v>
      </c>
      <c r="O202" s="124" t="s">
        <v>2981</v>
      </c>
      <c r="P202" s="137" t="s">
        <v>2347</v>
      </c>
      <c r="Q202" s="137" t="s">
        <v>3676</v>
      </c>
      <c r="R202" s="124" t="s">
        <v>1962</v>
      </c>
      <c r="S202" s="124">
        <f>VLOOKUP(B202,'[2]CL SAL SHEET'!$A$4:$D$57,4,0)</f>
        <v>28035</v>
      </c>
      <c r="T202" s="125">
        <v>101238512085</v>
      </c>
      <c r="U202" s="126" t="s">
        <v>1964</v>
      </c>
      <c r="V202" s="126" t="s">
        <v>1963</v>
      </c>
      <c r="W202" s="126" t="s">
        <v>1965</v>
      </c>
      <c r="X202" s="126" t="s">
        <v>1966</v>
      </c>
      <c r="Y202" s="167" t="s">
        <v>1289</v>
      </c>
      <c r="Z202" s="126" t="s">
        <v>1967</v>
      </c>
      <c r="AA202" s="167" t="s">
        <v>6528</v>
      </c>
      <c r="AB202" s="167" t="s">
        <v>6528</v>
      </c>
      <c r="AC202" s="164" t="s">
        <v>1959</v>
      </c>
      <c r="AD202" s="140"/>
      <c r="AE202" s="126"/>
      <c r="AF202" s="126"/>
      <c r="AG202" s="168" t="s">
        <v>5181</v>
      </c>
      <c r="AH202" s="126"/>
      <c r="AI202" s="126"/>
      <c r="AJ202" s="127">
        <v>34988</v>
      </c>
      <c r="AK202" s="128"/>
      <c r="AL202" s="129"/>
      <c r="AM202" s="129"/>
    </row>
    <row r="203" spans="1:39" ht="47.25" customHeight="1">
      <c r="A203" s="137">
        <f>SUBTOTAL(3,$B$3:B203)</f>
        <v>201</v>
      </c>
      <c r="B203" s="169" t="s">
        <v>1968</v>
      </c>
      <c r="C203" s="124" t="s">
        <v>1969</v>
      </c>
      <c r="D203" s="124" t="s">
        <v>1969</v>
      </c>
      <c r="E203" s="137" t="s">
        <v>1970</v>
      </c>
      <c r="F203" s="137" t="s">
        <v>1971</v>
      </c>
      <c r="G203" s="137" t="s">
        <v>2345</v>
      </c>
      <c r="H203" s="137" t="s">
        <v>417</v>
      </c>
      <c r="I203" s="137" t="s">
        <v>40</v>
      </c>
      <c r="J203" s="166">
        <v>36489</v>
      </c>
      <c r="K203" s="137" t="s">
        <v>41</v>
      </c>
      <c r="L203" s="137" t="s">
        <v>42</v>
      </c>
      <c r="M203" s="124" t="s">
        <v>1880</v>
      </c>
      <c r="N203" s="166">
        <v>44866</v>
      </c>
      <c r="O203" s="124" t="s">
        <v>2981</v>
      </c>
      <c r="P203" s="137" t="s">
        <v>2347</v>
      </c>
      <c r="Q203" s="137" t="s">
        <v>3676</v>
      </c>
      <c r="R203" s="124" t="s">
        <v>1972</v>
      </c>
      <c r="S203" s="124" t="e">
        <f>VLOOKUP(B203,'[2]CL SAL SHEET'!$A$4:$D$57,4,0)</f>
        <v>#N/A</v>
      </c>
      <c r="T203" s="125">
        <v>101772363406</v>
      </c>
      <c r="U203" s="126" t="s">
        <v>1974</v>
      </c>
      <c r="V203" s="126" t="s">
        <v>1973</v>
      </c>
      <c r="W203" s="126" t="s">
        <v>1975</v>
      </c>
      <c r="X203" s="126" t="s">
        <v>1976</v>
      </c>
      <c r="Y203" s="167" t="s">
        <v>1977</v>
      </c>
      <c r="Z203" s="126" t="s">
        <v>298</v>
      </c>
      <c r="AA203" s="167" t="s">
        <v>1978</v>
      </c>
      <c r="AB203" s="167" t="s">
        <v>1978</v>
      </c>
      <c r="AC203" s="164" t="s">
        <v>1968</v>
      </c>
      <c r="AD203" s="140"/>
      <c r="AE203" s="126"/>
      <c r="AF203" s="126"/>
      <c r="AG203" s="168" t="s">
        <v>5152</v>
      </c>
      <c r="AH203" s="126"/>
      <c r="AI203" s="126"/>
      <c r="AJ203" s="127">
        <v>36489</v>
      </c>
      <c r="AK203" s="128"/>
      <c r="AL203" s="129"/>
      <c r="AM203" s="129"/>
    </row>
    <row r="204" spans="1:39" ht="47.25" customHeight="1">
      <c r="A204" s="137">
        <f>SUBTOTAL(3,$B$3:B204)</f>
        <v>202</v>
      </c>
      <c r="B204" s="164" t="s">
        <v>1979</v>
      </c>
      <c r="C204" s="165" t="s">
        <v>3729</v>
      </c>
      <c r="D204" s="124" t="s">
        <v>3730</v>
      </c>
      <c r="E204" s="137" t="s">
        <v>1980</v>
      </c>
      <c r="F204" s="137" t="s">
        <v>3731</v>
      </c>
      <c r="G204" s="137" t="s">
        <v>2345</v>
      </c>
      <c r="H204" s="137" t="s">
        <v>1981</v>
      </c>
      <c r="I204" s="137" t="s">
        <v>40</v>
      </c>
      <c r="J204" s="166">
        <v>33178</v>
      </c>
      <c r="K204" s="137" t="s">
        <v>41</v>
      </c>
      <c r="L204" s="137" t="s">
        <v>42</v>
      </c>
      <c r="M204" s="124" t="s">
        <v>1880</v>
      </c>
      <c r="N204" s="166">
        <v>44866</v>
      </c>
      <c r="O204" s="124" t="s">
        <v>2981</v>
      </c>
      <c r="P204" s="137" t="s">
        <v>2347</v>
      </c>
      <c r="Q204" s="137" t="s">
        <v>3676</v>
      </c>
      <c r="R204" s="124" t="s">
        <v>1982</v>
      </c>
      <c r="S204" s="124">
        <f>VLOOKUP(B204,'[2]CL SAL SHEET'!$A$4:$D$57,4,0)</f>
        <v>28037</v>
      </c>
      <c r="T204" s="125">
        <v>101416179677</v>
      </c>
      <c r="U204" s="126" t="s">
        <v>1984</v>
      </c>
      <c r="V204" s="126" t="s">
        <v>1983</v>
      </c>
      <c r="W204" s="126" t="s">
        <v>1985</v>
      </c>
      <c r="X204" s="126" t="s">
        <v>1986</v>
      </c>
      <c r="Y204" s="167" t="s">
        <v>51</v>
      </c>
      <c r="Z204" s="126" t="s">
        <v>50</v>
      </c>
      <c r="AA204" s="167" t="s">
        <v>1987</v>
      </c>
      <c r="AB204" s="167" t="s">
        <v>1987</v>
      </c>
      <c r="AC204" s="164" t="s">
        <v>1979</v>
      </c>
      <c r="AD204" s="140"/>
      <c r="AE204" s="126"/>
      <c r="AF204" s="126"/>
      <c r="AG204" s="168" t="s">
        <v>5166</v>
      </c>
      <c r="AH204" s="126"/>
      <c r="AI204" s="126"/>
      <c r="AJ204" s="127">
        <v>33178</v>
      </c>
      <c r="AK204" s="128"/>
      <c r="AL204" s="129"/>
      <c r="AM204" s="129"/>
    </row>
    <row r="205" spans="1:39" ht="47.25" customHeight="1">
      <c r="A205" s="137">
        <f>SUBTOTAL(3,$B$3:B205)</f>
        <v>203</v>
      </c>
      <c r="B205" s="164" t="s">
        <v>1988</v>
      </c>
      <c r="C205" s="165" t="s">
        <v>1989</v>
      </c>
      <c r="D205" s="124" t="s">
        <v>1989</v>
      </c>
      <c r="E205" s="137" t="s">
        <v>1990</v>
      </c>
      <c r="F205" s="137" t="s">
        <v>1866</v>
      </c>
      <c r="G205" s="137" t="s">
        <v>2345</v>
      </c>
      <c r="H205" s="137" t="s">
        <v>1991</v>
      </c>
      <c r="I205" s="137" t="s">
        <v>40</v>
      </c>
      <c r="J205" s="166">
        <v>36570</v>
      </c>
      <c r="K205" s="137" t="s">
        <v>41</v>
      </c>
      <c r="L205" s="137" t="s">
        <v>42</v>
      </c>
      <c r="M205" s="183" t="s">
        <v>1992</v>
      </c>
      <c r="N205" s="166">
        <v>44866</v>
      </c>
      <c r="O205" s="124" t="s">
        <v>2981</v>
      </c>
      <c r="P205" s="137" t="s">
        <v>2347</v>
      </c>
      <c r="Q205" s="137" t="s">
        <v>3676</v>
      </c>
      <c r="R205" s="124" t="s">
        <v>1993</v>
      </c>
      <c r="S205" s="124">
        <f>VLOOKUP(B205,'[2]CL SAL SHEET'!$A$4:$D$57,4,0)</f>
        <v>28254</v>
      </c>
      <c r="T205" s="125">
        <v>101753281115</v>
      </c>
      <c r="U205" s="126" t="s">
        <v>6529</v>
      </c>
      <c r="V205" s="126">
        <v>3714195158</v>
      </c>
      <c r="W205" s="126" t="s">
        <v>1994</v>
      </c>
      <c r="X205" s="126" t="s">
        <v>1995</v>
      </c>
      <c r="Y205" s="167" t="s">
        <v>146</v>
      </c>
      <c r="Z205" s="126" t="s">
        <v>1996</v>
      </c>
      <c r="AA205" s="167" t="s">
        <v>1997</v>
      </c>
      <c r="AB205" s="167" t="s">
        <v>1997</v>
      </c>
      <c r="AC205" s="164" t="s">
        <v>1988</v>
      </c>
      <c r="AD205" s="140"/>
      <c r="AE205" s="126"/>
      <c r="AF205" s="126"/>
      <c r="AG205" s="168" t="s">
        <v>5182</v>
      </c>
      <c r="AH205" s="126"/>
      <c r="AI205" s="126"/>
      <c r="AJ205" s="127">
        <v>36570</v>
      </c>
      <c r="AK205" s="128"/>
      <c r="AL205" s="129"/>
      <c r="AM205" s="129"/>
    </row>
    <row r="206" spans="1:39" ht="47.25" customHeight="1">
      <c r="A206" s="137">
        <f>SUBTOTAL(3,$B$3:B206)</f>
        <v>204</v>
      </c>
      <c r="B206" s="164" t="s">
        <v>1998</v>
      </c>
      <c r="C206" s="165" t="s">
        <v>1999</v>
      </c>
      <c r="D206" s="124" t="s">
        <v>2000</v>
      </c>
      <c r="E206" s="137" t="s">
        <v>2001</v>
      </c>
      <c r="F206" s="137" t="s">
        <v>2002</v>
      </c>
      <c r="G206" s="137" t="s">
        <v>2345</v>
      </c>
      <c r="H206" s="137" t="s">
        <v>2003</v>
      </c>
      <c r="I206" s="137" t="s">
        <v>40</v>
      </c>
      <c r="J206" s="166">
        <v>36018</v>
      </c>
      <c r="K206" s="137" t="s">
        <v>41</v>
      </c>
      <c r="L206" s="137" t="s">
        <v>42</v>
      </c>
      <c r="M206" s="124" t="s">
        <v>1880</v>
      </c>
      <c r="N206" s="166">
        <v>44866</v>
      </c>
      <c r="O206" s="124" t="s">
        <v>2981</v>
      </c>
      <c r="P206" s="137" t="s">
        <v>2347</v>
      </c>
      <c r="Q206" s="137" t="s">
        <v>3676</v>
      </c>
      <c r="R206" s="124">
        <v>7778045656</v>
      </c>
      <c r="S206" s="124">
        <f>VLOOKUP(B206,'[2]CL SAL SHEET'!$A$4:$D$57,4,0)</f>
        <v>28061</v>
      </c>
      <c r="T206" s="125">
        <v>101545045220</v>
      </c>
      <c r="U206" s="126" t="s">
        <v>2005</v>
      </c>
      <c r="V206" s="126" t="s">
        <v>2004</v>
      </c>
      <c r="W206" s="126" t="s">
        <v>2006</v>
      </c>
      <c r="X206" s="126" t="s">
        <v>2007</v>
      </c>
      <c r="Y206" s="167" t="s">
        <v>132</v>
      </c>
      <c r="Z206" s="126" t="s">
        <v>2008</v>
      </c>
      <c r="AA206" s="167" t="s">
        <v>2009</v>
      </c>
      <c r="AB206" s="167" t="s">
        <v>2009</v>
      </c>
      <c r="AC206" s="164" t="s">
        <v>1998</v>
      </c>
      <c r="AD206" s="140"/>
      <c r="AE206" s="126"/>
      <c r="AF206" s="126"/>
      <c r="AG206" s="168" t="s">
        <v>5187</v>
      </c>
      <c r="AH206" s="126"/>
      <c r="AI206" s="126"/>
      <c r="AJ206" s="127">
        <v>36018</v>
      </c>
      <c r="AK206" s="128"/>
      <c r="AL206" s="129"/>
      <c r="AM206" s="129"/>
    </row>
    <row r="207" spans="1:39" ht="47.25" customHeight="1">
      <c r="A207" s="137">
        <f>SUBTOTAL(3,$B$3:B207)</f>
        <v>205</v>
      </c>
      <c r="B207" s="164" t="s">
        <v>2010</v>
      </c>
      <c r="C207" s="165" t="s">
        <v>2011</v>
      </c>
      <c r="D207" s="124" t="s">
        <v>2012</v>
      </c>
      <c r="E207" s="137" t="s">
        <v>2013</v>
      </c>
      <c r="F207" s="137" t="s">
        <v>2014</v>
      </c>
      <c r="G207" s="137" t="s">
        <v>2345</v>
      </c>
      <c r="H207" s="137" t="s">
        <v>2015</v>
      </c>
      <c r="I207" s="137" t="s">
        <v>40</v>
      </c>
      <c r="J207" s="166">
        <v>36014</v>
      </c>
      <c r="K207" s="137" t="s">
        <v>41</v>
      </c>
      <c r="L207" s="137" t="s">
        <v>42</v>
      </c>
      <c r="M207" s="124" t="s">
        <v>1880</v>
      </c>
      <c r="N207" s="166">
        <v>44866</v>
      </c>
      <c r="O207" s="124" t="s">
        <v>2981</v>
      </c>
      <c r="P207" s="137" t="s">
        <v>2347</v>
      </c>
      <c r="Q207" s="137" t="s">
        <v>3676</v>
      </c>
      <c r="R207" s="124" t="s">
        <v>2016</v>
      </c>
      <c r="S207" s="124">
        <f>VLOOKUP(B207,'[2]CL SAL SHEET'!$A$4:$D$57,4,0)</f>
        <v>28036</v>
      </c>
      <c r="T207" s="125">
        <v>101513957672</v>
      </c>
      <c r="U207" s="126" t="s">
        <v>2018</v>
      </c>
      <c r="V207" s="126" t="s">
        <v>2017</v>
      </c>
      <c r="W207" s="126" t="s">
        <v>2019</v>
      </c>
      <c r="X207" s="126" t="s">
        <v>2020</v>
      </c>
      <c r="Y207" s="167" t="s">
        <v>271</v>
      </c>
      <c r="Z207" s="126" t="s">
        <v>2021</v>
      </c>
      <c r="AA207" s="167" t="s">
        <v>2022</v>
      </c>
      <c r="AB207" s="167" t="s">
        <v>2022</v>
      </c>
      <c r="AC207" s="164" t="s">
        <v>2010</v>
      </c>
      <c r="AD207" s="140"/>
      <c r="AE207" s="126"/>
      <c r="AF207" s="126"/>
      <c r="AG207" s="168" t="s">
        <v>5581</v>
      </c>
      <c r="AH207" s="126"/>
      <c r="AI207" s="126"/>
      <c r="AJ207" s="127">
        <v>36014</v>
      </c>
      <c r="AK207" s="128"/>
      <c r="AL207" s="129"/>
      <c r="AM207" s="129"/>
    </row>
    <row r="208" spans="1:39" ht="47.25" customHeight="1">
      <c r="A208" s="137">
        <f>SUBTOTAL(3,$B$3:B208)</f>
        <v>206</v>
      </c>
      <c r="B208" s="164" t="s">
        <v>2023</v>
      </c>
      <c r="C208" s="165" t="s">
        <v>2024</v>
      </c>
      <c r="D208" s="124" t="s">
        <v>2024</v>
      </c>
      <c r="E208" s="137" t="s">
        <v>2025</v>
      </c>
      <c r="F208" s="137" t="s">
        <v>2026</v>
      </c>
      <c r="G208" s="137" t="s">
        <v>2389</v>
      </c>
      <c r="H208" s="137" t="s">
        <v>2027</v>
      </c>
      <c r="I208" s="137" t="s">
        <v>40</v>
      </c>
      <c r="J208" s="166">
        <v>33225</v>
      </c>
      <c r="K208" s="137" t="s">
        <v>41</v>
      </c>
      <c r="L208" s="137" t="s">
        <v>42</v>
      </c>
      <c r="M208" s="124" t="s">
        <v>1880</v>
      </c>
      <c r="N208" s="166">
        <v>44866</v>
      </c>
      <c r="O208" s="124" t="s">
        <v>2981</v>
      </c>
      <c r="P208" s="137" t="s">
        <v>2347</v>
      </c>
      <c r="Q208" s="137" t="s">
        <v>3676</v>
      </c>
      <c r="R208" s="124" t="s">
        <v>2028</v>
      </c>
      <c r="S208" s="124">
        <f>VLOOKUP(B208,'[2]CL SAL SHEET'!$A$4:$D$57,4,0)</f>
        <v>28284</v>
      </c>
      <c r="T208" s="125">
        <v>101240028395</v>
      </c>
      <c r="U208" s="126" t="s">
        <v>6535</v>
      </c>
      <c r="V208" s="126" t="s">
        <v>2029</v>
      </c>
      <c r="W208" s="126" t="s">
        <v>2030</v>
      </c>
      <c r="X208" s="126" t="s">
        <v>2031</v>
      </c>
      <c r="Y208" s="167" t="s">
        <v>51</v>
      </c>
      <c r="Z208" s="126" t="s">
        <v>50</v>
      </c>
      <c r="AA208" s="167" t="s">
        <v>2032</v>
      </c>
      <c r="AB208" s="167" t="s">
        <v>2032</v>
      </c>
      <c r="AC208" s="164" t="s">
        <v>2023</v>
      </c>
      <c r="AD208" s="140"/>
      <c r="AE208" s="126"/>
      <c r="AF208" s="126"/>
      <c r="AG208" s="168" t="s">
        <v>5196</v>
      </c>
      <c r="AH208" s="126"/>
      <c r="AI208" s="126"/>
      <c r="AJ208" s="127">
        <v>33225</v>
      </c>
      <c r="AK208" s="128"/>
      <c r="AL208" s="129"/>
      <c r="AM208" s="129"/>
    </row>
    <row r="209" spans="1:39" ht="47.25" customHeight="1">
      <c r="A209" s="137">
        <f>SUBTOTAL(3,$B$3:B209)</f>
        <v>207</v>
      </c>
      <c r="B209" s="164" t="s">
        <v>2033</v>
      </c>
      <c r="C209" s="165" t="s">
        <v>2034</v>
      </c>
      <c r="D209" s="124" t="s">
        <v>2035</v>
      </c>
      <c r="E209" s="137" t="s">
        <v>754</v>
      </c>
      <c r="F209" s="137" t="s">
        <v>2036</v>
      </c>
      <c r="G209" s="137" t="s">
        <v>3673</v>
      </c>
      <c r="H209" s="137" t="s">
        <v>558</v>
      </c>
      <c r="I209" s="137" t="s">
        <v>702</v>
      </c>
      <c r="J209" s="166">
        <v>34827</v>
      </c>
      <c r="K209" s="137" t="s">
        <v>280</v>
      </c>
      <c r="L209" s="137" t="s">
        <v>42</v>
      </c>
      <c r="M209" s="124" t="s">
        <v>1880</v>
      </c>
      <c r="N209" s="166">
        <v>44866</v>
      </c>
      <c r="O209" s="124" t="s">
        <v>2981</v>
      </c>
      <c r="P209" s="137" t="s">
        <v>2347</v>
      </c>
      <c r="Q209" s="137" t="s">
        <v>3676</v>
      </c>
      <c r="R209" s="124" t="s">
        <v>2037</v>
      </c>
      <c r="S209" s="124">
        <f>VLOOKUP(B209,'[2]CL SAL SHEET'!$A$4:$D$57,4,0)</f>
        <v>28323</v>
      </c>
      <c r="T209" s="125">
        <v>101027277785</v>
      </c>
      <c r="U209" s="126" t="s">
        <v>1108</v>
      </c>
      <c r="V209" s="126">
        <v>3714195170</v>
      </c>
      <c r="W209" s="126" t="s">
        <v>2038</v>
      </c>
      <c r="X209" s="126" t="s">
        <v>2039</v>
      </c>
      <c r="Y209" s="167" t="s">
        <v>51</v>
      </c>
      <c r="Z209" s="126" t="s">
        <v>50</v>
      </c>
      <c r="AA209" s="167" t="s">
        <v>2040</v>
      </c>
      <c r="AB209" s="167" t="s">
        <v>2040</v>
      </c>
      <c r="AC209" s="164" t="s">
        <v>2033</v>
      </c>
      <c r="AD209" s="140"/>
      <c r="AE209" s="126"/>
      <c r="AF209" s="126"/>
      <c r="AG209" s="168" t="s">
        <v>5197</v>
      </c>
      <c r="AH209" s="126"/>
      <c r="AI209" s="126"/>
      <c r="AJ209" s="127">
        <v>34827</v>
      </c>
      <c r="AK209" s="128"/>
      <c r="AL209" s="129"/>
      <c r="AM209" s="129"/>
    </row>
    <row r="210" spans="1:39" ht="47.25" customHeight="1">
      <c r="A210" s="137">
        <f>SUBTOTAL(3,$B$3:B210)</f>
        <v>208</v>
      </c>
      <c r="B210" s="164" t="s">
        <v>2041</v>
      </c>
      <c r="C210" s="165" t="s">
        <v>2042</v>
      </c>
      <c r="D210" s="124" t="s">
        <v>2042</v>
      </c>
      <c r="E210" s="137" t="s">
        <v>2043</v>
      </c>
      <c r="F210" s="137" t="s">
        <v>2044</v>
      </c>
      <c r="G210" s="137" t="s">
        <v>2389</v>
      </c>
      <c r="H210" s="137" t="s">
        <v>441</v>
      </c>
      <c r="I210" s="137" t="s">
        <v>40</v>
      </c>
      <c r="J210" s="166">
        <v>36666</v>
      </c>
      <c r="K210" s="137" t="s">
        <v>41</v>
      </c>
      <c r="L210" s="137" t="s">
        <v>42</v>
      </c>
      <c r="M210" s="124" t="s">
        <v>1880</v>
      </c>
      <c r="N210" s="166">
        <v>44866</v>
      </c>
      <c r="O210" s="124" t="s">
        <v>2981</v>
      </c>
      <c r="P210" s="137" t="s">
        <v>2347</v>
      </c>
      <c r="Q210" s="137" t="s">
        <v>3676</v>
      </c>
      <c r="R210" s="124" t="s">
        <v>2045</v>
      </c>
      <c r="S210" s="124">
        <f>VLOOKUP(B210,'[2]CL SAL SHEET'!$A$4:$D$57,4,0)</f>
        <v>28320</v>
      </c>
      <c r="T210" s="125">
        <v>101805009129</v>
      </c>
      <c r="U210" s="126" t="s">
        <v>1117</v>
      </c>
      <c r="V210" s="126">
        <v>3714195193</v>
      </c>
      <c r="W210" s="126" t="s">
        <v>2046</v>
      </c>
      <c r="X210" s="126" t="s">
        <v>2047</v>
      </c>
      <c r="Y210" s="167" t="s">
        <v>132</v>
      </c>
      <c r="Z210" s="126" t="s">
        <v>2048</v>
      </c>
      <c r="AA210" s="167" t="s">
        <v>2049</v>
      </c>
      <c r="AB210" s="167" t="s">
        <v>2049</v>
      </c>
      <c r="AC210" s="164" t="s">
        <v>2041</v>
      </c>
      <c r="AD210" s="140"/>
      <c r="AE210" s="126"/>
      <c r="AF210" s="126"/>
      <c r="AG210" s="168" t="s">
        <v>5198</v>
      </c>
      <c r="AH210" s="126"/>
      <c r="AI210" s="126"/>
      <c r="AJ210" s="127">
        <v>36666</v>
      </c>
      <c r="AK210" s="128"/>
      <c r="AL210" s="129"/>
      <c r="AM210" s="129"/>
    </row>
    <row r="211" spans="1:39" ht="47.25" customHeight="1">
      <c r="A211" s="137">
        <f>SUBTOTAL(3,$B$3:B211)</f>
        <v>209</v>
      </c>
      <c r="B211" s="164" t="s">
        <v>2050</v>
      </c>
      <c r="C211" s="165" t="s">
        <v>2051</v>
      </c>
      <c r="D211" s="124" t="s">
        <v>2051</v>
      </c>
      <c r="E211" s="137" t="s">
        <v>2052</v>
      </c>
      <c r="F211" s="137" t="s">
        <v>2053</v>
      </c>
      <c r="G211" s="137" t="s">
        <v>2345</v>
      </c>
      <c r="H211" s="137" t="s">
        <v>2054</v>
      </c>
      <c r="I211" s="137" t="s">
        <v>40</v>
      </c>
      <c r="J211" s="166">
        <v>33570</v>
      </c>
      <c r="K211" s="137" t="s">
        <v>41</v>
      </c>
      <c r="L211" s="137" t="s">
        <v>42</v>
      </c>
      <c r="M211" s="183" t="s">
        <v>2055</v>
      </c>
      <c r="N211" s="166">
        <v>44866</v>
      </c>
      <c r="O211" s="124" t="s">
        <v>2981</v>
      </c>
      <c r="P211" s="137" t="s">
        <v>2347</v>
      </c>
      <c r="Q211" s="137" t="s">
        <v>3676</v>
      </c>
      <c r="R211" s="124" t="s">
        <v>2056</v>
      </c>
      <c r="S211" s="124">
        <f>VLOOKUP(B211,'[2]CL SAL SHEET'!$A$4:$D$57,4,0)</f>
        <v>28255</v>
      </c>
      <c r="T211" s="125">
        <v>101326833245</v>
      </c>
      <c r="U211" s="126" t="s">
        <v>2058</v>
      </c>
      <c r="V211" s="126" t="s">
        <v>2057</v>
      </c>
      <c r="W211" s="126" t="s">
        <v>2059</v>
      </c>
      <c r="X211" s="126" t="s">
        <v>3678</v>
      </c>
      <c r="Y211" s="167" t="s">
        <v>51</v>
      </c>
      <c r="Z211" s="126" t="s">
        <v>50</v>
      </c>
      <c r="AA211" s="167" t="s">
        <v>2060</v>
      </c>
      <c r="AB211" s="167" t="s">
        <v>2060</v>
      </c>
      <c r="AC211" s="164" t="s">
        <v>2050</v>
      </c>
      <c r="AD211" s="140"/>
      <c r="AE211" s="126"/>
      <c r="AF211" s="126"/>
      <c r="AG211" s="168" t="s">
        <v>5199</v>
      </c>
      <c r="AH211" s="126"/>
      <c r="AI211" s="126"/>
      <c r="AJ211" s="127">
        <v>33570</v>
      </c>
      <c r="AK211" s="128"/>
      <c r="AL211" s="129"/>
      <c r="AM211" s="129"/>
    </row>
    <row r="212" spans="1:39" ht="47.25" customHeight="1">
      <c r="A212" s="137">
        <f>SUBTOTAL(3,$B$3:B212)</f>
        <v>210</v>
      </c>
      <c r="B212" s="164" t="s">
        <v>2061</v>
      </c>
      <c r="C212" s="165" t="s">
        <v>2062</v>
      </c>
      <c r="D212" s="124" t="s">
        <v>2062</v>
      </c>
      <c r="E212" s="137" t="s">
        <v>2063</v>
      </c>
      <c r="F212" s="137" t="s">
        <v>2064</v>
      </c>
      <c r="G212" s="137" t="s">
        <v>2345</v>
      </c>
      <c r="H212" s="137" t="s">
        <v>2065</v>
      </c>
      <c r="I212" s="137" t="s">
        <v>40</v>
      </c>
      <c r="J212" s="166">
        <v>36433</v>
      </c>
      <c r="K212" s="137" t="s">
        <v>41</v>
      </c>
      <c r="L212" s="137" t="s">
        <v>42</v>
      </c>
      <c r="M212" s="183" t="s">
        <v>2066</v>
      </c>
      <c r="N212" s="166">
        <v>44866</v>
      </c>
      <c r="O212" s="124" t="s">
        <v>2981</v>
      </c>
      <c r="P212" s="137" t="s">
        <v>2347</v>
      </c>
      <c r="Q212" s="137" t="s">
        <v>3676</v>
      </c>
      <c r="R212" s="124" t="s">
        <v>2067</v>
      </c>
      <c r="S212" s="124">
        <f>VLOOKUP(B212,'[2]CL SAL SHEET'!$A$4:$D$57,4,0)</f>
        <v>28333</v>
      </c>
      <c r="T212" s="125">
        <v>101774669310</v>
      </c>
      <c r="U212" s="126" t="s">
        <v>6534</v>
      </c>
      <c r="V212" s="126" t="s">
        <v>2068</v>
      </c>
      <c r="W212" s="126" t="s">
        <v>2069</v>
      </c>
      <c r="X212" s="126" t="s">
        <v>2070</v>
      </c>
      <c r="Y212" s="167" t="s">
        <v>65</v>
      </c>
      <c r="Z212" s="126" t="s">
        <v>2071</v>
      </c>
      <c r="AA212" s="167" t="s">
        <v>2072</v>
      </c>
      <c r="AB212" s="167" t="s">
        <v>2072</v>
      </c>
      <c r="AC212" s="164" t="s">
        <v>2061</v>
      </c>
      <c r="AD212" s="140"/>
      <c r="AE212" s="126"/>
      <c r="AF212" s="126"/>
      <c r="AG212" s="168" t="s">
        <v>5194</v>
      </c>
      <c r="AH212" s="126"/>
      <c r="AI212" s="126"/>
      <c r="AJ212" s="127">
        <v>36433</v>
      </c>
      <c r="AK212" s="128"/>
      <c r="AL212" s="129"/>
      <c r="AM212" s="129"/>
    </row>
    <row r="213" spans="1:39" ht="47.25" customHeight="1">
      <c r="A213" s="137">
        <f>SUBTOTAL(3,$B$3:B213)</f>
        <v>211</v>
      </c>
      <c r="B213" s="164" t="s">
        <v>2073</v>
      </c>
      <c r="C213" s="165" t="s">
        <v>2074</v>
      </c>
      <c r="D213" s="124" t="s">
        <v>2074</v>
      </c>
      <c r="E213" s="137" t="s">
        <v>136</v>
      </c>
      <c r="F213" s="137" t="s">
        <v>2075</v>
      </c>
      <c r="G213" s="137" t="s">
        <v>2345</v>
      </c>
      <c r="H213" s="137" t="s">
        <v>2076</v>
      </c>
      <c r="I213" s="137" t="s">
        <v>40</v>
      </c>
      <c r="J213" s="166">
        <v>34486</v>
      </c>
      <c r="K213" s="137" t="s">
        <v>41</v>
      </c>
      <c r="L213" s="137" t="s">
        <v>42</v>
      </c>
      <c r="M213" s="124" t="s">
        <v>1880</v>
      </c>
      <c r="N213" s="166">
        <v>44866</v>
      </c>
      <c r="O213" s="124" t="s">
        <v>2981</v>
      </c>
      <c r="P213" s="137" t="s">
        <v>2347</v>
      </c>
      <c r="Q213" s="137" t="s">
        <v>3676</v>
      </c>
      <c r="R213" s="124">
        <v>9727271155</v>
      </c>
      <c r="S213" s="124">
        <f>VLOOKUP(B213,'[2]CL SAL SHEET'!$A$4:$D$57,4,0)</f>
        <v>28038</v>
      </c>
      <c r="T213" s="125">
        <v>101204332229</v>
      </c>
      <c r="U213" s="126" t="s">
        <v>2078</v>
      </c>
      <c r="V213" s="126" t="s">
        <v>2077</v>
      </c>
      <c r="W213" s="126" t="s">
        <v>2079</v>
      </c>
      <c r="X213" s="126" t="s">
        <v>2080</v>
      </c>
      <c r="Y213" s="167" t="s">
        <v>65</v>
      </c>
      <c r="Z213" s="126" t="s">
        <v>2081</v>
      </c>
      <c r="AA213" s="167" t="s">
        <v>2082</v>
      </c>
      <c r="AB213" s="167" t="s">
        <v>2082</v>
      </c>
      <c r="AC213" s="164" t="s">
        <v>2073</v>
      </c>
      <c r="AD213" s="140"/>
      <c r="AE213" s="126"/>
      <c r="AF213" s="126"/>
      <c r="AG213" s="168" t="s">
        <v>5156</v>
      </c>
      <c r="AH213" s="126"/>
      <c r="AI213" s="126"/>
      <c r="AJ213" s="127">
        <v>34486</v>
      </c>
      <c r="AK213" s="128"/>
      <c r="AL213" s="129"/>
      <c r="AM213" s="129"/>
    </row>
    <row r="214" spans="1:39" ht="47.25" customHeight="1">
      <c r="A214" s="137">
        <f>SUBTOTAL(3,$B$3:B214)</f>
        <v>212</v>
      </c>
      <c r="B214" s="169" t="s">
        <v>2083</v>
      </c>
      <c r="C214" s="124" t="s">
        <v>2084</v>
      </c>
      <c r="D214" s="124" t="s">
        <v>2084</v>
      </c>
      <c r="E214" s="137" t="s">
        <v>2085</v>
      </c>
      <c r="F214" s="137" t="s">
        <v>2086</v>
      </c>
      <c r="G214" s="137" t="s">
        <v>2345</v>
      </c>
      <c r="H214" s="137" t="s">
        <v>2087</v>
      </c>
      <c r="I214" s="137" t="s">
        <v>40</v>
      </c>
      <c r="J214" s="166">
        <v>36566</v>
      </c>
      <c r="K214" s="137" t="s">
        <v>41</v>
      </c>
      <c r="L214" s="137" t="s">
        <v>42</v>
      </c>
      <c r="M214" s="124" t="s">
        <v>1880</v>
      </c>
      <c r="N214" s="166">
        <v>44866</v>
      </c>
      <c r="O214" s="124" t="s">
        <v>2981</v>
      </c>
      <c r="P214" s="137" t="s">
        <v>2347</v>
      </c>
      <c r="Q214" s="137" t="s">
        <v>3676</v>
      </c>
      <c r="R214" s="124" t="s">
        <v>2088</v>
      </c>
      <c r="S214" s="124" t="e">
        <f>VLOOKUP(B214,'[2]CL SAL SHEET'!$A$4:$D$57,4,0)</f>
        <v>#N/A</v>
      </c>
      <c r="T214" s="125">
        <v>101791710549</v>
      </c>
      <c r="U214" s="126" t="s">
        <v>2089</v>
      </c>
      <c r="V214" s="126">
        <v>3714195236</v>
      </c>
      <c r="W214" s="126" t="s">
        <v>2090</v>
      </c>
      <c r="X214" s="126" t="s">
        <v>2091</v>
      </c>
      <c r="Y214" s="167" t="s">
        <v>65</v>
      </c>
      <c r="Z214" s="126" t="s">
        <v>2092</v>
      </c>
      <c r="AA214" s="167" t="s">
        <v>2093</v>
      </c>
      <c r="AB214" s="167" t="s">
        <v>2093</v>
      </c>
      <c r="AC214" s="164" t="s">
        <v>2083</v>
      </c>
      <c r="AD214" s="140"/>
      <c r="AE214" s="126"/>
      <c r="AF214" s="126"/>
      <c r="AG214" s="168" t="s">
        <v>5150</v>
      </c>
      <c r="AH214" s="126"/>
      <c r="AI214" s="126"/>
      <c r="AJ214" s="127">
        <v>36566</v>
      </c>
      <c r="AK214" s="128"/>
      <c r="AL214" s="129"/>
      <c r="AM214" s="129"/>
    </row>
    <row r="215" spans="1:39" ht="47.25" customHeight="1">
      <c r="A215" s="137">
        <f>SUBTOTAL(3,$B$3:B215)</f>
        <v>213</v>
      </c>
      <c r="B215" s="169" t="s">
        <v>2094</v>
      </c>
      <c r="C215" s="124" t="s">
        <v>2095</v>
      </c>
      <c r="D215" s="124" t="s">
        <v>2096</v>
      </c>
      <c r="E215" s="137" t="s">
        <v>2097</v>
      </c>
      <c r="F215" s="137" t="s">
        <v>2098</v>
      </c>
      <c r="G215" s="137" t="s">
        <v>2345</v>
      </c>
      <c r="H215" s="137" t="s">
        <v>2099</v>
      </c>
      <c r="I215" s="137" t="s">
        <v>40</v>
      </c>
      <c r="J215" s="166">
        <v>35457</v>
      </c>
      <c r="K215" s="137" t="s">
        <v>41</v>
      </c>
      <c r="L215" s="137" t="s">
        <v>42</v>
      </c>
      <c r="M215" s="183" t="s">
        <v>1992</v>
      </c>
      <c r="N215" s="166">
        <v>44866</v>
      </c>
      <c r="O215" s="124" t="s">
        <v>2981</v>
      </c>
      <c r="P215" s="137" t="s">
        <v>2347</v>
      </c>
      <c r="Q215" s="137" t="s">
        <v>3676</v>
      </c>
      <c r="R215" s="124" t="s">
        <v>2100</v>
      </c>
      <c r="S215" s="124" t="e">
        <f>VLOOKUP(B215,'[2]CL SAL SHEET'!$A$4:$D$57,4,0)</f>
        <v>#N/A</v>
      </c>
      <c r="T215" s="125">
        <v>101805009117</v>
      </c>
      <c r="U215" s="126" t="s">
        <v>1153</v>
      </c>
      <c r="V215" s="126">
        <v>3714195249</v>
      </c>
      <c r="W215" s="126" t="s">
        <v>2101</v>
      </c>
      <c r="X215" s="126" t="s">
        <v>2102</v>
      </c>
      <c r="Y215" s="167" t="s">
        <v>65</v>
      </c>
      <c r="Z215" s="126" t="s">
        <v>2103</v>
      </c>
      <c r="AA215" s="167" t="s">
        <v>2104</v>
      </c>
      <c r="AB215" s="167" t="s">
        <v>2104</v>
      </c>
      <c r="AC215" s="164" t="s">
        <v>2094</v>
      </c>
      <c r="AD215" s="140"/>
      <c r="AE215" s="126"/>
      <c r="AF215" s="126"/>
      <c r="AG215" s="168" t="s">
        <v>5188</v>
      </c>
      <c r="AH215" s="126"/>
      <c r="AI215" s="126"/>
      <c r="AJ215" s="127">
        <v>35457</v>
      </c>
      <c r="AK215" s="128"/>
      <c r="AL215" s="129"/>
      <c r="AM215" s="129"/>
    </row>
    <row r="216" spans="1:39" ht="47.25" customHeight="1">
      <c r="A216" s="137">
        <f>SUBTOTAL(3,$B$3:B216)</f>
        <v>214</v>
      </c>
      <c r="B216" s="164" t="s">
        <v>2320</v>
      </c>
      <c r="C216" s="165" t="s">
        <v>2321</v>
      </c>
      <c r="D216" s="124" t="s">
        <v>2321</v>
      </c>
      <c r="E216" s="137" t="s">
        <v>2322</v>
      </c>
      <c r="F216" s="137" t="s">
        <v>2323</v>
      </c>
      <c r="G216" s="137" t="s">
        <v>2389</v>
      </c>
      <c r="H216" s="137" t="s">
        <v>2324</v>
      </c>
      <c r="I216" s="137" t="s">
        <v>40</v>
      </c>
      <c r="J216" s="185" t="s">
        <v>2325</v>
      </c>
      <c r="K216" s="137" t="s">
        <v>41</v>
      </c>
      <c r="L216" s="137" t="s">
        <v>42</v>
      </c>
      <c r="M216" s="124" t="s">
        <v>2326</v>
      </c>
      <c r="N216" s="166">
        <v>44866</v>
      </c>
      <c r="O216" s="124" t="s">
        <v>2981</v>
      </c>
      <c r="P216" s="137" t="s">
        <v>2347</v>
      </c>
      <c r="Q216" s="137" t="s">
        <v>3676</v>
      </c>
      <c r="R216" s="177" t="s">
        <v>2327</v>
      </c>
      <c r="S216" s="124">
        <f>VLOOKUP(B216,'[2]CL SAL SHEET'!$A$4:$D$57,4,0)</f>
        <v>28141</v>
      </c>
      <c r="T216" s="125">
        <v>101585672182</v>
      </c>
      <c r="U216" s="135" t="s">
        <v>2329</v>
      </c>
      <c r="V216" s="135" t="s">
        <v>2328</v>
      </c>
      <c r="W216" s="135" t="s">
        <v>2330</v>
      </c>
      <c r="X216" s="135" t="s">
        <v>2331</v>
      </c>
      <c r="Y216" s="167" t="s">
        <v>3734</v>
      </c>
      <c r="Z216" s="126" t="s">
        <v>2332</v>
      </c>
      <c r="AA216" s="167" t="s">
        <v>2333</v>
      </c>
      <c r="AB216" s="167" t="s">
        <v>2333</v>
      </c>
      <c r="AC216" s="164" t="s">
        <v>2320</v>
      </c>
      <c r="AD216" s="140"/>
      <c r="AE216" s="126"/>
      <c r="AF216" s="126"/>
      <c r="AG216" s="168" t="s">
        <v>5185</v>
      </c>
      <c r="AH216" s="126"/>
      <c r="AI216" s="126"/>
      <c r="AJ216" s="141" t="s">
        <v>2325</v>
      </c>
      <c r="AK216" s="128"/>
      <c r="AL216" s="129"/>
      <c r="AM216" s="129"/>
    </row>
    <row r="217" spans="1:39" ht="45" customHeight="1">
      <c r="A217" s="137">
        <f>SUBTOTAL(3,$B$3:B217)</f>
        <v>215</v>
      </c>
      <c r="B217" s="164" t="s">
        <v>2815</v>
      </c>
      <c r="C217" s="165" t="s">
        <v>2816</v>
      </c>
      <c r="D217" s="124" t="s">
        <v>2816</v>
      </c>
      <c r="E217" s="137" t="s">
        <v>2817</v>
      </c>
      <c r="F217" s="137" t="s">
        <v>2631</v>
      </c>
      <c r="G217" s="137" t="s">
        <v>2345</v>
      </c>
      <c r="H217" s="137" t="s">
        <v>2818</v>
      </c>
      <c r="I217" s="166" t="s">
        <v>40</v>
      </c>
      <c r="J217" s="166" t="s">
        <v>2819</v>
      </c>
      <c r="K217" s="166" t="s">
        <v>41</v>
      </c>
      <c r="L217" s="137" t="s">
        <v>42</v>
      </c>
      <c r="M217" s="124" t="s">
        <v>2980</v>
      </c>
      <c r="N217" s="166">
        <v>44866</v>
      </c>
      <c r="O217" s="124" t="s">
        <v>2981</v>
      </c>
      <c r="P217" s="137" t="s">
        <v>2347</v>
      </c>
      <c r="Q217" s="137" t="s">
        <v>3676</v>
      </c>
      <c r="R217" s="124">
        <v>9081931450</v>
      </c>
      <c r="S217" s="124">
        <v>28221</v>
      </c>
      <c r="T217" s="134">
        <v>101672718338</v>
      </c>
      <c r="U217" s="126" t="s">
        <v>2821</v>
      </c>
      <c r="V217" s="126" t="s">
        <v>2820</v>
      </c>
      <c r="W217" s="135" t="s">
        <v>2822</v>
      </c>
      <c r="X217" s="135" t="s">
        <v>2823</v>
      </c>
      <c r="Y217" s="167" t="s">
        <v>1977</v>
      </c>
      <c r="Z217" s="126" t="s">
        <v>298</v>
      </c>
      <c r="AA217" s="167" t="s">
        <v>3682</v>
      </c>
      <c r="AB217" s="167" t="s">
        <v>3682</v>
      </c>
      <c r="AC217" s="164" t="s">
        <v>2815</v>
      </c>
      <c r="AD217" s="140"/>
      <c r="AE217" s="126"/>
      <c r="AF217" s="126"/>
      <c r="AG217" s="168" t="s">
        <v>5193</v>
      </c>
      <c r="AH217" s="126"/>
      <c r="AI217" s="126"/>
      <c r="AJ217" s="136" t="s">
        <v>2819</v>
      </c>
      <c r="AK217" s="128"/>
      <c r="AL217" s="129"/>
      <c r="AM217" s="129"/>
    </row>
    <row r="218" spans="1:39" s="5" customFormat="1" ht="39.950000000000003" customHeight="1">
      <c r="A218" s="137">
        <f>SUBTOTAL(3,$B$3:B218)</f>
        <v>216</v>
      </c>
      <c r="B218" s="169" t="s">
        <v>2977</v>
      </c>
      <c r="C218" s="124" t="s">
        <v>2978</v>
      </c>
      <c r="D218" s="124" t="s">
        <v>2978</v>
      </c>
      <c r="E218" s="137" t="s">
        <v>531</v>
      </c>
      <c r="F218" s="137" t="s">
        <v>2367</v>
      </c>
      <c r="G218" s="137" t="s">
        <v>2345</v>
      </c>
      <c r="H218" s="137" t="s">
        <v>2979</v>
      </c>
      <c r="I218" s="137" t="s">
        <v>40</v>
      </c>
      <c r="J218" s="166">
        <v>36393</v>
      </c>
      <c r="K218" s="137" t="s">
        <v>41</v>
      </c>
      <c r="L218" s="137" t="s">
        <v>42</v>
      </c>
      <c r="M218" s="124" t="s">
        <v>2980</v>
      </c>
      <c r="N218" s="166">
        <v>44866</v>
      </c>
      <c r="O218" s="124" t="s">
        <v>2981</v>
      </c>
      <c r="P218" s="137" t="s">
        <v>2347</v>
      </c>
      <c r="Q218" s="137" t="s">
        <v>3676</v>
      </c>
      <c r="R218" s="124" t="s">
        <v>2982</v>
      </c>
      <c r="S218" s="137">
        <v>28076</v>
      </c>
      <c r="T218" s="125">
        <v>101743406125</v>
      </c>
      <c r="U218" s="126" t="s">
        <v>2983</v>
      </c>
      <c r="V218" s="126">
        <v>3714264098</v>
      </c>
      <c r="W218" s="126" t="s">
        <v>2984</v>
      </c>
      <c r="X218" s="126">
        <v>34442720070</v>
      </c>
      <c r="Y218" s="167" t="s">
        <v>65</v>
      </c>
      <c r="Z218" s="126" t="s">
        <v>1534</v>
      </c>
      <c r="AA218" s="167" t="s">
        <v>2985</v>
      </c>
      <c r="AB218" s="167" t="s">
        <v>2985</v>
      </c>
      <c r="AC218" s="164" t="s">
        <v>2977</v>
      </c>
      <c r="AD218" s="140"/>
      <c r="AE218" s="126"/>
      <c r="AF218" s="126"/>
      <c r="AG218" s="168" t="s">
        <v>5160</v>
      </c>
      <c r="AH218" s="126"/>
      <c r="AI218" s="126"/>
      <c r="AJ218" s="136">
        <v>36393</v>
      </c>
      <c r="AK218" s="138"/>
      <c r="AL218" s="139"/>
      <c r="AM218" s="139"/>
    </row>
    <row r="219" spans="1:39" s="5" customFormat="1" ht="39.950000000000003" customHeight="1">
      <c r="A219" s="137">
        <f>SUBTOTAL(3,$B$3:B219)</f>
        <v>217</v>
      </c>
      <c r="B219" s="164" t="s">
        <v>3061</v>
      </c>
      <c r="C219" s="165" t="s">
        <v>3062</v>
      </c>
      <c r="D219" s="124" t="s">
        <v>3062</v>
      </c>
      <c r="E219" s="137" t="s">
        <v>3063</v>
      </c>
      <c r="F219" s="137" t="s">
        <v>3064</v>
      </c>
      <c r="G219" s="137" t="s">
        <v>2345</v>
      </c>
      <c r="H219" s="137" t="s">
        <v>3065</v>
      </c>
      <c r="I219" s="137" t="s">
        <v>702</v>
      </c>
      <c r="J219" s="166">
        <v>36496</v>
      </c>
      <c r="K219" s="137" t="s">
        <v>280</v>
      </c>
      <c r="L219" s="137" t="s">
        <v>42</v>
      </c>
      <c r="M219" s="124" t="s">
        <v>3066</v>
      </c>
      <c r="N219" s="166">
        <v>44866</v>
      </c>
      <c r="O219" s="124" t="s">
        <v>2981</v>
      </c>
      <c r="P219" s="137" t="s">
        <v>2347</v>
      </c>
      <c r="Q219" s="137" t="s">
        <v>3676</v>
      </c>
      <c r="R219" s="124" t="s">
        <v>3067</v>
      </c>
      <c r="S219" s="137">
        <v>28183</v>
      </c>
      <c r="T219" s="125">
        <v>101885067128</v>
      </c>
      <c r="U219" s="126" t="s">
        <v>3069</v>
      </c>
      <c r="V219" s="126" t="s">
        <v>3068</v>
      </c>
      <c r="W219" s="126" t="s">
        <v>3070</v>
      </c>
      <c r="X219" s="126" t="s">
        <v>3071</v>
      </c>
      <c r="Y219" s="167" t="s">
        <v>132</v>
      </c>
      <c r="Z219" s="126" t="s">
        <v>3072</v>
      </c>
      <c r="AA219" s="167" t="s">
        <v>3073</v>
      </c>
      <c r="AB219" s="167" t="s">
        <v>3073</v>
      </c>
      <c r="AC219" s="164" t="s">
        <v>3061</v>
      </c>
      <c r="AD219" s="140"/>
      <c r="AE219" s="126"/>
      <c r="AF219" s="126"/>
      <c r="AG219" s="168" t="s">
        <v>5155</v>
      </c>
      <c r="AH219" s="126"/>
      <c r="AI219" s="126"/>
      <c r="AJ219" s="136">
        <v>36496</v>
      </c>
      <c r="AK219" s="138"/>
      <c r="AL219" s="139"/>
      <c r="AM219" s="139"/>
    </row>
    <row r="220" spans="1:39" s="5" customFormat="1" ht="39.950000000000003" customHeight="1">
      <c r="A220" s="137">
        <f>SUBTOTAL(3,$B$3:B220)</f>
        <v>218</v>
      </c>
      <c r="B220" s="169" t="s">
        <v>3074</v>
      </c>
      <c r="C220" s="124" t="s">
        <v>3075</v>
      </c>
      <c r="D220" s="124" t="s">
        <v>3075</v>
      </c>
      <c r="E220" s="137" t="s">
        <v>3076</v>
      </c>
      <c r="F220" s="137" t="s">
        <v>3077</v>
      </c>
      <c r="G220" s="137" t="s">
        <v>2345</v>
      </c>
      <c r="H220" s="137" t="s">
        <v>1019</v>
      </c>
      <c r="I220" s="137" t="s">
        <v>40</v>
      </c>
      <c r="J220" s="166">
        <v>36854</v>
      </c>
      <c r="K220" s="137" t="s">
        <v>41</v>
      </c>
      <c r="L220" s="137" t="s">
        <v>42</v>
      </c>
      <c r="M220" s="124" t="s">
        <v>3078</v>
      </c>
      <c r="N220" s="166">
        <v>44890</v>
      </c>
      <c r="O220" s="124" t="s">
        <v>2981</v>
      </c>
      <c r="P220" s="137" t="s">
        <v>2347</v>
      </c>
      <c r="Q220" s="137" t="s">
        <v>3676</v>
      </c>
      <c r="R220" s="124" t="s">
        <v>3079</v>
      </c>
      <c r="S220" s="137">
        <v>28184</v>
      </c>
      <c r="T220" s="125">
        <v>101898018418</v>
      </c>
      <c r="U220" s="126" t="s">
        <v>3081</v>
      </c>
      <c r="V220" s="126" t="s">
        <v>3080</v>
      </c>
      <c r="W220" s="126" t="s">
        <v>3082</v>
      </c>
      <c r="X220" s="126" t="s">
        <v>3083</v>
      </c>
      <c r="Y220" s="167" t="s">
        <v>1411</v>
      </c>
      <c r="Z220" s="126" t="s">
        <v>3084</v>
      </c>
      <c r="AA220" s="167" t="s">
        <v>3085</v>
      </c>
      <c r="AB220" s="167" t="s">
        <v>3086</v>
      </c>
      <c r="AC220" s="164" t="s">
        <v>3074</v>
      </c>
      <c r="AD220" s="140"/>
      <c r="AE220" s="126"/>
      <c r="AF220" s="126"/>
      <c r="AG220" s="168" t="s">
        <v>5200</v>
      </c>
      <c r="AH220" s="126"/>
      <c r="AI220" s="126"/>
      <c r="AJ220" s="136">
        <v>36854</v>
      </c>
      <c r="AK220" s="138"/>
      <c r="AL220" s="139"/>
      <c r="AM220" s="139"/>
    </row>
    <row r="221" spans="1:39" s="5" customFormat="1" ht="39.950000000000003" customHeight="1">
      <c r="A221" s="137">
        <f>SUBTOTAL(3,$B$3:B221)</f>
        <v>219</v>
      </c>
      <c r="B221" s="164" t="s">
        <v>3177</v>
      </c>
      <c r="C221" s="165" t="s">
        <v>3178</v>
      </c>
      <c r="D221" s="124" t="s">
        <v>3178</v>
      </c>
      <c r="E221" s="137" t="s">
        <v>3179</v>
      </c>
      <c r="F221" s="137" t="s">
        <v>3180</v>
      </c>
      <c r="G221" s="137" t="s">
        <v>2345</v>
      </c>
      <c r="H221" s="137" t="s">
        <v>1655</v>
      </c>
      <c r="I221" s="137" t="s">
        <v>40</v>
      </c>
      <c r="J221" s="166">
        <v>36561</v>
      </c>
      <c r="K221" s="137" t="s">
        <v>41</v>
      </c>
      <c r="L221" s="137" t="s">
        <v>42</v>
      </c>
      <c r="M221" s="124" t="s">
        <v>3103</v>
      </c>
      <c r="N221" s="166">
        <v>44866</v>
      </c>
      <c r="O221" s="124" t="s">
        <v>2981</v>
      </c>
      <c r="P221" s="137" t="s">
        <v>2347</v>
      </c>
      <c r="Q221" s="137" t="s">
        <v>3676</v>
      </c>
      <c r="R221" s="124">
        <v>9510163621</v>
      </c>
      <c r="S221" s="137">
        <v>28207</v>
      </c>
      <c r="T221" s="125">
        <v>101812058189</v>
      </c>
      <c r="U221" s="126" t="s">
        <v>6178</v>
      </c>
      <c r="V221" s="126">
        <v>3714248732</v>
      </c>
      <c r="W221" s="126" t="s">
        <v>3181</v>
      </c>
      <c r="X221" s="126" t="s">
        <v>3182</v>
      </c>
      <c r="Y221" s="167" t="s">
        <v>65</v>
      </c>
      <c r="Z221" s="126" t="s">
        <v>3183</v>
      </c>
      <c r="AA221" s="167" t="s">
        <v>3184</v>
      </c>
      <c r="AB221" s="167" t="s">
        <v>3185</v>
      </c>
      <c r="AC221" s="164" t="s">
        <v>3177</v>
      </c>
      <c r="AD221" s="140"/>
      <c r="AE221" s="126"/>
      <c r="AF221" s="126"/>
      <c r="AG221" s="168" t="s">
        <v>5153</v>
      </c>
      <c r="AH221" s="126"/>
      <c r="AI221" s="126"/>
      <c r="AJ221" s="136">
        <v>36561</v>
      </c>
      <c r="AK221" s="138"/>
      <c r="AL221" s="139"/>
      <c r="AM221" s="139"/>
    </row>
    <row r="222" spans="1:39" s="5" customFormat="1" ht="39.950000000000003" customHeight="1">
      <c r="A222" s="137">
        <f>SUBTOTAL(3,$B$3:B222)</f>
        <v>220</v>
      </c>
      <c r="B222" s="169" t="s">
        <v>3218</v>
      </c>
      <c r="C222" s="124" t="s">
        <v>3219</v>
      </c>
      <c r="D222" s="124" t="s">
        <v>3220</v>
      </c>
      <c r="E222" s="137" t="s">
        <v>3221</v>
      </c>
      <c r="F222" s="137" t="s">
        <v>3222</v>
      </c>
      <c r="G222" s="137" t="s">
        <v>2389</v>
      </c>
      <c r="H222" s="137" t="s">
        <v>711</v>
      </c>
      <c r="I222" s="137" t="s">
        <v>40</v>
      </c>
      <c r="J222" s="166">
        <v>37130</v>
      </c>
      <c r="K222" s="137" t="s">
        <v>41</v>
      </c>
      <c r="L222" s="137" t="s">
        <v>42</v>
      </c>
      <c r="M222" s="124" t="s">
        <v>3103</v>
      </c>
      <c r="N222" s="166">
        <v>44896</v>
      </c>
      <c r="O222" s="124" t="s">
        <v>2981</v>
      </c>
      <c r="P222" s="137" t="s">
        <v>2347</v>
      </c>
      <c r="Q222" s="137" t="s">
        <v>3676</v>
      </c>
      <c r="R222" s="137">
        <v>8511967133</v>
      </c>
      <c r="S222" s="137">
        <v>28040</v>
      </c>
      <c r="T222" s="125">
        <v>101898017148</v>
      </c>
      <c r="U222" s="126" t="s">
        <v>6178</v>
      </c>
      <c r="V222" s="126" t="s">
        <v>3223</v>
      </c>
      <c r="W222" s="126" t="s">
        <v>3224</v>
      </c>
      <c r="X222" s="126" t="s">
        <v>3225</v>
      </c>
      <c r="Y222" s="167" t="s">
        <v>146</v>
      </c>
      <c r="Z222" s="126" t="s">
        <v>3226</v>
      </c>
      <c r="AA222" s="167" t="s">
        <v>3227</v>
      </c>
      <c r="AB222" s="167" t="s">
        <v>3228</v>
      </c>
      <c r="AC222" s="164" t="s">
        <v>3218</v>
      </c>
      <c r="AD222" s="140"/>
      <c r="AE222" s="126"/>
      <c r="AF222" s="126"/>
      <c r="AG222" s="168" t="s">
        <v>5201</v>
      </c>
      <c r="AH222" s="126"/>
      <c r="AI222" s="126"/>
      <c r="AJ222" s="136">
        <v>37130</v>
      </c>
      <c r="AK222" s="138"/>
      <c r="AL222" s="139"/>
      <c r="AM222" s="139"/>
    </row>
    <row r="223" spans="1:39" ht="45" customHeight="1">
      <c r="A223" s="137">
        <f>SUBTOTAL(3,$B$3:B223)</f>
        <v>221</v>
      </c>
      <c r="B223" s="164" t="s">
        <v>2615</v>
      </c>
      <c r="C223" s="165" t="s">
        <v>2616</v>
      </c>
      <c r="D223" s="124" t="s">
        <v>2617</v>
      </c>
      <c r="E223" s="137" t="s">
        <v>1378</v>
      </c>
      <c r="F223" s="137" t="s">
        <v>2618</v>
      </c>
      <c r="G223" s="137" t="s">
        <v>2345</v>
      </c>
      <c r="H223" s="137" t="s">
        <v>2619</v>
      </c>
      <c r="I223" s="166" t="s">
        <v>40</v>
      </c>
      <c r="J223" s="166" t="s">
        <v>2620</v>
      </c>
      <c r="K223" s="166" t="s">
        <v>41</v>
      </c>
      <c r="L223" s="137" t="s">
        <v>42</v>
      </c>
      <c r="M223" s="124" t="s">
        <v>3684</v>
      </c>
      <c r="N223" s="180">
        <v>44866</v>
      </c>
      <c r="O223" s="124" t="s">
        <v>2621</v>
      </c>
      <c r="P223" s="137" t="s">
        <v>2347</v>
      </c>
      <c r="Q223" s="137" t="s">
        <v>3676</v>
      </c>
      <c r="R223" s="124" t="s">
        <v>2622</v>
      </c>
      <c r="S223" s="124">
        <v>28031</v>
      </c>
      <c r="T223" s="134">
        <v>101855818165</v>
      </c>
      <c r="U223" s="126" t="s">
        <v>2624</v>
      </c>
      <c r="V223" s="126" t="s">
        <v>2623</v>
      </c>
      <c r="W223" s="135" t="s">
        <v>2625</v>
      </c>
      <c r="X223" s="135" t="s">
        <v>2626</v>
      </c>
      <c r="Y223" s="167" t="s">
        <v>51</v>
      </c>
      <c r="Z223" s="126" t="s">
        <v>1523</v>
      </c>
      <c r="AA223" s="167" t="s">
        <v>6527</v>
      </c>
      <c r="AB223" s="167" t="s">
        <v>6527</v>
      </c>
      <c r="AC223" s="164" t="s">
        <v>2615</v>
      </c>
      <c r="AD223" s="140"/>
      <c r="AE223" s="126"/>
      <c r="AF223" s="126"/>
      <c r="AG223" s="168" t="s">
        <v>5159</v>
      </c>
      <c r="AH223" s="126"/>
      <c r="AI223" s="126"/>
      <c r="AJ223" s="136" t="s">
        <v>2620</v>
      </c>
      <c r="AK223" s="128"/>
      <c r="AL223" s="129"/>
      <c r="AM223" s="129"/>
    </row>
    <row r="224" spans="1:39" s="5" customFormat="1" ht="39.950000000000003" customHeight="1">
      <c r="A224" s="137">
        <f>SUBTOTAL(3,$B$3:B224)</f>
        <v>222</v>
      </c>
      <c r="B224" s="169" t="s">
        <v>3120</v>
      </c>
      <c r="C224" s="165" t="s">
        <v>3121</v>
      </c>
      <c r="D224" s="124" t="s">
        <v>3121</v>
      </c>
      <c r="E224" s="137" t="s">
        <v>754</v>
      </c>
      <c r="F224" s="137" t="s">
        <v>3122</v>
      </c>
      <c r="G224" s="137" t="s">
        <v>2389</v>
      </c>
      <c r="H224" s="137" t="s">
        <v>3123</v>
      </c>
      <c r="I224" s="137" t="s">
        <v>40</v>
      </c>
      <c r="J224" s="166">
        <v>36139</v>
      </c>
      <c r="K224" s="137" t="s">
        <v>41</v>
      </c>
      <c r="L224" s="137" t="s">
        <v>42</v>
      </c>
      <c r="M224" s="124" t="s">
        <v>3124</v>
      </c>
      <c r="N224" s="166">
        <v>44866</v>
      </c>
      <c r="O224" s="124" t="s">
        <v>2621</v>
      </c>
      <c r="P224" s="137" t="s">
        <v>2347</v>
      </c>
      <c r="Q224" s="137" t="s">
        <v>3676</v>
      </c>
      <c r="R224" s="137">
        <v>8401284575</v>
      </c>
      <c r="S224" s="137">
        <v>28123</v>
      </c>
      <c r="T224" s="125">
        <v>101604877386</v>
      </c>
      <c r="U224" s="126" t="s">
        <v>3126</v>
      </c>
      <c r="V224" s="126" t="s">
        <v>3125</v>
      </c>
      <c r="W224" s="126" t="s">
        <v>3127</v>
      </c>
      <c r="X224" s="126" t="s">
        <v>3128</v>
      </c>
      <c r="Y224" s="167" t="s">
        <v>132</v>
      </c>
      <c r="Z224" s="126" t="s">
        <v>3129</v>
      </c>
      <c r="AA224" s="167" t="s">
        <v>3130</v>
      </c>
      <c r="AB224" s="167" t="s">
        <v>3130</v>
      </c>
      <c r="AC224" s="164" t="s">
        <v>3120</v>
      </c>
      <c r="AD224" s="140"/>
      <c r="AE224" s="126"/>
      <c r="AF224" s="126"/>
      <c r="AG224" s="168" t="s">
        <v>5399</v>
      </c>
      <c r="AH224" s="126"/>
      <c r="AI224" s="126"/>
      <c r="AJ224" s="136">
        <v>36139</v>
      </c>
      <c r="AK224" s="138"/>
      <c r="AL224" s="139"/>
      <c r="AM224" s="139"/>
    </row>
    <row r="225" spans="1:39" s="5" customFormat="1" ht="39.950000000000003" customHeight="1">
      <c r="A225" s="137">
        <f>SUBTOTAL(3,$B$3:B225)</f>
        <v>223</v>
      </c>
      <c r="B225" s="169" t="s">
        <v>3131</v>
      </c>
      <c r="C225" s="165" t="s">
        <v>3132</v>
      </c>
      <c r="D225" s="124" t="s">
        <v>3132</v>
      </c>
      <c r="E225" s="137" t="s">
        <v>3133</v>
      </c>
      <c r="F225" s="137" t="s">
        <v>3134</v>
      </c>
      <c r="G225" s="137" t="s">
        <v>2389</v>
      </c>
      <c r="H225" s="137" t="s">
        <v>3135</v>
      </c>
      <c r="I225" s="137" t="s">
        <v>40</v>
      </c>
      <c r="J225" s="166">
        <v>36887</v>
      </c>
      <c r="K225" s="137" t="s">
        <v>41</v>
      </c>
      <c r="L225" s="137" t="s">
        <v>42</v>
      </c>
      <c r="M225" s="124" t="s">
        <v>3136</v>
      </c>
      <c r="N225" s="166">
        <v>44866</v>
      </c>
      <c r="O225" s="124" t="s">
        <v>2621</v>
      </c>
      <c r="P225" s="137" t="s">
        <v>2347</v>
      </c>
      <c r="Q225" s="137" t="s">
        <v>3676</v>
      </c>
      <c r="R225" s="124" t="s">
        <v>3137</v>
      </c>
      <c r="S225" s="137">
        <v>28074</v>
      </c>
      <c r="T225" s="125">
        <v>101878975775</v>
      </c>
      <c r="U225" s="126" t="s">
        <v>3139</v>
      </c>
      <c r="V225" s="126" t="s">
        <v>3138</v>
      </c>
      <c r="W225" s="126" t="s">
        <v>3140</v>
      </c>
      <c r="X225" s="126" t="s">
        <v>3141</v>
      </c>
      <c r="Y225" s="167" t="s">
        <v>146</v>
      </c>
      <c r="Z225" s="126" t="s">
        <v>3142</v>
      </c>
      <c r="AA225" s="167" t="s">
        <v>3143</v>
      </c>
      <c r="AB225" s="167" t="s">
        <v>3143</v>
      </c>
      <c r="AC225" s="164" t="s">
        <v>3131</v>
      </c>
      <c r="AD225" s="140"/>
      <c r="AE225" s="126"/>
      <c r="AF225" s="126"/>
      <c r="AG225" s="168" t="s">
        <v>5157</v>
      </c>
      <c r="AH225" s="126"/>
      <c r="AI225" s="126"/>
      <c r="AJ225" s="136">
        <v>36887</v>
      </c>
      <c r="AK225" s="138"/>
      <c r="AL225" s="139"/>
      <c r="AM225" s="139"/>
    </row>
    <row r="226" spans="1:39" s="5" customFormat="1" ht="39.950000000000003" customHeight="1">
      <c r="A226" s="137">
        <f>SUBTOTAL(3,$B$3:B226)</f>
        <v>224</v>
      </c>
      <c r="B226" s="169" t="s">
        <v>3144</v>
      </c>
      <c r="C226" s="165" t="s">
        <v>3145</v>
      </c>
      <c r="D226" s="124" t="s">
        <v>3146</v>
      </c>
      <c r="E226" s="137" t="s">
        <v>175</v>
      </c>
      <c r="F226" s="137" t="s">
        <v>3147</v>
      </c>
      <c r="G226" s="137" t="s">
        <v>2345</v>
      </c>
      <c r="H226" s="137" t="s">
        <v>3148</v>
      </c>
      <c r="I226" s="137" t="s">
        <v>40</v>
      </c>
      <c r="J226" s="166">
        <v>36745</v>
      </c>
      <c r="K226" s="137" t="s">
        <v>41</v>
      </c>
      <c r="L226" s="137" t="s">
        <v>42</v>
      </c>
      <c r="M226" s="124" t="s">
        <v>3136</v>
      </c>
      <c r="N226" s="166">
        <v>44866</v>
      </c>
      <c r="O226" s="124" t="s">
        <v>2621</v>
      </c>
      <c r="P226" s="137" t="s">
        <v>2347</v>
      </c>
      <c r="Q226" s="137" t="s">
        <v>3676</v>
      </c>
      <c r="R226" s="124" t="s">
        <v>3149</v>
      </c>
      <c r="S226" s="137">
        <v>28164</v>
      </c>
      <c r="T226" s="125">
        <v>101833641270</v>
      </c>
      <c r="U226" s="126" t="s">
        <v>3150</v>
      </c>
      <c r="V226" s="126">
        <v>3714348210</v>
      </c>
      <c r="W226" s="126" t="s">
        <v>3151</v>
      </c>
      <c r="X226" s="126" t="s">
        <v>3152</v>
      </c>
      <c r="Y226" s="167" t="s">
        <v>65</v>
      </c>
      <c r="Z226" s="126" t="s">
        <v>3153</v>
      </c>
      <c r="AA226" s="167" t="s">
        <v>3154</v>
      </c>
      <c r="AB226" s="167" t="s">
        <v>3154</v>
      </c>
      <c r="AC226" s="164" t="s">
        <v>3144</v>
      </c>
      <c r="AD226" s="140"/>
      <c r="AE226" s="126"/>
      <c r="AF226" s="126"/>
      <c r="AG226" s="168" t="s">
        <v>5168</v>
      </c>
      <c r="AH226" s="126"/>
      <c r="AI226" s="126"/>
      <c r="AJ226" s="136">
        <v>36745</v>
      </c>
      <c r="AK226" s="138"/>
      <c r="AL226" s="139"/>
      <c r="AM226" s="139"/>
    </row>
    <row r="227" spans="1:39" s="5" customFormat="1" ht="39.950000000000003" customHeight="1">
      <c r="A227" s="137">
        <f>SUBTOTAL(3,$B$3:B227)</f>
        <v>225</v>
      </c>
      <c r="B227" s="169" t="s">
        <v>3155</v>
      </c>
      <c r="C227" s="124" t="s">
        <v>3156</v>
      </c>
      <c r="D227" s="124" t="s">
        <v>3156</v>
      </c>
      <c r="E227" s="137" t="s">
        <v>3157</v>
      </c>
      <c r="F227" s="137" t="s">
        <v>2229</v>
      </c>
      <c r="G227" s="137" t="s">
        <v>2345</v>
      </c>
      <c r="H227" s="137" t="s">
        <v>3158</v>
      </c>
      <c r="I227" s="137" t="s">
        <v>40</v>
      </c>
      <c r="J227" s="166">
        <v>36549</v>
      </c>
      <c r="K227" s="137" t="s">
        <v>41</v>
      </c>
      <c r="L227" s="137" t="s">
        <v>42</v>
      </c>
      <c r="M227" s="124" t="s">
        <v>3136</v>
      </c>
      <c r="N227" s="166">
        <v>44866</v>
      </c>
      <c r="O227" s="124" t="s">
        <v>2621</v>
      </c>
      <c r="P227" s="137" t="s">
        <v>2347</v>
      </c>
      <c r="Q227" s="137" t="s">
        <v>3676</v>
      </c>
      <c r="R227" s="124" t="s">
        <v>3159</v>
      </c>
      <c r="S227" s="137">
        <v>28082</v>
      </c>
      <c r="T227" s="125">
        <v>101828125353</v>
      </c>
      <c r="U227" s="126" t="s">
        <v>3160</v>
      </c>
      <c r="V227" s="126">
        <v>3714349912</v>
      </c>
      <c r="W227" s="126" t="s">
        <v>3161</v>
      </c>
      <c r="X227" s="126" t="s">
        <v>3162</v>
      </c>
      <c r="Y227" s="167" t="s">
        <v>132</v>
      </c>
      <c r="Z227" s="126" t="s">
        <v>131</v>
      </c>
      <c r="AA227" s="167" t="s">
        <v>3163</v>
      </c>
      <c r="AB227" s="167" t="s">
        <v>3164</v>
      </c>
      <c r="AC227" s="164" t="s">
        <v>3155</v>
      </c>
      <c r="AD227" s="140"/>
      <c r="AE227" s="126"/>
      <c r="AF227" s="126"/>
      <c r="AG227" s="168" t="s">
        <v>5158</v>
      </c>
      <c r="AH227" s="126"/>
      <c r="AI227" s="126"/>
      <c r="AJ227" s="136">
        <v>36549</v>
      </c>
      <c r="AK227" s="138"/>
      <c r="AL227" s="139"/>
      <c r="AM227" s="139"/>
    </row>
    <row r="228" spans="1:39" s="5" customFormat="1" ht="39.950000000000003" customHeight="1">
      <c r="A228" s="137">
        <f>SUBTOTAL(3,$B$3:B228)</f>
        <v>226</v>
      </c>
      <c r="B228" s="169" t="s">
        <v>3198</v>
      </c>
      <c r="C228" s="124" t="s">
        <v>3199</v>
      </c>
      <c r="D228" s="124" t="s">
        <v>3200</v>
      </c>
      <c r="E228" s="137" t="s">
        <v>754</v>
      </c>
      <c r="F228" s="137" t="s">
        <v>3201</v>
      </c>
      <c r="G228" s="137" t="s">
        <v>2389</v>
      </c>
      <c r="H228" s="137" t="s">
        <v>3202</v>
      </c>
      <c r="I228" s="137" t="s">
        <v>40</v>
      </c>
      <c r="J228" s="166">
        <v>36241</v>
      </c>
      <c r="K228" s="137" t="s">
        <v>41</v>
      </c>
      <c r="L228" s="137" t="s">
        <v>42</v>
      </c>
      <c r="M228" s="124" t="s">
        <v>3103</v>
      </c>
      <c r="N228" s="166">
        <v>44896</v>
      </c>
      <c r="O228" s="124" t="s">
        <v>3104</v>
      </c>
      <c r="P228" s="137" t="s">
        <v>2347</v>
      </c>
      <c r="Q228" s="137" t="s">
        <v>3676</v>
      </c>
      <c r="R228" s="124" t="s">
        <v>3203</v>
      </c>
      <c r="S228" s="137">
        <v>28012</v>
      </c>
      <c r="T228" s="125">
        <v>101557057376</v>
      </c>
      <c r="U228" s="126" t="s">
        <v>3205</v>
      </c>
      <c r="V228" s="126" t="s">
        <v>3204</v>
      </c>
      <c r="W228" s="126" t="s">
        <v>3206</v>
      </c>
      <c r="X228" s="126" t="s">
        <v>3207</v>
      </c>
      <c r="Y228" s="167" t="s">
        <v>1289</v>
      </c>
      <c r="Z228" s="126" t="s">
        <v>3208</v>
      </c>
      <c r="AA228" s="167" t="s">
        <v>3209</v>
      </c>
      <c r="AB228" s="167" t="s">
        <v>3209</v>
      </c>
      <c r="AC228" s="164" t="s">
        <v>3198</v>
      </c>
      <c r="AD228" s="140"/>
      <c r="AE228" s="126"/>
      <c r="AF228" s="126"/>
      <c r="AG228" s="168" t="s">
        <v>5402</v>
      </c>
      <c r="AH228" s="126"/>
      <c r="AI228" s="126"/>
      <c r="AJ228" s="136">
        <v>36241</v>
      </c>
      <c r="AK228" s="138"/>
      <c r="AL228" s="139"/>
      <c r="AM228" s="139"/>
    </row>
    <row r="229" spans="1:39" s="5" customFormat="1" ht="39.950000000000003" customHeight="1">
      <c r="A229" s="137">
        <f>SUBTOTAL(3,$B$3:B229)</f>
        <v>227</v>
      </c>
      <c r="B229" s="164" t="s">
        <v>3098</v>
      </c>
      <c r="C229" s="165" t="s">
        <v>3099</v>
      </c>
      <c r="D229" s="124" t="s">
        <v>3099</v>
      </c>
      <c r="E229" s="137" t="s">
        <v>3100</v>
      </c>
      <c r="F229" s="137" t="s">
        <v>3101</v>
      </c>
      <c r="G229" s="137" t="s">
        <v>2345</v>
      </c>
      <c r="H229" s="137" t="s">
        <v>3102</v>
      </c>
      <c r="I229" s="137" t="s">
        <v>40</v>
      </c>
      <c r="J229" s="166">
        <v>36708</v>
      </c>
      <c r="K229" s="137" t="s">
        <v>41</v>
      </c>
      <c r="L229" s="137" t="s">
        <v>42</v>
      </c>
      <c r="M229" s="124" t="s">
        <v>3103</v>
      </c>
      <c r="N229" s="166">
        <v>44887</v>
      </c>
      <c r="O229" s="124" t="s">
        <v>3104</v>
      </c>
      <c r="P229" s="137" t="s">
        <v>2347</v>
      </c>
      <c r="Q229" s="137" t="s">
        <v>3676</v>
      </c>
      <c r="R229" s="124" t="s">
        <v>3105</v>
      </c>
      <c r="S229" s="137">
        <v>28177</v>
      </c>
      <c r="T229" s="125">
        <v>101898017202</v>
      </c>
      <c r="U229" s="126" t="s">
        <v>6178</v>
      </c>
      <c r="V229" s="126" t="s">
        <v>3106</v>
      </c>
      <c r="W229" s="126" t="s">
        <v>3107</v>
      </c>
      <c r="X229" s="126" t="s">
        <v>3108</v>
      </c>
      <c r="Y229" s="167" t="s">
        <v>65</v>
      </c>
      <c r="Z229" s="126" t="s">
        <v>3109</v>
      </c>
      <c r="AA229" s="167" t="s">
        <v>3110</v>
      </c>
      <c r="AB229" s="167" t="s">
        <v>3111</v>
      </c>
      <c r="AC229" s="164" t="s">
        <v>3098</v>
      </c>
      <c r="AD229" s="140"/>
      <c r="AE229" s="126"/>
      <c r="AF229" s="126"/>
      <c r="AG229" s="168" t="s">
        <v>5406</v>
      </c>
      <c r="AH229" s="126"/>
      <c r="AI229" s="126"/>
      <c r="AJ229" s="136">
        <v>44743</v>
      </c>
      <c r="AK229" s="138"/>
      <c r="AL229" s="139"/>
      <c r="AM229" s="139"/>
    </row>
    <row r="230" spans="1:39" s="5" customFormat="1" ht="39.950000000000003" customHeight="1">
      <c r="A230" s="137">
        <f>SUBTOTAL(3,$B$3:B230)</f>
        <v>228</v>
      </c>
      <c r="B230" s="164" t="s">
        <v>3112</v>
      </c>
      <c r="C230" s="165" t="s">
        <v>3113</v>
      </c>
      <c r="D230" s="124" t="s">
        <v>3113</v>
      </c>
      <c r="E230" s="137" t="s">
        <v>263</v>
      </c>
      <c r="F230" s="137" t="s">
        <v>3114</v>
      </c>
      <c r="G230" s="137" t="s">
        <v>2389</v>
      </c>
      <c r="H230" s="137" t="s">
        <v>3115</v>
      </c>
      <c r="I230" s="137" t="s">
        <v>40</v>
      </c>
      <c r="J230" s="166">
        <v>34982</v>
      </c>
      <c r="K230" s="137" t="s">
        <v>41</v>
      </c>
      <c r="L230" s="137" t="s">
        <v>42</v>
      </c>
      <c r="M230" s="124" t="s">
        <v>3683</v>
      </c>
      <c r="N230" s="166">
        <v>44893</v>
      </c>
      <c r="O230" s="124" t="s">
        <v>5956</v>
      </c>
      <c r="P230" s="137" t="s">
        <v>3675</v>
      </c>
      <c r="Q230" s="137" t="s">
        <v>3676</v>
      </c>
      <c r="R230" s="124">
        <v>9722276081</v>
      </c>
      <c r="S230" s="137">
        <v>28014</v>
      </c>
      <c r="T230" s="125">
        <v>101290528325</v>
      </c>
      <c r="U230" s="126" t="s">
        <v>3116</v>
      </c>
      <c r="V230" s="126">
        <v>3712964822</v>
      </c>
      <c r="W230" s="126" t="s">
        <v>6521</v>
      </c>
      <c r="X230" s="126" t="s">
        <v>3117</v>
      </c>
      <c r="Y230" s="167" t="s">
        <v>326</v>
      </c>
      <c r="Z230" s="126" t="s">
        <v>3118</v>
      </c>
      <c r="AA230" s="167" t="s">
        <v>3119</v>
      </c>
      <c r="AB230" s="167" t="s">
        <v>3119</v>
      </c>
      <c r="AC230" s="164" t="s">
        <v>3112</v>
      </c>
      <c r="AD230" s="140"/>
      <c r="AE230" s="126"/>
      <c r="AF230" s="126"/>
      <c r="AG230" s="168" t="s">
        <v>5170</v>
      </c>
      <c r="AH230" s="126"/>
      <c r="AI230" s="126"/>
      <c r="AJ230" s="136">
        <v>34982</v>
      </c>
      <c r="AK230" s="138"/>
      <c r="AL230" s="139"/>
      <c r="AM230" s="139"/>
    </row>
    <row r="231" spans="1:39" ht="47.25" customHeight="1">
      <c r="A231" s="137">
        <f>SUBTOTAL(3,$B$3:B231)</f>
        <v>229</v>
      </c>
      <c r="B231" s="169" t="s">
        <v>2105</v>
      </c>
      <c r="C231" s="165" t="s">
        <v>2106</v>
      </c>
      <c r="D231" s="124" t="s">
        <v>2107</v>
      </c>
      <c r="E231" s="137" t="s">
        <v>754</v>
      </c>
      <c r="F231" s="137" t="s">
        <v>2108</v>
      </c>
      <c r="G231" s="137" t="s">
        <v>2389</v>
      </c>
      <c r="H231" s="137" t="s">
        <v>2109</v>
      </c>
      <c r="I231" s="137" t="s">
        <v>40</v>
      </c>
      <c r="J231" s="166" t="s">
        <v>2110</v>
      </c>
      <c r="K231" s="137" t="s">
        <v>280</v>
      </c>
      <c r="L231" s="137" t="s">
        <v>42</v>
      </c>
      <c r="M231" s="183" t="s">
        <v>1044</v>
      </c>
      <c r="N231" s="166">
        <v>44866</v>
      </c>
      <c r="O231" s="124" t="s">
        <v>2111</v>
      </c>
      <c r="P231" s="137" t="s">
        <v>2347</v>
      </c>
      <c r="Q231" s="137" t="s">
        <v>3676</v>
      </c>
      <c r="R231" s="124" t="s">
        <v>2112</v>
      </c>
      <c r="S231" s="124" t="e">
        <f>VLOOKUP(B231,'[3]NCL SAL. SHEET'!$A$4:$D$126,4,0)</f>
        <v>#N/A</v>
      </c>
      <c r="T231" s="125">
        <v>101429909124</v>
      </c>
      <c r="U231" s="126" t="s">
        <v>2114</v>
      </c>
      <c r="V231" s="126" t="s">
        <v>2113</v>
      </c>
      <c r="W231" s="126" t="s">
        <v>2115</v>
      </c>
      <c r="X231" s="126" t="s">
        <v>6409</v>
      </c>
      <c r="Y231" s="167" t="s">
        <v>65</v>
      </c>
      <c r="Z231" s="126" t="s">
        <v>6410</v>
      </c>
      <c r="AA231" s="167" t="s">
        <v>2116</v>
      </c>
      <c r="AB231" s="167" t="s">
        <v>2116</v>
      </c>
      <c r="AC231" s="164" t="s">
        <v>2105</v>
      </c>
      <c r="AD231" s="140"/>
      <c r="AE231" s="126"/>
      <c r="AF231" s="126"/>
      <c r="AG231" s="168" t="s">
        <v>5163</v>
      </c>
      <c r="AH231" s="126"/>
      <c r="AI231" s="126"/>
      <c r="AJ231" s="127" t="s">
        <v>2110</v>
      </c>
      <c r="AK231" s="128"/>
      <c r="AL231" s="129"/>
      <c r="AM231" s="129"/>
    </row>
    <row r="232" spans="1:39" ht="47.25" customHeight="1">
      <c r="A232" s="137">
        <f>SUBTOTAL(3,$B$3:B232)</f>
        <v>230</v>
      </c>
      <c r="B232" s="164" t="s">
        <v>2117</v>
      </c>
      <c r="C232" s="165" t="s">
        <v>2118</v>
      </c>
      <c r="D232" s="124" t="s">
        <v>2119</v>
      </c>
      <c r="E232" s="137" t="s">
        <v>2120</v>
      </c>
      <c r="F232" s="137" t="s">
        <v>2121</v>
      </c>
      <c r="G232" s="137" t="s">
        <v>2389</v>
      </c>
      <c r="H232" s="137" t="s">
        <v>291</v>
      </c>
      <c r="I232" s="137" t="s">
        <v>40</v>
      </c>
      <c r="J232" s="166" t="s">
        <v>2122</v>
      </c>
      <c r="K232" s="137" t="s">
        <v>280</v>
      </c>
      <c r="L232" s="137" t="s">
        <v>42</v>
      </c>
      <c r="M232" s="183" t="s">
        <v>1104</v>
      </c>
      <c r="N232" s="166">
        <v>44866</v>
      </c>
      <c r="O232" s="124" t="s">
        <v>2111</v>
      </c>
      <c r="P232" s="137" t="s">
        <v>2347</v>
      </c>
      <c r="Q232" s="137" t="s">
        <v>3676</v>
      </c>
      <c r="R232" s="124" t="s">
        <v>2123</v>
      </c>
      <c r="S232" s="124">
        <f>VLOOKUP(B232,'[3]NCL SAL. SHEET'!$A$4:$D$126,4,0)</f>
        <v>28202</v>
      </c>
      <c r="T232" s="125">
        <v>101568412015</v>
      </c>
      <c r="U232" s="126" t="s">
        <v>2125</v>
      </c>
      <c r="V232" s="126" t="s">
        <v>2124</v>
      </c>
      <c r="W232" s="126" t="s">
        <v>2126</v>
      </c>
      <c r="X232" s="126" t="s">
        <v>2127</v>
      </c>
      <c r="Y232" s="167" t="s">
        <v>132</v>
      </c>
      <c r="Z232" s="126" t="s">
        <v>2128</v>
      </c>
      <c r="AA232" s="167" t="s">
        <v>2129</v>
      </c>
      <c r="AB232" s="167" t="s">
        <v>2129</v>
      </c>
      <c r="AC232" s="164" t="s">
        <v>2117</v>
      </c>
      <c r="AD232" s="140"/>
      <c r="AE232" s="126"/>
      <c r="AF232" s="126"/>
      <c r="AG232" s="168" t="s">
        <v>5162</v>
      </c>
      <c r="AH232" s="126"/>
      <c r="AI232" s="126"/>
      <c r="AJ232" s="127" t="s">
        <v>2122</v>
      </c>
      <c r="AK232" s="128"/>
      <c r="AL232" s="129"/>
      <c r="AM232" s="129"/>
    </row>
    <row r="233" spans="1:39" ht="47.25" customHeight="1">
      <c r="A233" s="137">
        <f>SUBTOTAL(3,$B$3:B233)</f>
        <v>231</v>
      </c>
      <c r="B233" s="164" t="s">
        <v>2130</v>
      </c>
      <c r="C233" s="165" t="s">
        <v>2131</v>
      </c>
      <c r="D233" s="124" t="s">
        <v>2132</v>
      </c>
      <c r="E233" s="137" t="s">
        <v>1494</v>
      </c>
      <c r="F233" s="137" t="s">
        <v>2133</v>
      </c>
      <c r="G233" s="137" t="s">
        <v>2389</v>
      </c>
      <c r="H233" s="137" t="s">
        <v>2134</v>
      </c>
      <c r="I233" s="137" t="s">
        <v>40</v>
      </c>
      <c r="J233" s="166" t="s">
        <v>2135</v>
      </c>
      <c r="K233" s="137" t="s">
        <v>280</v>
      </c>
      <c r="L233" s="137" t="s">
        <v>42</v>
      </c>
      <c r="M233" s="183" t="s">
        <v>6031</v>
      </c>
      <c r="N233" s="166">
        <v>44866</v>
      </c>
      <c r="O233" s="124" t="s">
        <v>2111</v>
      </c>
      <c r="P233" s="137" t="s">
        <v>2347</v>
      </c>
      <c r="Q233" s="137" t="s">
        <v>3676</v>
      </c>
      <c r="R233" s="124" t="s">
        <v>2136</v>
      </c>
      <c r="S233" s="124">
        <f>VLOOKUP(B233,'[3]NCL SAL. SHEET'!$A$4:$D$126,4,0)</f>
        <v>28201</v>
      </c>
      <c r="T233" s="125">
        <v>100751982187</v>
      </c>
      <c r="U233" s="126" t="s">
        <v>2138</v>
      </c>
      <c r="V233" s="126" t="s">
        <v>2137</v>
      </c>
      <c r="W233" s="126" t="s">
        <v>2139</v>
      </c>
      <c r="X233" s="126" t="s">
        <v>2140</v>
      </c>
      <c r="Y233" s="167" t="s">
        <v>51</v>
      </c>
      <c r="Z233" s="126" t="s">
        <v>50</v>
      </c>
      <c r="AA233" s="167" t="s">
        <v>2141</v>
      </c>
      <c r="AB233" s="167" t="s">
        <v>2141</v>
      </c>
      <c r="AC233" s="164" t="s">
        <v>2130</v>
      </c>
      <c r="AD233" s="140"/>
      <c r="AE233" s="126"/>
      <c r="AF233" s="126"/>
      <c r="AG233" s="168" t="s">
        <v>5164</v>
      </c>
      <c r="AH233" s="126"/>
      <c r="AI233" s="126"/>
      <c r="AJ233" s="127" t="s">
        <v>2135</v>
      </c>
      <c r="AK233" s="128"/>
      <c r="AL233" s="129"/>
      <c r="AM233" s="129"/>
    </row>
    <row r="234" spans="1:39" ht="47.25" customHeight="1">
      <c r="A234" s="137">
        <f>SUBTOTAL(3,$B$3:B234)</f>
        <v>232</v>
      </c>
      <c r="B234" s="164" t="s">
        <v>2142</v>
      </c>
      <c r="C234" s="165" t="s">
        <v>2143</v>
      </c>
      <c r="D234" s="124" t="s">
        <v>2144</v>
      </c>
      <c r="E234" s="137" t="s">
        <v>754</v>
      </c>
      <c r="F234" s="137" t="s">
        <v>2145</v>
      </c>
      <c r="G234" s="137" t="s">
        <v>2389</v>
      </c>
      <c r="H234" s="137" t="s">
        <v>2146</v>
      </c>
      <c r="I234" s="137" t="s">
        <v>40</v>
      </c>
      <c r="J234" s="166" t="s">
        <v>2147</v>
      </c>
      <c r="K234" s="137" t="s">
        <v>280</v>
      </c>
      <c r="L234" s="137" t="s">
        <v>42</v>
      </c>
      <c r="M234" s="183" t="s">
        <v>1104</v>
      </c>
      <c r="N234" s="166">
        <v>44866</v>
      </c>
      <c r="O234" s="124" t="s">
        <v>2111</v>
      </c>
      <c r="P234" s="137" t="s">
        <v>2347</v>
      </c>
      <c r="Q234" s="137" t="s">
        <v>3676</v>
      </c>
      <c r="R234" s="124" t="s">
        <v>2148</v>
      </c>
      <c r="S234" s="124">
        <f>VLOOKUP(B234,'[3]NCL SAL. SHEET'!$A$4:$D$126,4,0)</f>
        <v>28187</v>
      </c>
      <c r="T234" s="125">
        <v>101429911461</v>
      </c>
      <c r="U234" s="126" t="s">
        <v>6525</v>
      </c>
      <c r="V234" s="126" t="s">
        <v>2149</v>
      </c>
      <c r="W234" s="126" t="s">
        <v>2150</v>
      </c>
      <c r="X234" s="126" t="s">
        <v>2151</v>
      </c>
      <c r="Y234" s="167" t="s">
        <v>51</v>
      </c>
      <c r="Z234" s="126" t="s">
        <v>50</v>
      </c>
      <c r="AA234" s="167" t="s">
        <v>2152</v>
      </c>
      <c r="AB234" s="167" t="s">
        <v>2152</v>
      </c>
      <c r="AC234" s="164" t="s">
        <v>2142</v>
      </c>
      <c r="AD234" s="140"/>
      <c r="AE234" s="126"/>
      <c r="AF234" s="126"/>
      <c r="AG234" s="168" t="s">
        <v>5161</v>
      </c>
      <c r="AH234" s="126"/>
      <c r="AI234" s="126"/>
      <c r="AJ234" s="127" t="s">
        <v>2147</v>
      </c>
      <c r="AK234" s="128"/>
      <c r="AL234" s="129"/>
      <c r="AM234" s="129"/>
    </row>
    <row r="235" spans="1:39" ht="47.25" customHeight="1">
      <c r="A235" s="137">
        <f>SUBTOTAL(3,$B$3:B235)</f>
        <v>233</v>
      </c>
      <c r="B235" s="164" t="s">
        <v>1037</v>
      </c>
      <c r="C235" s="165" t="s">
        <v>1038</v>
      </c>
      <c r="D235" s="124" t="s">
        <v>1039</v>
      </c>
      <c r="E235" s="137" t="s">
        <v>1040</v>
      </c>
      <c r="F235" s="137" t="s">
        <v>1041</v>
      </c>
      <c r="G235" s="137" t="s">
        <v>2389</v>
      </c>
      <c r="H235" s="137" t="s">
        <v>1042</v>
      </c>
      <c r="I235" s="137" t="s">
        <v>40</v>
      </c>
      <c r="J235" s="137" t="s">
        <v>1043</v>
      </c>
      <c r="K235" s="137" t="s">
        <v>280</v>
      </c>
      <c r="L235" s="137" t="s">
        <v>42</v>
      </c>
      <c r="M235" s="183" t="s">
        <v>1044</v>
      </c>
      <c r="N235" s="166">
        <v>44866</v>
      </c>
      <c r="O235" s="124" t="s">
        <v>2991</v>
      </c>
      <c r="P235" s="137" t="s">
        <v>2347</v>
      </c>
      <c r="Q235" s="137" t="s">
        <v>3676</v>
      </c>
      <c r="R235" s="124" t="s">
        <v>1045</v>
      </c>
      <c r="S235" s="124">
        <f>VLOOKUP(B235,'[3]NCL SAL. SHEET'!$A$4:$D$126,4,0)</f>
        <v>28005</v>
      </c>
      <c r="T235" s="125">
        <v>101326833444</v>
      </c>
      <c r="U235" s="126" t="s">
        <v>6503</v>
      </c>
      <c r="V235" s="126" t="s">
        <v>1046</v>
      </c>
      <c r="W235" s="126" t="s">
        <v>1047</v>
      </c>
      <c r="X235" s="126" t="s">
        <v>1048</v>
      </c>
      <c r="Y235" s="167" t="s">
        <v>51</v>
      </c>
      <c r="Z235" s="126" t="s">
        <v>50</v>
      </c>
      <c r="AA235" s="167" t="s">
        <v>1049</v>
      </c>
      <c r="AB235" s="167" t="s">
        <v>1049</v>
      </c>
      <c r="AC235" s="164" t="s">
        <v>1037</v>
      </c>
      <c r="AD235" s="140"/>
      <c r="AE235" s="126"/>
      <c r="AF235" s="126"/>
      <c r="AG235" s="168" t="s">
        <v>5251</v>
      </c>
      <c r="AH235" s="126"/>
      <c r="AI235" s="126"/>
      <c r="AJ235" s="127" t="s">
        <v>1043</v>
      </c>
      <c r="AK235" s="128"/>
      <c r="AL235" s="129"/>
      <c r="AM235" s="129"/>
    </row>
    <row r="236" spans="1:39" ht="47.25" customHeight="1">
      <c r="A236" s="137">
        <f>SUBTOTAL(3,$B$3:B236)</f>
        <v>234</v>
      </c>
      <c r="B236" s="164" t="s">
        <v>1050</v>
      </c>
      <c r="C236" s="165" t="s">
        <v>1051</v>
      </c>
      <c r="D236" s="124" t="s">
        <v>1052</v>
      </c>
      <c r="E236" s="137" t="s">
        <v>1053</v>
      </c>
      <c r="F236" s="137" t="s">
        <v>1054</v>
      </c>
      <c r="G236" s="137" t="s">
        <v>2389</v>
      </c>
      <c r="H236" s="137" t="s">
        <v>711</v>
      </c>
      <c r="I236" s="137" t="s">
        <v>40</v>
      </c>
      <c r="J236" s="137" t="s">
        <v>1055</v>
      </c>
      <c r="K236" s="137" t="s">
        <v>280</v>
      </c>
      <c r="L236" s="137" t="s">
        <v>42</v>
      </c>
      <c r="M236" s="183" t="s">
        <v>6032</v>
      </c>
      <c r="N236" s="166">
        <v>44866</v>
      </c>
      <c r="O236" s="124" t="s">
        <v>2991</v>
      </c>
      <c r="P236" s="137" t="s">
        <v>2347</v>
      </c>
      <c r="Q236" s="137" t="s">
        <v>3676</v>
      </c>
      <c r="R236" s="124" t="s">
        <v>1056</v>
      </c>
      <c r="S236" s="124">
        <f>VLOOKUP(B236,'[3]NCL SAL. SHEET'!$A$4:$D$126,4,0)</f>
        <v>28063</v>
      </c>
      <c r="T236" s="125">
        <v>100901795337</v>
      </c>
      <c r="U236" s="126" t="s">
        <v>6510</v>
      </c>
      <c r="V236" s="126" t="s">
        <v>1057</v>
      </c>
      <c r="W236" s="126" t="s">
        <v>1059</v>
      </c>
      <c r="X236" s="126" t="s">
        <v>1060</v>
      </c>
      <c r="Y236" s="167" t="s">
        <v>51</v>
      </c>
      <c r="Z236" s="126" t="s">
        <v>50</v>
      </c>
      <c r="AA236" s="167" t="s">
        <v>1061</v>
      </c>
      <c r="AB236" s="167" t="s">
        <v>1061</v>
      </c>
      <c r="AC236" s="164" t="s">
        <v>1050</v>
      </c>
      <c r="AD236" s="140"/>
      <c r="AE236" s="126"/>
      <c r="AF236" s="126"/>
      <c r="AG236" s="168" t="s">
        <v>5225</v>
      </c>
      <c r="AH236" s="126"/>
      <c r="AI236" s="126"/>
      <c r="AJ236" s="127" t="s">
        <v>1055</v>
      </c>
      <c r="AK236" s="128"/>
      <c r="AL236" s="129"/>
      <c r="AM236" s="129"/>
    </row>
    <row r="237" spans="1:39" ht="47.25" customHeight="1">
      <c r="A237" s="137">
        <f>SUBTOTAL(3,$B$3:B237)</f>
        <v>235</v>
      </c>
      <c r="B237" s="164" t="s">
        <v>1062</v>
      </c>
      <c r="C237" s="165" t="s">
        <v>1063</v>
      </c>
      <c r="D237" s="124" t="s">
        <v>1064</v>
      </c>
      <c r="E237" s="137" t="s">
        <v>70</v>
      </c>
      <c r="F237" s="137" t="s">
        <v>1065</v>
      </c>
      <c r="G237" s="137" t="s">
        <v>2345</v>
      </c>
      <c r="H237" s="137" t="s">
        <v>1066</v>
      </c>
      <c r="I237" s="137" t="s">
        <v>40</v>
      </c>
      <c r="J237" s="137" t="s">
        <v>1067</v>
      </c>
      <c r="K237" s="137" t="s">
        <v>41</v>
      </c>
      <c r="L237" s="137" t="s">
        <v>42</v>
      </c>
      <c r="M237" s="183" t="s">
        <v>6032</v>
      </c>
      <c r="N237" s="166">
        <v>44866</v>
      </c>
      <c r="O237" s="124" t="s">
        <v>2991</v>
      </c>
      <c r="P237" s="137" t="s">
        <v>2347</v>
      </c>
      <c r="Q237" s="137" t="s">
        <v>3676</v>
      </c>
      <c r="R237" s="124" t="s">
        <v>1068</v>
      </c>
      <c r="S237" s="124">
        <f>VLOOKUP(B237,'[3]NCL SAL. SHEET'!$A$4:$D$126,4,0)</f>
        <v>28173</v>
      </c>
      <c r="T237" s="142">
        <v>101416880677</v>
      </c>
      <c r="U237" s="126" t="s">
        <v>6513</v>
      </c>
      <c r="V237" s="126" t="s">
        <v>1069</v>
      </c>
      <c r="W237" s="126" t="s">
        <v>1071</v>
      </c>
      <c r="X237" s="126" t="s">
        <v>1072</v>
      </c>
      <c r="Y237" s="167" t="s">
        <v>51</v>
      </c>
      <c r="Z237" s="126" t="s">
        <v>50</v>
      </c>
      <c r="AA237" s="167" t="s">
        <v>1073</v>
      </c>
      <c r="AB237" s="167" t="s">
        <v>1073</v>
      </c>
      <c r="AC237" s="164" t="s">
        <v>1062</v>
      </c>
      <c r="AD237" s="140"/>
      <c r="AE237" s="126"/>
      <c r="AF237" s="126"/>
      <c r="AG237" s="168" t="s">
        <v>5098</v>
      </c>
      <c r="AH237" s="126"/>
      <c r="AI237" s="126"/>
      <c r="AJ237" s="127" t="s">
        <v>1067</v>
      </c>
      <c r="AK237" s="128"/>
      <c r="AL237" s="129"/>
      <c r="AM237" s="129"/>
    </row>
    <row r="238" spans="1:39" ht="47.25" customHeight="1">
      <c r="A238" s="137">
        <f>SUBTOTAL(3,$B$3:B238)</f>
        <v>236</v>
      </c>
      <c r="B238" s="164" t="s">
        <v>1074</v>
      </c>
      <c r="C238" s="165" t="s">
        <v>1075</v>
      </c>
      <c r="D238" s="124" t="s">
        <v>1076</v>
      </c>
      <c r="E238" s="137" t="s">
        <v>1077</v>
      </c>
      <c r="F238" s="137" t="s">
        <v>1078</v>
      </c>
      <c r="G238" s="137" t="s">
        <v>2345</v>
      </c>
      <c r="H238" s="137" t="s">
        <v>1079</v>
      </c>
      <c r="I238" s="137" t="s">
        <v>702</v>
      </c>
      <c r="J238" s="137" t="s">
        <v>1080</v>
      </c>
      <c r="K238" s="137" t="s">
        <v>280</v>
      </c>
      <c r="L238" s="137" t="s">
        <v>42</v>
      </c>
      <c r="M238" s="183" t="s">
        <v>1044</v>
      </c>
      <c r="N238" s="166">
        <v>44866</v>
      </c>
      <c r="O238" s="124" t="s">
        <v>2991</v>
      </c>
      <c r="P238" s="137" t="s">
        <v>2347</v>
      </c>
      <c r="Q238" s="137" t="s">
        <v>3676</v>
      </c>
      <c r="R238" s="124" t="s">
        <v>1081</v>
      </c>
      <c r="S238" s="124">
        <f>VLOOKUP(B238,'[3]NCL SAL. SHEET'!$A$4:$D$126,4,0)</f>
        <v>28000</v>
      </c>
      <c r="T238" s="125">
        <v>101183875438</v>
      </c>
      <c r="U238" s="126" t="s">
        <v>1083</v>
      </c>
      <c r="V238" s="126" t="s">
        <v>1082</v>
      </c>
      <c r="W238" s="126" t="s">
        <v>1084</v>
      </c>
      <c r="X238" s="126" t="s">
        <v>1085</v>
      </c>
      <c r="Y238" s="167" t="s">
        <v>51</v>
      </c>
      <c r="Z238" s="126" t="s">
        <v>50</v>
      </c>
      <c r="AA238" s="167" t="s">
        <v>1086</v>
      </c>
      <c r="AB238" s="167" t="s">
        <v>1086</v>
      </c>
      <c r="AC238" s="164" t="s">
        <v>1074</v>
      </c>
      <c r="AD238" s="140"/>
      <c r="AE238" s="126"/>
      <c r="AF238" s="126"/>
      <c r="AG238" s="168" t="s">
        <v>5260</v>
      </c>
      <c r="AH238" s="126"/>
      <c r="AI238" s="126"/>
      <c r="AJ238" s="127" t="s">
        <v>1080</v>
      </c>
      <c r="AK238" s="128"/>
      <c r="AL238" s="129"/>
      <c r="AM238" s="129"/>
    </row>
    <row r="239" spans="1:39" ht="47.25" customHeight="1">
      <c r="A239" s="137">
        <f>SUBTOTAL(3,$B$3:B239)</f>
        <v>237</v>
      </c>
      <c r="B239" s="164" t="s">
        <v>1087</v>
      </c>
      <c r="C239" s="165" t="s">
        <v>1088</v>
      </c>
      <c r="D239" s="124" t="s">
        <v>1089</v>
      </c>
      <c r="E239" s="137" t="s">
        <v>263</v>
      </c>
      <c r="F239" s="137" t="s">
        <v>1090</v>
      </c>
      <c r="G239" s="137" t="s">
        <v>2345</v>
      </c>
      <c r="H239" s="137" t="s">
        <v>1091</v>
      </c>
      <c r="I239" s="137" t="s">
        <v>40</v>
      </c>
      <c r="J239" s="137" t="s">
        <v>1092</v>
      </c>
      <c r="K239" s="137" t="s">
        <v>41</v>
      </c>
      <c r="L239" s="137" t="s">
        <v>42</v>
      </c>
      <c r="M239" s="183" t="s">
        <v>6032</v>
      </c>
      <c r="N239" s="166">
        <v>44866</v>
      </c>
      <c r="O239" s="124" t="s">
        <v>2991</v>
      </c>
      <c r="P239" s="137" t="s">
        <v>2347</v>
      </c>
      <c r="Q239" s="137" t="s">
        <v>3676</v>
      </c>
      <c r="R239" s="124" t="s">
        <v>1093</v>
      </c>
      <c r="S239" s="124">
        <f>VLOOKUP(B239,'[3]NCL SAL. SHEET'!$A$4:$D$126,4,0)</f>
        <v>28287</v>
      </c>
      <c r="T239" s="125">
        <v>101412594540</v>
      </c>
      <c r="U239" s="126" t="s">
        <v>6504</v>
      </c>
      <c r="V239" s="126" t="s">
        <v>1094</v>
      </c>
      <c r="W239" s="126" t="s">
        <v>1096</v>
      </c>
      <c r="X239" s="126" t="s">
        <v>1097</v>
      </c>
      <c r="Y239" s="167" t="s">
        <v>132</v>
      </c>
      <c r="Z239" s="126" t="s">
        <v>374</v>
      </c>
      <c r="AA239" s="167" t="s">
        <v>1098</v>
      </c>
      <c r="AB239" s="167" t="s">
        <v>1098</v>
      </c>
      <c r="AC239" s="164" t="s">
        <v>1087</v>
      </c>
      <c r="AD239" s="140"/>
      <c r="AE239" s="126"/>
      <c r="AF239" s="126"/>
      <c r="AG239" s="168" t="s">
        <v>5087</v>
      </c>
      <c r="AH239" s="126"/>
      <c r="AI239" s="126"/>
      <c r="AJ239" s="127" t="s">
        <v>1092</v>
      </c>
      <c r="AK239" s="128"/>
      <c r="AL239" s="129"/>
      <c r="AM239" s="129"/>
    </row>
    <row r="240" spans="1:39" ht="47.25" customHeight="1">
      <c r="A240" s="137">
        <f>SUBTOTAL(3,$B$3:B240)</f>
        <v>238</v>
      </c>
      <c r="B240" s="164" t="s">
        <v>1134</v>
      </c>
      <c r="C240" s="165" t="s">
        <v>1135</v>
      </c>
      <c r="D240" s="124" t="s">
        <v>1136</v>
      </c>
      <c r="E240" s="137" t="s">
        <v>1137</v>
      </c>
      <c r="F240" s="137" t="s">
        <v>1138</v>
      </c>
      <c r="G240" s="137" t="s">
        <v>2345</v>
      </c>
      <c r="H240" s="137" t="s">
        <v>1139</v>
      </c>
      <c r="I240" s="137" t="s">
        <v>702</v>
      </c>
      <c r="J240" s="137" t="s">
        <v>1140</v>
      </c>
      <c r="K240" s="137" t="s">
        <v>280</v>
      </c>
      <c r="L240" s="137" t="s">
        <v>42</v>
      </c>
      <c r="M240" s="183" t="s">
        <v>6032</v>
      </c>
      <c r="N240" s="166">
        <v>44866</v>
      </c>
      <c r="O240" s="124" t="s">
        <v>2991</v>
      </c>
      <c r="P240" s="137" t="s">
        <v>2347</v>
      </c>
      <c r="Q240" s="137" t="s">
        <v>3676</v>
      </c>
      <c r="R240" s="124" t="s">
        <v>1141</v>
      </c>
      <c r="S240" s="124">
        <f>VLOOKUP(B240,'[3]NCL SAL. SHEET'!$A$4:$D$126,4,0)</f>
        <v>28262</v>
      </c>
      <c r="T240" s="125">
        <v>101326833519</v>
      </c>
      <c r="U240" s="126" t="s">
        <v>6506</v>
      </c>
      <c r="V240" s="126" t="s">
        <v>1142</v>
      </c>
      <c r="W240" s="126" t="s">
        <v>1143</v>
      </c>
      <c r="X240" s="126" t="s">
        <v>1144</v>
      </c>
      <c r="Y240" s="167" t="s">
        <v>51</v>
      </c>
      <c r="Z240" s="126" t="s">
        <v>50</v>
      </c>
      <c r="AA240" s="167" t="s">
        <v>1145</v>
      </c>
      <c r="AB240" s="167" t="s">
        <v>1145</v>
      </c>
      <c r="AC240" s="164" t="s">
        <v>1134</v>
      </c>
      <c r="AD240" s="140"/>
      <c r="AE240" s="126"/>
      <c r="AF240" s="126"/>
      <c r="AG240" s="168" t="s">
        <v>5228</v>
      </c>
      <c r="AH240" s="126"/>
      <c r="AI240" s="126"/>
      <c r="AJ240" s="127" t="s">
        <v>1140</v>
      </c>
      <c r="AK240" s="128"/>
      <c r="AL240" s="129"/>
      <c r="AM240" s="129"/>
    </row>
    <row r="241" spans="1:40" ht="47.25" customHeight="1">
      <c r="A241" s="137">
        <f>SUBTOTAL(3,$B$3:B241)</f>
        <v>239</v>
      </c>
      <c r="B241" s="164" t="s">
        <v>1146</v>
      </c>
      <c r="C241" s="165" t="s">
        <v>1147</v>
      </c>
      <c r="D241" s="124" t="s">
        <v>1148</v>
      </c>
      <c r="E241" s="137" t="s">
        <v>263</v>
      </c>
      <c r="F241" s="137" t="s">
        <v>1149</v>
      </c>
      <c r="G241" s="137" t="s">
        <v>2389</v>
      </c>
      <c r="H241" s="137" t="s">
        <v>570</v>
      </c>
      <c r="I241" s="137" t="s">
        <v>40</v>
      </c>
      <c r="J241" s="137" t="s">
        <v>1150</v>
      </c>
      <c r="K241" s="137" t="s">
        <v>41</v>
      </c>
      <c r="L241" s="137" t="s">
        <v>42</v>
      </c>
      <c r="M241" s="183" t="s">
        <v>1151</v>
      </c>
      <c r="N241" s="166">
        <v>44866</v>
      </c>
      <c r="O241" s="124" t="s">
        <v>2991</v>
      </c>
      <c r="P241" s="137" t="s">
        <v>2347</v>
      </c>
      <c r="Q241" s="137" t="s">
        <v>3676</v>
      </c>
      <c r="R241" s="124">
        <v>8140819038</v>
      </c>
      <c r="S241" s="124">
        <f>VLOOKUP(B241,'[3]NCL SAL. SHEET'!$A$4:$D$126,4,0)</f>
        <v>28279</v>
      </c>
      <c r="T241" s="125">
        <v>101416001605</v>
      </c>
      <c r="U241" s="126" t="s">
        <v>6517</v>
      </c>
      <c r="V241" s="126" t="s">
        <v>1152</v>
      </c>
      <c r="W241" s="126" t="s">
        <v>1154</v>
      </c>
      <c r="X241" s="126" t="s">
        <v>1155</v>
      </c>
      <c r="Y241" s="167" t="s">
        <v>51</v>
      </c>
      <c r="Z241" s="126" t="s">
        <v>50</v>
      </c>
      <c r="AA241" s="167" t="s">
        <v>1156</v>
      </c>
      <c r="AB241" s="167" t="s">
        <v>1156</v>
      </c>
      <c r="AC241" s="164" t="s">
        <v>1146</v>
      </c>
      <c r="AD241" s="140"/>
      <c r="AE241" s="126"/>
      <c r="AF241" s="126"/>
      <c r="AG241" s="168" t="s">
        <v>5414</v>
      </c>
      <c r="AH241" s="126"/>
      <c r="AI241" s="126"/>
      <c r="AJ241" s="127" t="s">
        <v>1150</v>
      </c>
      <c r="AK241" s="128"/>
      <c r="AL241" s="129"/>
      <c r="AM241" s="129"/>
    </row>
    <row r="242" spans="1:40" ht="47.25" customHeight="1">
      <c r="A242" s="137">
        <f>SUBTOTAL(3,$B$3:B242)</f>
        <v>240</v>
      </c>
      <c r="B242" s="164" t="s">
        <v>1157</v>
      </c>
      <c r="C242" s="165" t="s">
        <v>1158</v>
      </c>
      <c r="D242" s="124" t="s">
        <v>1159</v>
      </c>
      <c r="E242" s="137" t="s">
        <v>754</v>
      </c>
      <c r="F242" s="137" t="s">
        <v>1160</v>
      </c>
      <c r="G242" s="137" t="s">
        <v>2345</v>
      </c>
      <c r="H242" s="137" t="s">
        <v>1161</v>
      </c>
      <c r="I242" s="137" t="s">
        <v>40</v>
      </c>
      <c r="J242" s="137" t="s">
        <v>1162</v>
      </c>
      <c r="K242" s="137" t="s">
        <v>41</v>
      </c>
      <c r="L242" s="137" t="s">
        <v>42</v>
      </c>
      <c r="M242" s="183" t="s">
        <v>1044</v>
      </c>
      <c r="N242" s="166">
        <v>44866</v>
      </c>
      <c r="O242" s="124" t="s">
        <v>2991</v>
      </c>
      <c r="P242" s="137" t="s">
        <v>2347</v>
      </c>
      <c r="Q242" s="137" t="s">
        <v>3676</v>
      </c>
      <c r="R242" s="124" t="s">
        <v>1163</v>
      </c>
      <c r="S242" s="124">
        <f>VLOOKUP(B242,'[3]NCL SAL. SHEET'!$A$4:$D$126,4,0)</f>
        <v>28069</v>
      </c>
      <c r="T242" s="125">
        <v>101705756653</v>
      </c>
      <c r="U242" s="126" t="s">
        <v>6514</v>
      </c>
      <c r="V242" s="126" t="s">
        <v>1164</v>
      </c>
      <c r="W242" s="126" t="s">
        <v>1166</v>
      </c>
      <c r="X242" s="126" t="s">
        <v>1167</v>
      </c>
      <c r="Y242" s="167" t="s">
        <v>146</v>
      </c>
      <c r="Z242" s="126" t="s">
        <v>1168</v>
      </c>
      <c r="AA242" s="167" t="s">
        <v>1169</v>
      </c>
      <c r="AB242" s="167" t="s">
        <v>1169</v>
      </c>
      <c r="AC242" s="164" t="s">
        <v>1157</v>
      </c>
      <c r="AD242" s="140"/>
      <c r="AE242" s="126"/>
      <c r="AF242" s="126"/>
      <c r="AG242" s="168" t="s">
        <v>5433</v>
      </c>
      <c r="AH242" s="126"/>
      <c r="AI242" s="126"/>
      <c r="AJ242" s="127" t="s">
        <v>1162</v>
      </c>
      <c r="AK242" s="128"/>
      <c r="AL242" s="129"/>
      <c r="AM242" s="129"/>
    </row>
    <row r="243" spans="1:40" ht="47.25" customHeight="1">
      <c r="A243" s="137">
        <f>SUBTOTAL(3,$B$3:B243)</f>
        <v>241</v>
      </c>
      <c r="B243" s="164" t="s">
        <v>1170</v>
      </c>
      <c r="C243" s="165" t="s">
        <v>1171</v>
      </c>
      <c r="D243" s="124" t="s">
        <v>1171</v>
      </c>
      <c r="E243" s="137" t="s">
        <v>1172</v>
      </c>
      <c r="F243" s="137" t="s">
        <v>1173</v>
      </c>
      <c r="G243" s="137" t="s">
        <v>2345</v>
      </c>
      <c r="H243" s="137" t="s">
        <v>190</v>
      </c>
      <c r="I243" s="137" t="s">
        <v>40</v>
      </c>
      <c r="J243" s="166">
        <v>36085</v>
      </c>
      <c r="K243" s="137" t="s">
        <v>41</v>
      </c>
      <c r="L243" s="137" t="s">
        <v>42</v>
      </c>
      <c r="M243" s="183" t="s">
        <v>1175</v>
      </c>
      <c r="N243" s="166">
        <v>44866</v>
      </c>
      <c r="O243" s="124" t="s">
        <v>2991</v>
      </c>
      <c r="P243" s="137" t="s">
        <v>2347</v>
      </c>
      <c r="Q243" s="137" t="s">
        <v>3676</v>
      </c>
      <c r="R243" s="124" t="s">
        <v>1176</v>
      </c>
      <c r="S243" s="124">
        <f>VLOOKUP(B243,'[3]NCL SAL. SHEET'!$A$4:$D$126,4,0)</f>
        <v>28132</v>
      </c>
      <c r="T243" s="142">
        <v>101596426826</v>
      </c>
      <c r="U243" s="126" t="s">
        <v>6502</v>
      </c>
      <c r="V243" s="126" t="s">
        <v>6594</v>
      </c>
      <c r="W243" s="126" t="s">
        <v>1178</v>
      </c>
      <c r="X243" s="126" t="s">
        <v>1179</v>
      </c>
      <c r="Y243" s="167" t="s">
        <v>619</v>
      </c>
      <c r="Z243" s="126" t="s">
        <v>751</v>
      </c>
      <c r="AA243" s="167" t="s">
        <v>1180</v>
      </c>
      <c r="AB243" s="167" t="s">
        <v>1180</v>
      </c>
      <c r="AC243" s="164" t="s">
        <v>1170</v>
      </c>
      <c r="AD243" s="140"/>
      <c r="AE243" s="126"/>
      <c r="AF243" s="126"/>
      <c r="AG243" s="168" t="s">
        <v>5209</v>
      </c>
      <c r="AH243" s="126"/>
      <c r="AI243" s="126"/>
      <c r="AJ243" s="127" t="s">
        <v>1174</v>
      </c>
      <c r="AK243" s="128"/>
      <c r="AL243" s="129"/>
      <c r="AM243" s="129"/>
      <c r="AN243" s="81">
        <v>372381020805</v>
      </c>
    </row>
    <row r="244" spans="1:40" ht="47.25" customHeight="1">
      <c r="A244" s="137">
        <f>SUBTOTAL(3,$B$3:B244)</f>
        <v>242</v>
      </c>
      <c r="B244" s="164" t="s">
        <v>1181</v>
      </c>
      <c r="C244" s="165" t="s">
        <v>1182</v>
      </c>
      <c r="D244" s="124" t="s">
        <v>1183</v>
      </c>
      <c r="E244" s="137" t="s">
        <v>1184</v>
      </c>
      <c r="F244" s="137" t="s">
        <v>1185</v>
      </c>
      <c r="G244" s="137" t="s">
        <v>2389</v>
      </c>
      <c r="H244" s="137" t="s">
        <v>1186</v>
      </c>
      <c r="I244" s="137" t="s">
        <v>40</v>
      </c>
      <c r="J244" s="137" t="s">
        <v>1187</v>
      </c>
      <c r="K244" s="137" t="s">
        <v>41</v>
      </c>
      <c r="L244" s="137" t="s">
        <v>42</v>
      </c>
      <c r="M244" s="183" t="s">
        <v>1188</v>
      </c>
      <c r="N244" s="166">
        <v>44866</v>
      </c>
      <c r="O244" s="124" t="s">
        <v>2991</v>
      </c>
      <c r="P244" s="137" t="s">
        <v>2347</v>
      </c>
      <c r="Q244" s="137" t="s">
        <v>3676</v>
      </c>
      <c r="R244" s="124" t="s">
        <v>1189</v>
      </c>
      <c r="S244" s="124">
        <f>VLOOKUP(B244,'[3]NCL SAL. SHEET'!$A$4:$D$126,4,0)</f>
        <v>28197</v>
      </c>
      <c r="T244" s="125">
        <v>101545045296</v>
      </c>
      <c r="U244" s="126" t="s">
        <v>6516</v>
      </c>
      <c r="V244" s="126" t="s">
        <v>1190</v>
      </c>
      <c r="W244" s="126" t="s">
        <v>1191</v>
      </c>
      <c r="X244" s="126" t="s">
        <v>1192</v>
      </c>
      <c r="Y244" s="167" t="s">
        <v>65</v>
      </c>
      <c r="Z244" s="126" t="s">
        <v>1193</v>
      </c>
      <c r="AA244" s="167" t="s">
        <v>1194</v>
      </c>
      <c r="AB244" s="167" t="s">
        <v>1194</v>
      </c>
      <c r="AC244" s="164" t="s">
        <v>1181</v>
      </c>
      <c r="AD244" s="140"/>
      <c r="AE244" s="126"/>
      <c r="AF244" s="126"/>
      <c r="AG244" s="168" t="s">
        <v>5219</v>
      </c>
      <c r="AH244" s="126"/>
      <c r="AI244" s="126"/>
      <c r="AJ244" s="127" t="s">
        <v>1187</v>
      </c>
      <c r="AK244" s="128"/>
      <c r="AL244" s="129"/>
      <c r="AM244" s="129"/>
    </row>
    <row r="245" spans="1:40" ht="47.25" customHeight="1">
      <c r="A245" s="137">
        <f>SUBTOTAL(3,$B$3:B245)</f>
        <v>243</v>
      </c>
      <c r="B245" s="164" t="s">
        <v>1195</v>
      </c>
      <c r="C245" s="165" t="s">
        <v>1196</v>
      </c>
      <c r="D245" s="124" t="s">
        <v>1197</v>
      </c>
      <c r="E245" s="137" t="s">
        <v>1198</v>
      </c>
      <c r="F245" s="137" t="s">
        <v>1199</v>
      </c>
      <c r="G245" s="137" t="s">
        <v>2389</v>
      </c>
      <c r="H245" s="137" t="s">
        <v>1200</v>
      </c>
      <c r="I245" s="137" t="s">
        <v>40</v>
      </c>
      <c r="J245" s="137" t="s">
        <v>1201</v>
      </c>
      <c r="K245" s="137" t="s">
        <v>41</v>
      </c>
      <c r="L245" s="137" t="s">
        <v>42</v>
      </c>
      <c r="M245" s="183" t="s">
        <v>1202</v>
      </c>
      <c r="N245" s="166">
        <v>44866</v>
      </c>
      <c r="O245" s="124" t="s">
        <v>2991</v>
      </c>
      <c r="P245" s="137" t="s">
        <v>2347</v>
      </c>
      <c r="Q245" s="137" t="s">
        <v>3676</v>
      </c>
      <c r="R245" s="124" t="s">
        <v>1203</v>
      </c>
      <c r="S245" s="124">
        <f>VLOOKUP(B245,'[3]NCL SAL. SHEET'!$A$4:$D$126,4,0)</f>
        <v>28270</v>
      </c>
      <c r="T245" s="125">
        <v>101282529838</v>
      </c>
      <c r="U245" s="126" t="s">
        <v>6515</v>
      </c>
      <c r="V245" s="126" t="s">
        <v>1204</v>
      </c>
      <c r="W245" s="126" t="s">
        <v>1205</v>
      </c>
      <c r="X245" s="126" t="s">
        <v>1206</v>
      </c>
      <c r="Y245" s="167" t="s">
        <v>51</v>
      </c>
      <c r="Z245" s="126" t="s">
        <v>50</v>
      </c>
      <c r="AA245" s="167" t="s">
        <v>1207</v>
      </c>
      <c r="AB245" s="167" t="s">
        <v>1207</v>
      </c>
      <c r="AC245" s="164" t="s">
        <v>1195</v>
      </c>
      <c r="AD245" s="140"/>
      <c r="AE245" s="126"/>
      <c r="AF245" s="126"/>
      <c r="AG245" s="168" t="s">
        <v>5252</v>
      </c>
      <c r="AH245" s="126"/>
      <c r="AI245" s="126"/>
      <c r="AJ245" s="127" t="s">
        <v>1201</v>
      </c>
      <c r="AK245" s="128"/>
      <c r="AL245" s="129"/>
      <c r="AM245" s="129"/>
    </row>
    <row r="246" spans="1:40" ht="47.25" customHeight="1">
      <c r="A246" s="137">
        <f>SUBTOTAL(3,$B$3:B246)</f>
        <v>244</v>
      </c>
      <c r="B246" s="164" t="s">
        <v>1208</v>
      </c>
      <c r="C246" s="165" t="s">
        <v>1209</v>
      </c>
      <c r="D246" s="124" t="s">
        <v>1210</v>
      </c>
      <c r="E246" s="137" t="s">
        <v>70</v>
      </c>
      <c r="F246" s="137" t="s">
        <v>1211</v>
      </c>
      <c r="G246" s="137" t="s">
        <v>2345</v>
      </c>
      <c r="H246" s="137" t="s">
        <v>1212</v>
      </c>
      <c r="I246" s="137" t="s">
        <v>40</v>
      </c>
      <c r="J246" s="137" t="s">
        <v>1213</v>
      </c>
      <c r="K246" s="137" t="s">
        <v>41</v>
      </c>
      <c r="L246" s="137" t="s">
        <v>42</v>
      </c>
      <c r="M246" s="183" t="s">
        <v>1044</v>
      </c>
      <c r="N246" s="166">
        <v>44866</v>
      </c>
      <c r="O246" s="124" t="s">
        <v>2991</v>
      </c>
      <c r="P246" s="137" t="s">
        <v>2347</v>
      </c>
      <c r="Q246" s="137" t="s">
        <v>3676</v>
      </c>
      <c r="R246" s="124" t="s">
        <v>1214</v>
      </c>
      <c r="S246" s="124">
        <f>VLOOKUP(B246,'[3]NCL SAL. SHEET'!$A$4:$D$126,4,0)</f>
        <v>28263</v>
      </c>
      <c r="T246" s="125">
        <v>100747117564</v>
      </c>
      <c r="U246" s="126" t="s">
        <v>6499</v>
      </c>
      <c r="V246" s="126" t="s">
        <v>1215</v>
      </c>
      <c r="W246" s="126" t="s">
        <v>1216</v>
      </c>
      <c r="X246" s="126" t="s">
        <v>1217</v>
      </c>
      <c r="Y246" s="167" t="s">
        <v>132</v>
      </c>
      <c r="Z246" s="126" t="s">
        <v>1218</v>
      </c>
      <c r="AA246" s="167" t="s">
        <v>1219</v>
      </c>
      <c r="AB246" s="167" t="s">
        <v>1219</v>
      </c>
      <c r="AC246" s="164" t="s">
        <v>1208</v>
      </c>
      <c r="AD246" s="140"/>
      <c r="AE246" s="126"/>
      <c r="AF246" s="126"/>
      <c r="AG246" s="168" t="s">
        <v>5223</v>
      </c>
      <c r="AH246" s="126"/>
      <c r="AI246" s="126"/>
      <c r="AJ246" s="127" t="s">
        <v>1213</v>
      </c>
      <c r="AK246" s="128"/>
      <c r="AL246" s="129"/>
      <c r="AM246" s="129"/>
    </row>
    <row r="247" spans="1:40" ht="47.25" customHeight="1">
      <c r="A247" s="137">
        <f>SUBTOTAL(3,$B$3:B247)</f>
        <v>245</v>
      </c>
      <c r="B247" s="164" t="s">
        <v>1220</v>
      </c>
      <c r="C247" s="165" t="s">
        <v>1221</v>
      </c>
      <c r="D247" s="124" t="s">
        <v>1222</v>
      </c>
      <c r="E247" s="137" t="s">
        <v>136</v>
      </c>
      <c r="F247" s="137" t="s">
        <v>1223</v>
      </c>
      <c r="G247" s="137" t="s">
        <v>2345</v>
      </c>
      <c r="H247" s="137" t="s">
        <v>1224</v>
      </c>
      <c r="I247" s="137" t="s">
        <v>40</v>
      </c>
      <c r="J247" s="137" t="s">
        <v>1225</v>
      </c>
      <c r="K247" s="137" t="s">
        <v>41</v>
      </c>
      <c r="L247" s="137" t="s">
        <v>42</v>
      </c>
      <c r="M247" s="183" t="s">
        <v>1175</v>
      </c>
      <c r="N247" s="166">
        <v>44866</v>
      </c>
      <c r="O247" s="124" t="s">
        <v>2991</v>
      </c>
      <c r="P247" s="137" t="s">
        <v>2347</v>
      </c>
      <c r="Q247" s="137" t="s">
        <v>3676</v>
      </c>
      <c r="R247" s="124" t="s">
        <v>1226</v>
      </c>
      <c r="S247" s="124">
        <f>VLOOKUP(B247,'[3]NCL SAL. SHEET'!$A$4:$D$126,4,0)</f>
        <v>28273</v>
      </c>
      <c r="T247" s="125">
        <v>101412594490</v>
      </c>
      <c r="U247" s="126" t="s">
        <v>6498</v>
      </c>
      <c r="V247" s="126" t="s">
        <v>1227</v>
      </c>
      <c r="W247" s="126" t="s">
        <v>1228</v>
      </c>
      <c r="X247" s="126" t="s">
        <v>1229</v>
      </c>
      <c r="Y247" s="167" t="s">
        <v>132</v>
      </c>
      <c r="Z247" s="126" t="s">
        <v>1230</v>
      </c>
      <c r="AA247" s="167" t="s">
        <v>1231</v>
      </c>
      <c r="AB247" s="167" t="s">
        <v>1231</v>
      </c>
      <c r="AC247" s="164" t="s">
        <v>1220</v>
      </c>
      <c r="AD247" s="140"/>
      <c r="AE247" s="126"/>
      <c r="AF247" s="126"/>
      <c r="AG247" s="168" t="s">
        <v>5253</v>
      </c>
      <c r="AH247" s="126"/>
      <c r="AI247" s="126"/>
      <c r="AJ247" s="127" t="s">
        <v>1225</v>
      </c>
      <c r="AK247" s="128"/>
      <c r="AL247" s="129"/>
      <c r="AM247" s="129"/>
    </row>
    <row r="248" spans="1:40" ht="47.25" customHeight="1">
      <c r="A248" s="137">
        <f>SUBTOTAL(3,$B$3:B248)</f>
        <v>246</v>
      </c>
      <c r="B248" s="164" t="s">
        <v>1232</v>
      </c>
      <c r="C248" s="165" t="s">
        <v>1233</v>
      </c>
      <c r="D248" s="124" t="s">
        <v>1234</v>
      </c>
      <c r="E248" s="137" t="s">
        <v>754</v>
      </c>
      <c r="F248" s="137" t="s">
        <v>1235</v>
      </c>
      <c r="G248" s="137" t="s">
        <v>2345</v>
      </c>
      <c r="H248" s="137" t="s">
        <v>659</v>
      </c>
      <c r="I248" s="137" t="s">
        <v>40</v>
      </c>
      <c r="J248" s="137" t="s">
        <v>1236</v>
      </c>
      <c r="K248" s="137" t="s">
        <v>41</v>
      </c>
      <c r="L248" s="137" t="s">
        <v>42</v>
      </c>
      <c r="M248" s="183" t="s">
        <v>1237</v>
      </c>
      <c r="N248" s="166">
        <v>44866</v>
      </c>
      <c r="O248" s="124" t="s">
        <v>2991</v>
      </c>
      <c r="P248" s="137" t="s">
        <v>2347</v>
      </c>
      <c r="Q248" s="137" t="s">
        <v>3676</v>
      </c>
      <c r="R248" s="124" t="s">
        <v>1238</v>
      </c>
      <c r="S248" s="124">
        <f>VLOOKUP(B248,'[3]NCL SAL. SHEET'!$A$4:$D$126,4,0)</f>
        <v>27999</v>
      </c>
      <c r="T248" s="125">
        <v>101326833416</v>
      </c>
      <c r="U248" s="126" t="s">
        <v>6496</v>
      </c>
      <c r="V248" s="126" t="s">
        <v>1239</v>
      </c>
      <c r="W248" s="126" t="s">
        <v>1240</v>
      </c>
      <c r="X248" s="126" t="s">
        <v>1241</v>
      </c>
      <c r="Y248" s="167" t="s">
        <v>51</v>
      </c>
      <c r="Z248" s="126" t="s">
        <v>50</v>
      </c>
      <c r="AA248" s="167" t="s">
        <v>6497</v>
      </c>
      <c r="AB248" s="167" t="s">
        <v>6497</v>
      </c>
      <c r="AC248" s="164" t="s">
        <v>1232</v>
      </c>
      <c r="AD248" s="140"/>
      <c r="AE248" s="126"/>
      <c r="AF248" s="126"/>
      <c r="AG248" s="168" t="s">
        <v>5241</v>
      </c>
      <c r="AH248" s="126"/>
      <c r="AI248" s="126"/>
      <c r="AJ248" s="127" t="s">
        <v>1236</v>
      </c>
      <c r="AK248" s="128"/>
      <c r="AL248" s="129"/>
      <c r="AM248" s="129"/>
    </row>
    <row r="249" spans="1:40" ht="47.25" customHeight="1">
      <c r="A249" s="137">
        <f>SUBTOTAL(3,$B$3:B249)</f>
        <v>247</v>
      </c>
      <c r="B249" s="164" t="s">
        <v>1242</v>
      </c>
      <c r="C249" s="165" t="s">
        <v>3738</v>
      </c>
      <c r="D249" s="124" t="s">
        <v>3738</v>
      </c>
      <c r="E249" s="137" t="s">
        <v>1243</v>
      </c>
      <c r="F249" s="137" t="s">
        <v>403</v>
      </c>
      <c r="G249" s="137" t="s">
        <v>2345</v>
      </c>
      <c r="H249" s="137" t="s">
        <v>1244</v>
      </c>
      <c r="I249" s="137" t="s">
        <v>702</v>
      </c>
      <c r="J249" s="137" t="s">
        <v>1245</v>
      </c>
      <c r="K249" s="137" t="s">
        <v>280</v>
      </c>
      <c r="L249" s="137" t="s">
        <v>42</v>
      </c>
      <c r="M249" s="183" t="s">
        <v>1044</v>
      </c>
      <c r="N249" s="166">
        <v>44866</v>
      </c>
      <c r="O249" s="124" t="s">
        <v>2991</v>
      </c>
      <c r="P249" s="137" t="s">
        <v>2347</v>
      </c>
      <c r="Q249" s="137" t="s">
        <v>3676</v>
      </c>
      <c r="R249" s="124" t="s">
        <v>1246</v>
      </c>
      <c r="S249" s="124">
        <f>VLOOKUP(B249,'[3]NCL SAL. SHEET'!$A$4:$D$126,4,0)</f>
        <v>28011</v>
      </c>
      <c r="T249" s="125">
        <v>101326833428</v>
      </c>
      <c r="U249" s="126" t="s">
        <v>6495</v>
      </c>
      <c r="V249" s="126" t="s">
        <v>1247</v>
      </c>
      <c r="W249" s="126" t="s">
        <v>1248</v>
      </c>
      <c r="X249" s="126" t="s">
        <v>1249</v>
      </c>
      <c r="Y249" s="167" t="s">
        <v>51</v>
      </c>
      <c r="Z249" s="126" t="s">
        <v>50</v>
      </c>
      <c r="AA249" s="167" t="s">
        <v>1250</v>
      </c>
      <c r="AB249" s="167" t="s">
        <v>1250</v>
      </c>
      <c r="AC249" s="164" t="s">
        <v>1242</v>
      </c>
      <c r="AD249" s="140"/>
      <c r="AE249" s="126"/>
      <c r="AF249" s="126"/>
      <c r="AG249" s="168" t="s">
        <v>5250</v>
      </c>
      <c r="AH249" s="126"/>
      <c r="AI249" s="126"/>
      <c r="AJ249" s="127" t="s">
        <v>1245</v>
      </c>
      <c r="AK249" s="128"/>
      <c r="AL249" s="129"/>
      <c r="AM249" s="129"/>
    </row>
    <row r="250" spans="1:40" ht="47.25" customHeight="1">
      <c r="A250" s="137">
        <f>SUBTOTAL(3,$B$3:B250)</f>
        <v>248</v>
      </c>
      <c r="B250" s="164" t="s">
        <v>1251</v>
      </c>
      <c r="C250" s="165" t="s">
        <v>1252</v>
      </c>
      <c r="D250" s="124" t="s">
        <v>1253</v>
      </c>
      <c r="E250" s="137" t="s">
        <v>1254</v>
      </c>
      <c r="F250" s="137" t="s">
        <v>1255</v>
      </c>
      <c r="G250" s="137" t="s">
        <v>2389</v>
      </c>
      <c r="H250" s="137" t="s">
        <v>1256</v>
      </c>
      <c r="I250" s="137" t="s">
        <v>40</v>
      </c>
      <c r="J250" s="137" t="s">
        <v>1257</v>
      </c>
      <c r="K250" s="137" t="s">
        <v>41</v>
      </c>
      <c r="L250" s="137" t="s">
        <v>42</v>
      </c>
      <c r="M250" s="183" t="s">
        <v>1104</v>
      </c>
      <c r="N250" s="166">
        <v>44866</v>
      </c>
      <c r="O250" s="124" t="s">
        <v>2991</v>
      </c>
      <c r="P250" s="137" t="s">
        <v>2347</v>
      </c>
      <c r="Q250" s="137" t="s">
        <v>3676</v>
      </c>
      <c r="R250" s="124" t="s">
        <v>1258</v>
      </c>
      <c r="S250" s="124">
        <f>VLOOKUP(B250,'[3]NCL SAL. SHEET'!$A$4:$D$126,4,0)</f>
        <v>28096</v>
      </c>
      <c r="T250" s="125">
        <v>101247707981</v>
      </c>
      <c r="U250" s="126" t="s">
        <v>1260</v>
      </c>
      <c r="V250" s="126" t="s">
        <v>1259</v>
      </c>
      <c r="W250" s="126" t="s">
        <v>1261</v>
      </c>
      <c r="X250" s="126" t="s">
        <v>1262</v>
      </c>
      <c r="Y250" s="167" t="s">
        <v>51</v>
      </c>
      <c r="Z250" s="126" t="s">
        <v>50</v>
      </c>
      <c r="AA250" s="167" t="s">
        <v>1263</v>
      </c>
      <c r="AB250" s="167" t="s">
        <v>1263</v>
      </c>
      <c r="AC250" s="164" t="s">
        <v>1251</v>
      </c>
      <c r="AD250" s="140"/>
      <c r="AE250" s="126"/>
      <c r="AF250" s="126"/>
      <c r="AG250" s="168" t="s">
        <v>5229</v>
      </c>
      <c r="AH250" s="126"/>
      <c r="AI250" s="126"/>
      <c r="AJ250" s="127" t="s">
        <v>1257</v>
      </c>
      <c r="AK250" s="128"/>
      <c r="AL250" s="129"/>
      <c r="AM250" s="129"/>
    </row>
    <row r="251" spans="1:40" ht="47.25" customHeight="1">
      <c r="A251" s="137">
        <f>SUBTOTAL(3,$B$3:B251)</f>
        <v>249</v>
      </c>
      <c r="B251" s="164" t="s">
        <v>1264</v>
      </c>
      <c r="C251" s="165" t="s">
        <v>1265</v>
      </c>
      <c r="D251" s="124" t="s">
        <v>1265</v>
      </c>
      <c r="E251" s="137" t="s">
        <v>722</v>
      </c>
      <c r="F251" s="137" t="s">
        <v>1266</v>
      </c>
      <c r="G251" s="137" t="s">
        <v>2345</v>
      </c>
      <c r="H251" s="137" t="s">
        <v>1267</v>
      </c>
      <c r="I251" s="137" t="s">
        <v>40</v>
      </c>
      <c r="J251" s="137" t="s">
        <v>1268</v>
      </c>
      <c r="K251" s="137" t="s">
        <v>41</v>
      </c>
      <c r="L251" s="137" t="s">
        <v>42</v>
      </c>
      <c r="M251" s="183" t="s">
        <v>1044</v>
      </c>
      <c r="N251" s="166">
        <v>44866</v>
      </c>
      <c r="O251" s="124" t="s">
        <v>2991</v>
      </c>
      <c r="P251" s="137" t="s">
        <v>2347</v>
      </c>
      <c r="Q251" s="137" t="s">
        <v>3676</v>
      </c>
      <c r="R251" s="124" t="s">
        <v>1269</v>
      </c>
      <c r="S251" s="124">
        <f>VLOOKUP(B251,'[3]NCL SAL. SHEET'!$A$4:$D$126,4,0)</f>
        <v>28188</v>
      </c>
      <c r="T251" s="125">
        <v>101753116046</v>
      </c>
      <c r="U251" s="126" t="s">
        <v>1271</v>
      </c>
      <c r="V251" s="126" t="s">
        <v>1270</v>
      </c>
      <c r="W251" s="126" t="s">
        <v>1272</v>
      </c>
      <c r="X251" s="126" t="s">
        <v>1273</v>
      </c>
      <c r="Y251" s="167" t="s">
        <v>271</v>
      </c>
      <c r="Z251" s="126" t="s">
        <v>1274</v>
      </c>
      <c r="AA251" s="167" t="s">
        <v>1275</v>
      </c>
      <c r="AB251" s="167" t="s">
        <v>1275</v>
      </c>
      <c r="AC251" s="164" t="s">
        <v>1264</v>
      </c>
      <c r="AD251" s="140"/>
      <c r="AE251" s="126"/>
      <c r="AF251" s="126"/>
      <c r="AG251" s="168" t="s">
        <v>5249</v>
      </c>
      <c r="AH251" s="126"/>
      <c r="AI251" s="126"/>
      <c r="AJ251" s="127" t="s">
        <v>1268</v>
      </c>
      <c r="AK251" s="128"/>
      <c r="AL251" s="129"/>
      <c r="AM251" s="129"/>
    </row>
    <row r="252" spans="1:40" ht="47.25" customHeight="1">
      <c r="A252" s="137">
        <f>SUBTOTAL(3,$B$3:B252)</f>
        <v>250</v>
      </c>
      <c r="B252" s="164" t="s">
        <v>1276</v>
      </c>
      <c r="C252" s="165" t="s">
        <v>1277</v>
      </c>
      <c r="D252" s="124" t="s">
        <v>1278</v>
      </c>
      <c r="E252" s="137" t="s">
        <v>1279</v>
      </c>
      <c r="F252" s="137" t="s">
        <v>1280</v>
      </c>
      <c r="G252" s="137" t="s">
        <v>2345</v>
      </c>
      <c r="H252" s="137" t="s">
        <v>878</v>
      </c>
      <c r="I252" s="137" t="s">
        <v>702</v>
      </c>
      <c r="J252" s="137" t="s">
        <v>1281</v>
      </c>
      <c r="K252" s="137" t="s">
        <v>280</v>
      </c>
      <c r="L252" s="137" t="s">
        <v>42</v>
      </c>
      <c r="M252" s="183" t="s">
        <v>1282</v>
      </c>
      <c r="N252" s="166">
        <v>44866</v>
      </c>
      <c r="O252" s="124" t="s">
        <v>2991</v>
      </c>
      <c r="P252" s="137" t="s">
        <v>2347</v>
      </c>
      <c r="Q252" s="137" t="s">
        <v>3676</v>
      </c>
      <c r="R252" s="124" t="s">
        <v>1283</v>
      </c>
      <c r="S252" s="124" t="e">
        <f>VLOOKUP(B252,'[3]NCL SAL. SHEET'!$A$4:$D$126,4,0)</f>
        <v>#N/A</v>
      </c>
      <c r="T252" s="125">
        <v>101409985409</v>
      </c>
      <c r="U252" s="126" t="s">
        <v>1285</v>
      </c>
      <c r="V252" s="126" t="s">
        <v>1284</v>
      </c>
      <c r="W252" s="126" t="s">
        <v>1286</v>
      </c>
      <c r="X252" s="126" t="s">
        <v>1287</v>
      </c>
      <c r="Y252" s="167" t="s">
        <v>1289</v>
      </c>
      <c r="Z252" s="126" t="s">
        <v>1288</v>
      </c>
      <c r="AA252" s="167" t="s">
        <v>1290</v>
      </c>
      <c r="AB252" s="167" t="s">
        <v>1290</v>
      </c>
      <c r="AC252" s="164" t="s">
        <v>1276</v>
      </c>
      <c r="AD252" s="140"/>
      <c r="AE252" s="126"/>
      <c r="AF252" s="126"/>
      <c r="AG252" s="186" t="s">
        <v>5068</v>
      </c>
      <c r="AH252" s="126"/>
      <c r="AI252" s="126"/>
      <c r="AJ252" s="127" t="s">
        <v>1281</v>
      </c>
      <c r="AK252" s="128"/>
      <c r="AL252" s="129"/>
      <c r="AM252" s="129"/>
      <c r="AN252" s="3" t="s">
        <v>7653</v>
      </c>
    </row>
    <row r="253" spans="1:40" ht="47.25" customHeight="1">
      <c r="A253" s="137">
        <f>SUBTOTAL(3,$B$3:B253)</f>
        <v>251</v>
      </c>
      <c r="B253" s="164" t="s">
        <v>1291</v>
      </c>
      <c r="C253" s="165" t="s">
        <v>1292</v>
      </c>
      <c r="D253" s="124" t="s">
        <v>1293</v>
      </c>
      <c r="E253" s="137" t="s">
        <v>136</v>
      </c>
      <c r="F253" s="137" t="s">
        <v>1294</v>
      </c>
      <c r="G253" s="137" t="s">
        <v>2345</v>
      </c>
      <c r="H253" s="137" t="s">
        <v>1295</v>
      </c>
      <c r="I253" s="137" t="s">
        <v>702</v>
      </c>
      <c r="J253" s="137" t="s">
        <v>1296</v>
      </c>
      <c r="K253" s="137" t="s">
        <v>280</v>
      </c>
      <c r="L253" s="137" t="s">
        <v>42</v>
      </c>
      <c r="M253" s="183" t="s">
        <v>1297</v>
      </c>
      <c r="N253" s="166">
        <v>44866</v>
      </c>
      <c r="O253" s="124" t="s">
        <v>2991</v>
      </c>
      <c r="P253" s="137" t="s">
        <v>2347</v>
      </c>
      <c r="Q253" s="137" t="s">
        <v>3676</v>
      </c>
      <c r="R253" s="124" t="s">
        <v>1298</v>
      </c>
      <c r="S253" s="124">
        <f>VLOOKUP(B253,'[3]NCL SAL. SHEET'!$A$4:$D$126,4,0)</f>
        <v>28288</v>
      </c>
      <c r="T253" s="125">
        <v>101412594604</v>
      </c>
      <c r="U253" s="126" t="s">
        <v>1300</v>
      </c>
      <c r="V253" s="126" t="s">
        <v>1299</v>
      </c>
      <c r="W253" s="126" t="s">
        <v>1301</v>
      </c>
      <c r="X253" s="126" t="s">
        <v>1302</v>
      </c>
      <c r="Y253" s="167" t="s">
        <v>132</v>
      </c>
      <c r="Z253" s="126" t="s">
        <v>1303</v>
      </c>
      <c r="AA253" s="167" t="s">
        <v>1304</v>
      </c>
      <c r="AB253" s="167" t="s">
        <v>1304</v>
      </c>
      <c r="AC253" s="164" t="s">
        <v>1291</v>
      </c>
      <c r="AD253" s="140"/>
      <c r="AE253" s="126"/>
      <c r="AF253" s="126"/>
      <c r="AG253" s="168" t="s">
        <v>5217</v>
      </c>
      <c r="AH253" s="126"/>
      <c r="AI253" s="126"/>
      <c r="AJ253" s="127" t="s">
        <v>1296</v>
      </c>
      <c r="AK253" s="128"/>
      <c r="AL253" s="129"/>
      <c r="AM253" s="129"/>
    </row>
    <row r="254" spans="1:40" ht="47.25" customHeight="1">
      <c r="A254" s="137">
        <f>SUBTOTAL(3,$B$3:B254)</f>
        <v>252</v>
      </c>
      <c r="B254" s="164" t="s">
        <v>1305</v>
      </c>
      <c r="C254" s="165" t="s">
        <v>1306</v>
      </c>
      <c r="D254" s="124" t="s">
        <v>1307</v>
      </c>
      <c r="E254" s="137" t="s">
        <v>1308</v>
      </c>
      <c r="F254" s="137" t="s">
        <v>1309</v>
      </c>
      <c r="G254" s="137" t="s">
        <v>2389</v>
      </c>
      <c r="H254" s="137" t="s">
        <v>1310</v>
      </c>
      <c r="I254" s="137" t="s">
        <v>40</v>
      </c>
      <c r="J254" s="137" t="s">
        <v>1311</v>
      </c>
      <c r="K254" s="137" t="s">
        <v>280</v>
      </c>
      <c r="L254" s="137" t="s">
        <v>42</v>
      </c>
      <c r="M254" s="183" t="s">
        <v>1044</v>
      </c>
      <c r="N254" s="166">
        <v>44866</v>
      </c>
      <c r="O254" s="124" t="s">
        <v>2991</v>
      </c>
      <c r="P254" s="137" t="s">
        <v>2347</v>
      </c>
      <c r="Q254" s="137" t="s">
        <v>3676</v>
      </c>
      <c r="R254" s="124" t="s">
        <v>1312</v>
      </c>
      <c r="S254" s="124">
        <f>VLOOKUP(B254,'[3]NCL SAL. SHEET'!$A$4:$D$126,4,0)</f>
        <v>28272</v>
      </c>
      <c r="T254" s="125">
        <v>101412594586</v>
      </c>
      <c r="U254" s="126" t="s">
        <v>1314</v>
      </c>
      <c r="V254" s="126" t="s">
        <v>1313</v>
      </c>
      <c r="W254" s="126" t="s">
        <v>1315</v>
      </c>
      <c r="X254" s="126" t="s">
        <v>1316</v>
      </c>
      <c r="Y254" s="167" t="s">
        <v>132</v>
      </c>
      <c r="Z254" s="126" t="s">
        <v>1317</v>
      </c>
      <c r="AA254" s="167" t="s">
        <v>1318</v>
      </c>
      <c r="AB254" s="167" t="s">
        <v>1318</v>
      </c>
      <c r="AC254" s="164" t="s">
        <v>1305</v>
      </c>
      <c r="AD254" s="140"/>
      <c r="AE254" s="126"/>
      <c r="AF254" s="126"/>
      <c r="AG254" s="168" t="s">
        <v>5265</v>
      </c>
      <c r="AH254" s="126"/>
      <c r="AI254" s="126"/>
      <c r="AJ254" s="127" t="s">
        <v>1311</v>
      </c>
      <c r="AK254" s="128"/>
      <c r="AL254" s="129"/>
      <c r="AM254" s="129"/>
    </row>
    <row r="255" spans="1:40" ht="47.25" customHeight="1">
      <c r="A255" s="137">
        <f>SUBTOTAL(3,$B$3:B255)</f>
        <v>253</v>
      </c>
      <c r="B255" s="164" t="s">
        <v>1319</v>
      </c>
      <c r="C255" s="165" t="s">
        <v>3739</v>
      </c>
      <c r="D255" s="124" t="s">
        <v>1320</v>
      </c>
      <c r="E255" s="137" t="s">
        <v>1321</v>
      </c>
      <c r="F255" s="137" t="s">
        <v>3689</v>
      </c>
      <c r="G255" s="137" t="s">
        <v>2345</v>
      </c>
      <c r="H255" s="137" t="s">
        <v>1322</v>
      </c>
      <c r="I255" s="137" t="s">
        <v>40</v>
      </c>
      <c r="J255" s="137" t="s">
        <v>1323</v>
      </c>
      <c r="K255" s="137" t="s">
        <v>41</v>
      </c>
      <c r="L255" s="137" t="s">
        <v>42</v>
      </c>
      <c r="M255" s="183" t="s">
        <v>1324</v>
      </c>
      <c r="N255" s="166">
        <v>44866</v>
      </c>
      <c r="O255" s="124" t="s">
        <v>2991</v>
      </c>
      <c r="P255" s="137" t="s">
        <v>2347</v>
      </c>
      <c r="Q255" s="137" t="s">
        <v>3676</v>
      </c>
      <c r="R255" s="124" t="s">
        <v>1325</v>
      </c>
      <c r="S255" s="124">
        <f>VLOOKUP(B255,'[3]NCL SAL. SHEET'!$A$4:$D$126,4,0)</f>
        <v>28009</v>
      </c>
      <c r="T255" s="125">
        <v>101326833503</v>
      </c>
      <c r="U255" s="126" t="s">
        <v>1327</v>
      </c>
      <c r="V255" s="126" t="s">
        <v>1326</v>
      </c>
      <c r="W255" s="126" t="s">
        <v>1328</v>
      </c>
      <c r="X255" s="126" t="s">
        <v>1329</v>
      </c>
      <c r="Y255" s="167" t="s">
        <v>51</v>
      </c>
      <c r="Z255" s="126" t="s">
        <v>50</v>
      </c>
      <c r="AA255" s="167" t="s">
        <v>1330</v>
      </c>
      <c r="AB255" s="167" t="s">
        <v>1330</v>
      </c>
      <c r="AC255" s="164" t="s">
        <v>1319</v>
      </c>
      <c r="AD255" s="140"/>
      <c r="AE255" s="126"/>
      <c r="AF255" s="126"/>
      <c r="AG255" s="168" t="s">
        <v>5102</v>
      </c>
      <c r="AH255" s="126"/>
      <c r="AI255" s="126"/>
      <c r="AJ255" s="127" t="s">
        <v>1323</v>
      </c>
      <c r="AK255" s="128"/>
      <c r="AL255" s="129"/>
      <c r="AM255" s="129"/>
    </row>
    <row r="256" spans="1:40" ht="47.25" customHeight="1">
      <c r="A256" s="137">
        <f>SUBTOTAL(3,$B$3:B256)</f>
        <v>254</v>
      </c>
      <c r="B256" s="164" t="s">
        <v>1331</v>
      </c>
      <c r="C256" s="165" t="s">
        <v>1332</v>
      </c>
      <c r="D256" s="124" t="s">
        <v>1333</v>
      </c>
      <c r="E256" s="137" t="s">
        <v>1334</v>
      </c>
      <c r="F256" s="137" t="s">
        <v>1335</v>
      </c>
      <c r="G256" s="137" t="s">
        <v>2389</v>
      </c>
      <c r="H256" s="137" t="s">
        <v>1336</v>
      </c>
      <c r="I256" s="137" t="s">
        <v>40</v>
      </c>
      <c r="J256" s="137" t="s">
        <v>1337</v>
      </c>
      <c r="K256" s="137" t="s">
        <v>41</v>
      </c>
      <c r="L256" s="137" t="s">
        <v>42</v>
      </c>
      <c r="M256" s="183" t="s">
        <v>1324</v>
      </c>
      <c r="N256" s="166">
        <v>44866</v>
      </c>
      <c r="O256" s="124" t="s">
        <v>2991</v>
      </c>
      <c r="P256" s="137" t="s">
        <v>2347</v>
      </c>
      <c r="Q256" s="137" t="s">
        <v>3676</v>
      </c>
      <c r="R256" s="124" t="s">
        <v>1338</v>
      </c>
      <c r="S256" s="124">
        <f>VLOOKUP(B256,'[3]NCL SAL. SHEET'!$A$4:$D$126,4,0)</f>
        <v>28191</v>
      </c>
      <c r="T256" s="125">
        <v>101416000385</v>
      </c>
      <c r="U256" s="126" t="s">
        <v>1340</v>
      </c>
      <c r="V256" s="126" t="s">
        <v>1339</v>
      </c>
      <c r="W256" s="126" t="s">
        <v>1341</v>
      </c>
      <c r="X256" s="126" t="s">
        <v>1342</v>
      </c>
      <c r="Y256" s="167" t="s">
        <v>51</v>
      </c>
      <c r="Z256" s="126" t="s">
        <v>50</v>
      </c>
      <c r="AA256" s="167" t="s">
        <v>1343</v>
      </c>
      <c r="AB256" s="167" t="s">
        <v>1343</v>
      </c>
      <c r="AC256" s="164" t="s">
        <v>1331</v>
      </c>
      <c r="AD256" s="140"/>
      <c r="AE256" s="126"/>
      <c r="AF256" s="126"/>
      <c r="AG256" s="168" t="s">
        <v>5206</v>
      </c>
      <c r="AH256" s="126"/>
      <c r="AI256" s="126"/>
      <c r="AJ256" s="127" t="s">
        <v>1337</v>
      </c>
      <c r="AK256" s="128"/>
      <c r="AL256" s="129"/>
      <c r="AM256" s="129"/>
    </row>
    <row r="257" spans="1:40" ht="47.25" customHeight="1">
      <c r="A257" s="137">
        <f>SUBTOTAL(3,$B$3:B257)</f>
        <v>255</v>
      </c>
      <c r="B257" s="164" t="s">
        <v>1344</v>
      </c>
      <c r="C257" s="165" t="s">
        <v>3740</v>
      </c>
      <c r="D257" s="124" t="s">
        <v>3741</v>
      </c>
      <c r="E257" s="137" t="s">
        <v>1345</v>
      </c>
      <c r="F257" s="137" t="s">
        <v>3671</v>
      </c>
      <c r="G257" s="137" t="s">
        <v>2345</v>
      </c>
      <c r="H257" s="137" t="s">
        <v>878</v>
      </c>
      <c r="I257" s="137" t="s">
        <v>702</v>
      </c>
      <c r="J257" s="137" t="s">
        <v>1346</v>
      </c>
      <c r="K257" s="137" t="s">
        <v>280</v>
      </c>
      <c r="L257" s="137" t="s">
        <v>42</v>
      </c>
      <c r="M257" s="183" t="s">
        <v>1044</v>
      </c>
      <c r="N257" s="166">
        <v>44866</v>
      </c>
      <c r="O257" s="124" t="s">
        <v>2991</v>
      </c>
      <c r="P257" s="137" t="s">
        <v>2347</v>
      </c>
      <c r="Q257" s="137" t="s">
        <v>3676</v>
      </c>
      <c r="R257" s="124" t="s">
        <v>1347</v>
      </c>
      <c r="S257" s="124">
        <f>VLOOKUP(B257,'[3]NCL SAL. SHEET'!$A$4:$D$126,4,0)</f>
        <v>28067</v>
      </c>
      <c r="T257" s="125">
        <v>101370080059</v>
      </c>
      <c r="U257" s="126" t="s">
        <v>1349</v>
      </c>
      <c r="V257" s="126" t="s">
        <v>1348</v>
      </c>
      <c r="W257" s="126" t="s">
        <v>1350</v>
      </c>
      <c r="X257" s="171">
        <v>3713290755</v>
      </c>
      <c r="Y257" s="167" t="s">
        <v>51</v>
      </c>
      <c r="Z257" s="171" t="s">
        <v>50</v>
      </c>
      <c r="AA257" s="167" t="s">
        <v>1351</v>
      </c>
      <c r="AB257" s="167" t="s">
        <v>1351</v>
      </c>
      <c r="AC257" s="164" t="s">
        <v>1344</v>
      </c>
      <c r="AD257" s="140"/>
      <c r="AE257" s="126"/>
      <c r="AF257" s="126"/>
      <c r="AG257" s="168" t="s">
        <v>5382</v>
      </c>
      <c r="AH257" s="126"/>
      <c r="AI257" s="126"/>
      <c r="AJ257" s="127" t="s">
        <v>1346</v>
      </c>
      <c r="AK257" s="128"/>
      <c r="AL257" s="129"/>
      <c r="AM257" s="129"/>
    </row>
    <row r="258" spans="1:40" ht="47.25" customHeight="1">
      <c r="A258" s="137">
        <f>SUBTOTAL(3,$B$3:B258)</f>
        <v>256</v>
      </c>
      <c r="B258" s="164" t="s">
        <v>1352</v>
      </c>
      <c r="C258" s="165" t="s">
        <v>1353</v>
      </c>
      <c r="D258" s="124" t="s">
        <v>1353</v>
      </c>
      <c r="E258" s="137" t="s">
        <v>1028</v>
      </c>
      <c r="F258" s="137" t="s">
        <v>1354</v>
      </c>
      <c r="G258" s="137" t="s">
        <v>2345</v>
      </c>
      <c r="H258" s="137" t="s">
        <v>1355</v>
      </c>
      <c r="I258" s="137" t="s">
        <v>40</v>
      </c>
      <c r="J258" s="137" t="s">
        <v>1356</v>
      </c>
      <c r="K258" s="137" t="s">
        <v>41</v>
      </c>
      <c r="L258" s="137" t="s">
        <v>42</v>
      </c>
      <c r="M258" s="183" t="s">
        <v>1324</v>
      </c>
      <c r="N258" s="166">
        <v>44866</v>
      </c>
      <c r="O258" s="124" t="s">
        <v>2991</v>
      </c>
      <c r="P258" s="137" t="s">
        <v>2347</v>
      </c>
      <c r="Q258" s="137" t="s">
        <v>3676</v>
      </c>
      <c r="R258" s="124">
        <v>7405561224</v>
      </c>
      <c r="S258" s="124">
        <f>VLOOKUP(B258,'[3]NCL SAL. SHEET'!$A$4:$D$126,4,0)</f>
        <v>28167</v>
      </c>
      <c r="T258" s="125">
        <v>101545044266</v>
      </c>
      <c r="U258" s="126" t="s">
        <v>1358</v>
      </c>
      <c r="V258" s="126" t="s">
        <v>1357</v>
      </c>
      <c r="W258" s="126" t="s">
        <v>1359</v>
      </c>
      <c r="X258" s="126" t="s">
        <v>1360</v>
      </c>
      <c r="Y258" s="167" t="s">
        <v>65</v>
      </c>
      <c r="Z258" s="126" t="s">
        <v>1361</v>
      </c>
      <c r="AA258" s="167" t="s">
        <v>1362</v>
      </c>
      <c r="AB258" s="167" t="s">
        <v>1362</v>
      </c>
      <c r="AC258" s="164" t="s">
        <v>1352</v>
      </c>
      <c r="AD258" s="140"/>
      <c r="AE258" s="126"/>
      <c r="AF258" s="126"/>
      <c r="AG258" s="168" t="s">
        <v>5073</v>
      </c>
      <c r="AH258" s="126"/>
      <c r="AI258" s="126"/>
      <c r="AJ258" s="127" t="s">
        <v>1356</v>
      </c>
      <c r="AK258" s="128"/>
      <c r="AL258" s="129"/>
      <c r="AM258" s="129"/>
    </row>
    <row r="259" spans="1:40" ht="47.25" customHeight="1">
      <c r="A259" s="137">
        <f>SUBTOTAL(3,$B$3:B259)</f>
        <v>257</v>
      </c>
      <c r="B259" s="164" t="s">
        <v>1363</v>
      </c>
      <c r="C259" s="165" t="s">
        <v>1364</v>
      </c>
      <c r="D259" s="124" t="s">
        <v>1365</v>
      </c>
      <c r="E259" s="137" t="s">
        <v>1366</v>
      </c>
      <c r="F259" s="137" t="s">
        <v>1367</v>
      </c>
      <c r="G259" s="137" t="s">
        <v>2389</v>
      </c>
      <c r="H259" s="137" t="s">
        <v>1368</v>
      </c>
      <c r="I259" s="137" t="s">
        <v>40</v>
      </c>
      <c r="J259" s="137" t="s">
        <v>1369</v>
      </c>
      <c r="K259" s="137" t="s">
        <v>41</v>
      </c>
      <c r="L259" s="137" t="s">
        <v>42</v>
      </c>
      <c r="M259" s="183" t="s">
        <v>1175</v>
      </c>
      <c r="N259" s="166">
        <v>44866</v>
      </c>
      <c r="O259" s="124" t="s">
        <v>2991</v>
      </c>
      <c r="P259" s="137" t="s">
        <v>2347</v>
      </c>
      <c r="Q259" s="137" t="s">
        <v>3676</v>
      </c>
      <c r="R259" s="124" t="s">
        <v>1370</v>
      </c>
      <c r="S259" s="124">
        <f>VLOOKUP(B259,'[3]NCL SAL. SHEET'!$A$4:$D$126,4,0)</f>
        <v>28133</v>
      </c>
      <c r="T259" s="125">
        <v>101326833353</v>
      </c>
      <c r="U259" s="126" t="s">
        <v>6511</v>
      </c>
      <c r="V259" s="126" t="s">
        <v>1371</v>
      </c>
      <c r="W259" s="126" t="s">
        <v>1372</v>
      </c>
      <c r="X259" s="126" t="s">
        <v>1373</v>
      </c>
      <c r="Y259" s="167" t="s">
        <v>51</v>
      </c>
      <c r="Z259" s="126" t="s">
        <v>50</v>
      </c>
      <c r="AA259" s="167" t="s">
        <v>1374</v>
      </c>
      <c r="AB259" s="167" t="s">
        <v>1374</v>
      </c>
      <c r="AC259" s="164" t="s">
        <v>1363</v>
      </c>
      <c r="AD259" s="140"/>
      <c r="AE259" s="126"/>
      <c r="AF259" s="126"/>
      <c r="AG259" s="168" t="s">
        <v>5096</v>
      </c>
      <c r="AH259" s="126"/>
      <c r="AI259" s="126"/>
      <c r="AJ259" s="127" t="s">
        <v>1369</v>
      </c>
      <c r="AK259" s="128"/>
      <c r="AL259" s="129"/>
      <c r="AM259" s="129"/>
    </row>
    <row r="260" spans="1:40" ht="47.25" customHeight="1">
      <c r="A260" s="137">
        <f>SUBTOTAL(3,$B$3:B260)</f>
        <v>258</v>
      </c>
      <c r="B260" s="164" t="s">
        <v>1375</v>
      </c>
      <c r="C260" s="165" t="s">
        <v>1376</v>
      </c>
      <c r="D260" s="124" t="s">
        <v>1377</v>
      </c>
      <c r="E260" s="137" t="s">
        <v>1378</v>
      </c>
      <c r="F260" s="137" t="s">
        <v>1379</v>
      </c>
      <c r="G260" s="137" t="s">
        <v>2389</v>
      </c>
      <c r="H260" s="137" t="s">
        <v>1380</v>
      </c>
      <c r="I260" s="137" t="s">
        <v>40</v>
      </c>
      <c r="J260" s="137" t="s">
        <v>1381</v>
      </c>
      <c r="K260" s="137" t="s">
        <v>41</v>
      </c>
      <c r="L260" s="137" t="s">
        <v>42</v>
      </c>
      <c r="M260" s="183" t="s">
        <v>1382</v>
      </c>
      <c r="N260" s="166">
        <v>44866</v>
      </c>
      <c r="O260" s="124" t="s">
        <v>2991</v>
      </c>
      <c r="P260" s="137" t="s">
        <v>2347</v>
      </c>
      <c r="Q260" s="137" t="s">
        <v>3676</v>
      </c>
      <c r="R260" s="124" t="s">
        <v>1383</v>
      </c>
      <c r="S260" s="124">
        <f>VLOOKUP(B260,'[3]NCL SAL. SHEET'!$A$4:$D$126,4,0)</f>
        <v>28199</v>
      </c>
      <c r="T260" s="125">
        <v>101753116033</v>
      </c>
      <c r="U260" s="126" t="s">
        <v>1385</v>
      </c>
      <c r="V260" s="126" t="s">
        <v>1384</v>
      </c>
      <c r="W260" s="126" t="s">
        <v>1386</v>
      </c>
      <c r="X260" s="126" t="s">
        <v>1387</v>
      </c>
      <c r="Y260" s="167" t="s">
        <v>146</v>
      </c>
      <c r="Z260" s="126" t="s">
        <v>1388</v>
      </c>
      <c r="AA260" s="167" t="s">
        <v>1389</v>
      </c>
      <c r="AB260" s="167" t="s">
        <v>1389</v>
      </c>
      <c r="AC260" s="164" t="s">
        <v>1375</v>
      </c>
      <c r="AD260" s="140"/>
      <c r="AE260" s="126"/>
      <c r="AF260" s="126"/>
      <c r="AG260" s="168" t="s">
        <v>5259</v>
      </c>
      <c r="AH260" s="126"/>
      <c r="AI260" s="126"/>
      <c r="AJ260" s="127" t="s">
        <v>1381</v>
      </c>
      <c r="AK260" s="128"/>
      <c r="AL260" s="129"/>
      <c r="AM260" s="129"/>
    </row>
    <row r="261" spans="1:40" ht="47.25" customHeight="1">
      <c r="A261" s="137">
        <f>SUBTOTAL(3,$B$3:B261)</f>
        <v>259</v>
      </c>
      <c r="B261" s="164" t="s">
        <v>1390</v>
      </c>
      <c r="C261" s="165" t="s">
        <v>1391</v>
      </c>
      <c r="D261" s="124" t="s">
        <v>1391</v>
      </c>
      <c r="E261" s="137" t="s">
        <v>1366</v>
      </c>
      <c r="F261" s="137" t="s">
        <v>1392</v>
      </c>
      <c r="G261" s="137" t="s">
        <v>2389</v>
      </c>
      <c r="H261" s="137" t="s">
        <v>1393</v>
      </c>
      <c r="I261" s="137" t="s">
        <v>40</v>
      </c>
      <c r="J261" s="137" t="s">
        <v>1394</v>
      </c>
      <c r="K261" s="137" t="s">
        <v>41</v>
      </c>
      <c r="L261" s="137" t="s">
        <v>42</v>
      </c>
      <c r="M261" s="183" t="s">
        <v>1044</v>
      </c>
      <c r="N261" s="166">
        <v>44866</v>
      </c>
      <c r="O261" s="124" t="s">
        <v>2991</v>
      </c>
      <c r="P261" s="137" t="s">
        <v>2347</v>
      </c>
      <c r="Q261" s="137" t="s">
        <v>3676</v>
      </c>
      <c r="R261" s="124" t="s">
        <v>1395</v>
      </c>
      <c r="S261" s="124">
        <f>VLOOKUP(B261,'[3]NCL SAL. SHEET'!$A$4:$D$126,4,0)</f>
        <v>28092</v>
      </c>
      <c r="T261" s="125">
        <v>101419805834</v>
      </c>
      <c r="U261" s="126" t="s">
        <v>6500</v>
      </c>
      <c r="V261" s="126" t="s">
        <v>1396</v>
      </c>
      <c r="W261" s="126" t="s">
        <v>1397</v>
      </c>
      <c r="X261" s="126" t="s">
        <v>1398</v>
      </c>
      <c r="Y261" s="167" t="s">
        <v>51</v>
      </c>
      <c r="Z261" s="126" t="s">
        <v>50</v>
      </c>
      <c r="AA261" s="167" t="s">
        <v>1399</v>
      </c>
      <c r="AB261" s="167" t="s">
        <v>1399</v>
      </c>
      <c r="AC261" s="164" t="s">
        <v>1390</v>
      </c>
      <c r="AD261" s="140"/>
      <c r="AE261" s="126"/>
      <c r="AF261" s="126"/>
      <c r="AG261" s="168" t="s">
        <v>5207</v>
      </c>
      <c r="AH261" s="126"/>
      <c r="AI261" s="126"/>
      <c r="AJ261" s="127" t="s">
        <v>1394</v>
      </c>
      <c r="AK261" s="128"/>
      <c r="AL261" s="129"/>
      <c r="AM261" s="129"/>
      <c r="AN261" s="81"/>
    </row>
    <row r="262" spans="1:40" ht="47.25" customHeight="1">
      <c r="A262" s="137">
        <f>SUBTOTAL(3,$B$3:B262)</f>
        <v>260</v>
      </c>
      <c r="B262" s="164" t="s">
        <v>1400</v>
      </c>
      <c r="C262" s="165" t="s">
        <v>1401</v>
      </c>
      <c r="D262" s="124" t="s">
        <v>1402</v>
      </c>
      <c r="E262" s="137" t="s">
        <v>70</v>
      </c>
      <c r="F262" s="137" t="s">
        <v>1149</v>
      </c>
      <c r="G262" s="137" t="s">
        <v>2389</v>
      </c>
      <c r="H262" s="137" t="s">
        <v>1403</v>
      </c>
      <c r="I262" s="137" t="s">
        <v>40</v>
      </c>
      <c r="J262" s="137" t="s">
        <v>1404</v>
      </c>
      <c r="K262" s="137" t="s">
        <v>41</v>
      </c>
      <c r="L262" s="137" t="s">
        <v>42</v>
      </c>
      <c r="M262" s="183" t="s">
        <v>1405</v>
      </c>
      <c r="N262" s="166">
        <v>44866</v>
      </c>
      <c r="O262" s="124" t="s">
        <v>2991</v>
      </c>
      <c r="P262" s="137" t="s">
        <v>2347</v>
      </c>
      <c r="Q262" s="137" t="s">
        <v>3676</v>
      </c>
      <c r="R262" s="124" t="s">
        <v>1406</v>
      </c>
      <c r="S262" s="124">
        <f>VLOOKUP(B262,'[3]NCL SAL. SHEET'!$A$4:$D$126,4,0)</f>
        <v>28094</v>
      </c>
      <c r="T262" s="125">
        <v>101190233113</v>
      </c>
      <c r="U262" s="126" t="s">
        <v>6507</v>
      </c>
      <c r="V262" s="135" t="s">
        <v>1407</v>
      </c>
      <c r="W262" s="126" t="s">
        <v>1408</v>
      </c>
      <c r="X262" s="126" t="s">
        <v>1409</v>
      </c>
      <c r="Y262" s="167" t="s">
        <v>1411</v>
      </c>
      <c r="Z262" s="126" t="s">
        <v>1410</v>
      </c>
      <c r="AA262" s="167" t="s">
        <v>1412</v>
      </c>
      <c r="AB262" s="167" t="s">
        <v>1412</v>
      </c>
      <c r="AC262" s="164" t="s">
        <v>1400</v>
      </c>
      <c r="AD262" s="140"/>
      <c r="AE262" s="126"/>
      <c r="AF262" s="126"/>
      <c r="AG262" s="168" t="s">
        <v>5092</v>
      </c>
      <c r="AH262" s="126"/>
      <c r="AI262" s="126"/>
      <c r="AJ262" s="127" t="s">
        <v>1404</v>
      </c>
      <c r="AK262" s="128"/>
      <c r="AL262" s="129"/>
      <c r="AM262" s="129"/>
    </row>
    <row r="263" spans="1:40" ht="47.25" customHeight="1">
      <c r="A263" s="137">
        <f>SUBTOTAL(3,$B$3:B263)</f>
        <v>261</v>
      </c>
      <c r="B263" s="164" t="s">
        <v>1413</v>
      </c>
      <c r="C263" s="165" t="s">
        <v>1414</v>
      </c>
      <c r="D263" s="124" t="s">
        <v>1415</v>
      </c>
      <c r="E263" s="137" t="s">
        <v>722</v>
      </c>
      <c r="F263" s="137" t="s">
        <v>1416</v>
      </c>
      <c r="G263" s="137" t="s">
        <v>2389</v>
      </c>
      <c r="H263" s="137" t="s">
        <v>1417</v>
      </c>
      <c r="I263" s="137" t="s">
        <v>40</v>
      </c>
      <c r="J263" s="137" t="s">
        <v>1418</v>
      </c>
      <c r="K263" s="137" t="s">
        <v>280</v>
      </c>
      <c r="L263" s="137" t="s">
        <v>42</v>
      </c>
      <c r="M263" s="183" t="s">
        <v>1175</v>
      </c>
      <c r="N263" s="166">
        <v>44866</v>
      </c>
      <c r="O263" s="124" t="s">
        <v>2991</v>
      </c>
      <c r="P263" s="137" t="s">
        <v>2347</v>
      </c>
      <c r="Q263" s="137" t="s">
        <v>3676</v>
      </c>
      <c r="R263" s="124" t="s">
        <v>1419</v>
      </c>
      <c r="S263" s="124">
        <f>VLOOKUP(B263,'[3]NCL SAL. SHEET'!$A$4:$D$126,4,0)</f>
        <v>28186</v>
      </c>
      <c r="T263" s="125">
        <v>101457996220</v>
      </c>
      <c r="U263" s="126" t="s">
        <v>1421</v>
      </c>
      <c r="V263" s="126" t="s">
        <v>1420</v>
      </c>
      <c r="W263" s="126" t="s">
        <v>1422</v>
      </c>
      <c r="X263" s="126" t="s">
        <v>1423</v>
      </c>
      <c r="Y263" s="167" t="s">
        <v>65</v>
      </c>
      <c r="Z263" s="126" t="s">
        <v>91</v>
      </c>
      <c r="AA263" s="167" t="s">
        <v>1424</v>
      </c>
      <c r="AB263" s="167" t="s">
        <v>1424</v>
      </c>
      <c r="AC263" s="164" t="s">
        <v>1413</v>
      </c>
      <c r="AD263" s="140"/>
      <c r="AE263" s="126"/>
      <c r="AF263" s="126"/>
      <c r="AG263" s="168" t="s">
        <v>5106</v>
      </c>
      <c r="AH263" s="126"/>
      <c r="AI263" s="126"/>
      <c r="AJ263" s="127" t="s">
        <v>1418</v>
      </c>
      <c r="AK263" s="128"/>
      <c r="AL263" s="129"/>
      <c r="AM263" s="129"/>
    </row>
    <row r="264" spans="1:40" ht="47.25" customHeight="1">
      <c r="A264" s="137">
        <f>SUBTOTAL(3,$B$3:B264)</f>
        <v>262</v>
      </c>
      <c r="B264" s="164" t="s">
        <v>1425</v>
      </c>
      <c r="C264" s="165" t="s">
        <v>1426</v>
      </c>
      <c r="D264" s="124" t="s">
        <v>1427</v>
      </c>
      <c r="E264" s="137" t="s">
        <v>1428</v>
      </c>
      <c r="F264" s="137" t="s">
        <v>1429</v>
      </c>
      <c r="G264" s="137" t="s">
        <v>2389</v>
      </c>
      <c r="H264" s="137" t="s">
        <v>1430</v>
      </c>
      <c r="I264" s="137" t="s">
        <v>40</v>
      </c>
      <c r="J264" s="137" t="s">
        <v>1431</v>
      </c>
      <c r="K264" s="137" t="s">
        <v>41</v>
      </c>
      <c r="L264" s="137" t="s">
        <v>42</v>
      </c>
      <c r="M264" s="183" t="s">
        <v>1044</v>
      </c>
      <c r="N264" s="166">
        <v>44866</v>
      </c>
      <c r="O264" s="124" t="s">
        <v>2991</v>
      </c>
      <c r="P264" s="137" t="s">
        <v>2347</v>
      </c>
      <c r="Q264" s="137" t="s">
        <v>3676</v>
      </c>
      <c r="R264" s="124" t="s">
        <v>1432</v>
      </c>
      <c r="S264" s="124">
        <f>VLOOKUP(B264,'[3]NCL SAL. SHEET'!$A$4:$D$126,4,0)</f>
        <v>28268</v>
      </c>
      <c r="T264" s="125">
        <v>101701438174</v>
      </c>
      <c r="U264" s="126" t="s">
        <v>1434</v>
      </c>
      <c r="V264" s="126" t="s">
        <v>1433</v>
      </c>
      <c r="W264" s="126" t="s">
        <v>1435</v>
      </c>
      <c r="X264" s="126" t="s">
        <v>1436</v>
      </c>
      <c r="Y264" s="167" t="s">
        <v>326</v>
      </c>
      <c r="Z264" s="126" t="s">
        <v>436</v>
      </c>
      <c r="AA264" s="167" t="s">
        <v>1437</v>
      </c>
      <c r="AB264" s="167" t="s">
        <v>1437</v>
      </c>
      <c r="AC264" s="164" t="s">
        <v>1425</v>
      </c>
      <c r="AD264" s="140"/>
      <c r="AE264" s="126"/>
      <c r="AF264" s="126"/>
      <c r="AG264" s="168" t="s">
        <v>5072</v>
      </c>
      <c r="AH264" s="126"/>
      <c r="AI264" s="126"/>
      <c r="AJ264" s="127" t="s">
        <v>1431</v>
      </c>
      <c r="AK264" s="128"/>
      <c r="AL264" s="129"/>
      <c r="AM264" s="129"/>
    </row>
    <row r="265" spans="1:40" ht="47.25" customHeight="1">
      <c r="A265" s="137">
        <f>SUBTOTAL(3,$B$3:B265)</f>
        <v>263</v>
      </c>
      <c r="B265" s="164" t="s">
        <v>1438</v>
      </c>
      <c r="C265" s="165" t="s">
        <v>3742</v>
      </c>
      <c r="D265" s="124" t="s">
        <v>3742</v>
      </c>
      <c r="E265" s="137" t="s">
        <v>136</v>
      </c>
      <c r="F265" s="137" t="s">
        <v>3743</v>
      </c>
      <c r="G265" s="137" t="s">
        <v>2389</v>
      </c>
      <c r="H265" s="137" t="s">
        <v>1417</v>
      </c>
      <c r="I265" s="137" t="s">
        <v>40</v>
      </c>
      <c r="J265" s="137" t="s">
        <v>1439</v>
      </c>
      <c r="K265" s="137" t="s">
        <v>41</v>
      </c>
      <c r="L265" s="137" t="s">
        <v>42</v>
      </c>
      <c r="M265" s="183" t="s">
        <v>1405</v>
      </c>
      <c r="N265" s="166">
        <v>44866</v>
      </c>
      <c r="O265" s="124" t="s">
        <v>2991</v>
      </c>
      <c r="P265" s="137" t="s">
        <v>2347</v>
      </c>
      <c r="Q265" s="137" t="s">
        <v>3676</v>
      </c>
      <c r="R265" s="124" t="s">
        <v>1440</v>
      </c>
      <c r="S265" s="124">
        <f>VLOOKUP(B265,'[3]NCL SAL. SHEET'!$A$4:$D$126,4,0)</f>
        <v>28261</v>
      </c>
      <c r="T265" s="125">
        <v>101231891786</v>
      </c>
      <c r="U265" s="126" t="s">
        <v>1442</v>
      </c>
      <c r="V265" s="126" t="s">
        <v>1441</v>
      </c>
      <c r="W265" s="126" t="s">
        <v>1443</v>
      </c>
      <c r="X265" s="126" t="s">
        <v>1444</v>
      </c>
      <c r="Y265" s="167" t="s">
        <v>51</v>
      </c>
      <c r="Z265" s="126" t="s">
        <v>50</v>
      </c>
      <c r="AA265" s="167" t="s">
        <v>1445</v>
      </c>
      <c r="AB265" s="167" t="s">
        <v>1445</v>
      </c>
      <c r="AC265" s="164" t="s">
        <v>1438</v>
      </c>
      <c r="AD265" s="140"/>
      <c r="AE265" s="126"/>
      <c r="AF265" s="126"/>
      <c r="AG265" s="168" t="s">
        <v>5071</v>
      </c>
      <c r="AH265" s="126"/>
      <c r="AI265" s="126"/>
      <c r="AJ265" s="127" t="s">
        <v>1439</v>
      </c>
      <c r="AK265" s="128"/>
      <c r="AL265" s="129"/>
      <c r="AM265" s="129"/>
    </row>
    <row r="266" spans="1:40" ht="47.25" customHeight="1">
      <c r="A266" s="137">
        <f>SUBTOTAL(3,$B$3:B266)</f>
        <v>264</v>
      </c>
      <c r="B266" s="164" t="s">
        <v>1446</v>
      </c>
      <c r="C266" s="165" t="s">
        <v>1447</v>
      </c>
      <c r="D266" s="124" t="s">
        <v>1447</v>
      </c>
      <c r="E266" s="137" t="s">
        <v>136</v>
      </c>
      <c r="F266" s="137" t="s">
        <v>1448</v>
      </c>
      <c r="G266" s="137" t="s">
        <v>2389</v>
      </c>
      <c r="H266" s="137" t="s">
        <v>711</v>
      </c>
      <c r="I266" s="137" t="s">
        <v>40</v>
      </c>
      <c r="J266" s="137" t="s">
        <v>1449</v>
      </c>
      <c r="K266" s="137" t="s">
        <v>41</v>
      </c>
      <c r="L266" s="137" t="s">
        <v>42</v>
      </c>
      <c r="M266" s="183" t="s">
        <v>1104</v>
      </c>
      <c r="N266" s="166">
        <v>44866</v>
      </c>
      <c r="O266" s="124" t="s">
        <v>2991</v>
      </c>
      <c r="P266" s="137" t="s">
        <v>2347</v>
      </c>
      <c r="Q266" s="137" t="s">
        <v>3676</v>
      </c>
      <c r="R266" s="124" t="s">
        <v>1450</v>
      </c>
      <c r="S266" s="124">
        <f>VLOOKUP(B266,'[3]NCL SAL. SHEET'!$A$4:$D$126,4,0)</f>
        <v>28267</v>
      </c>
      <c r="T266" s="125">
        <v>101652878743</v>
      </c>
      <c r="U266" s="126" t="s">
        <v>1058</v>
      </c>
      <c r="V266" s="126">
        <v>3714195093</v>
      </c>
      <c r="W266" s="126" t="s">
        <v>1451</v>
      </c>
      <c r="X266" s="126" t="s">
        <v>1452</v>
      </c>
      <c r="Y266" s="167" t="s">
        <v>65</v>
      </c>
      <c r="Z266" s="126" t="s">
        <v>1453</v>
      </c>
      <c r="AA266" s="167" t="s">
        <v>1454</v>
      </c>
      <c r="AB266" s="167" t="s">
        <v>1454</v>
      </c>
      <c r="AC266" s="164" t="s">
        <v>1446</v>
      </c>
      <c r="AD266" s="140"/>
      <c r="AE266" s="126"/>
      <c r="AF266" s="126"/>
      <c r="AG266" s="168" t="s">
        <v>5070</v>
      </c>
      <c r="AH266" s="126"/>
      <c r="AI266" s="126"/>
      <c r="AJ266" s="127" t="s">
        <v>1449</v>
      </c>
      <c r="AK266" s="128"/>
      <c r="AL266" s="129"/>
      <c r="AM266" s="129"/>
    </row>
    <row r="267" spans="1:40" ht="47.25" customHeight="1">
      <c r="A267" s="137">
        <f>SUBTOTAL(3,$B$3:B267)</f>
        <v>265</v>
      </c>
      <c r="B267" s="164" t="s">
        <v>1455</v>
      </c>
      <c r="C267" s="165" t="s">
        <v>1456</v>
      </c>
      <c r="D267" s="124" t="s">
        <v>1457</v>
      </c>
      <c r="E267" s="137" t="s">
        <v>1458</v>
      </c>
      <c r="F267" s="137" t="s">
        <v>1212</v>
      </c>
      <c r="G267" s="137" t="s">
        <v>2389</v>
      </c>
      <c r="H267" s="137" t="s">
        <v>672</v>
      </c>
      <c r="I267" s="137" t="s">
        <v>40</v>
      </c>
      <c r="J267" s="137" t="s">
        <v>1459</v>
      </c>
      <c r="K267" s="137" t="s">
        <v>280</v>
      </c>
      <c r="L267" s="137" t="s">
        <v>42</v>
      </c>
      <c r="M267" s="183" t="s">
        <v>6032</v>
      </c>
      <c r="N267" s="166">
        <v>44866</v>
      </c>
      <c r="O267" s="124" t="s">
        <v>2991</v>
      </c>
      <c r="P267" s="137" t="s">
        <v>2347</v>
      </c>
      <c r="Q267" s="137" t="s">
        <v>3676</v>
      </c>
      <c r="R267" s="124" t="s">
        <v>1460</v>
      </c>
      <c r="S267" s="124">
        <f>VLOOKUP(B267,'[3]NCL SAL. SHEET'!$A$4:$D$126,4,0)</f>
        <v>28280</v>
      </c>
      <c r="T267" s="125">
        <v>100769267275</v>
      </c>
      <c r="U267" s="126" t="s">
        <v>1462</v>
      </c>
      <c r="V267" s="126" t="s">
        <v>1461</v>
      </c>
      <c r="W267" s="126" t="s">
        <v>1463</v>
      </c>
      <c r="X267" s="126" t="s">
        <v>1464</v>
      </c>
      <c r="Y267" s="167" t="s">
        <v>51</v>
      </c>
      <c r="Z267" s="126" t="s">
        <v>50</v>
      </c>
      <c r="AA267" s="167" t="s">
        <v>1465</v>
      </c>
      <c r="AB267" s="167" t="s">
        <v>1465</v>
      </c>
      <c r="AC267" s="164" t="s">
        <v>1455</v>
      </c>
      <c r="AD267" s="140"/>
      <c r="AE267" s="126"/>
      <c r="AF267" s="126"/>
      <c r="AG267" s="168" t="s">
        <v>5248</v>
      </c>
      <c r="AH267" s="126"/>
      <c r="AI267" s="126"/>
      <c r="AJ267" s="127" t="s">
        <v>1459</v>
      </c>
      <c r="AK267" s="128"/>
      <c r="AL267" s="129"/>
      <c r="AM267" s="129"/>
    </row>
    <row r="268" spans="1:40" ht="47.25" customHeight="1">
      <c r="A268" s="137">
        <f>SUBTOTAL(3,$B$3:B268)</f>
        <v>266</v>
      </c>
      <c r="B268" s="164" t="s">
        <v>1466</v>
      </c>
      <c r="C268" s="165" t="s">
        <v>1467</v>
      </c>
      <c r="D268" s="124" t="s">
        <v>1468</v>
      </c>
      <c r="E268" s="137" t="s">
        <v>136</v>
      </c>
      <c r="F268" s="137" t="s">
        <v>533</v>
      </c>
      <c r="G268" s="137" t="s">
        <v>2389</v>
      </c>
      <c r="H268" s="137" t="s">
        <v>1469</v>
      </c>
      <c r="I268" s="137" t="s">
        <v>40</v>
      </c>
      <c r="J268" s="137" t="s">
        <v>1470</v>
      </c>
      <c r="K268" s="137" t="s">
        <v>280</v>
      </c>
      <c r="L268" s="137" t="s">
        <v>42</v>
      </c>
      <c r="M268" s="124" t="s">
        <v>1405</v>
      </c>
      <c r="N268" s="166">
        <v>44866</v>
      </c>
      <c r="O268" s="124" t="s">
        <v>2991</v>
      </c>
      <c r="P268" s="137" t="s">
        <v>2347</v>
      </c>
      <c r="Q268" s="137" t="s">
        <v>3676</v>
      </c>
      <c r="R268" s="124" t="s">
        <v>1471</v>
      </c>
      <c r="S268" s="124">
        <f>VLOOKUP(B268,'[3]NCL SAL. SHEET'!$A$4:$D$126,4,0)</f>
        <v>28065</v>
      </c>
      <c r="T268" s="125">
        <v>101326833369</v>
      </c>
      <c r="U268" s="126" t="s">
        <v>1473</v>
      </c>
      <c r="V268" s="126" t="s">
        <v>1472</v>
      </c>
      <c r="W268" s="126" t="s">
        <v>1474</v>
      </c>
      <c r="X268" s="126" t="s">
        <v>1475</v>
      </c>
      <c r="Y268" s="167" t="s">
        <v>51</v>
      </c>
      <c r="Z268" s="126" t="s">
        <v>50</v>
      </c>
      <c r="AA268" s="167" t="s">
        <v>1476</v>
      </c>
      <c r="AB268" s="167" t="s">
        <v>1476</v>
      </c>
      <c r="AC268" s="164" t="s">
        <v>1466</v>
      </c>
      <c r="AD268" s="140"/>
      <c r="AE268" s="126"/>
      <c r="AF268" s="126"/>
      <c r="AG268" s="168" t="s">
        <v>5213</v>
      </c>
      <c r="AH268" s="126"/>
      <c r="AI268" s="126"/>
      <c r="AJ268" s="127" t="s">
        <v>1470</v>
      </c>
      <c r="AK268" s="128"/>
      <c r="AL268" s="129"/>
      <c r="AM268" s="129"/>
      <c r="AN268" s="3">
        <f>2024-1983</f>
        <v>41</v>
      </c>
    </row>
    <row r="269" spans="1:40" ht="47.25" customHeight="1">
      <c r="A269" s="137">
        <f>SUBTOTAL(3,$B$3:B269)</f>
        <v>267</v>
      </c>
      <c r="B269" s="164" t="s">
        <v>1477</v>
      </c>
      <c r="C269" s="165" t="s">
        <v>4259</v>
      </c>
      <c r="D269" s="124" t="s">
        <v>1478</v>
      </c>
      <c r="E269" s="137" t="s">
        <v>1479</v>
      </c>
      <c r="F269" s="137" t="s">
        <v>1480</v>
      </c>
      <c r="G269" s="137" t="s">
        <v>2345</v>
      </c>
      <c r="H269" s="137" t="s">
        <v>1481</v>
      </c>
      <c r="I269" s="137" t="s">
        <v>40</v>
      </c>
      <c r="J269" s="137" t="s">
        <v>1482</v>
      </c>
      <c r="K269" s="137" t="s">
        <v>41</v>
      </c>
      <c r="L269" s="137" t="s">
        <v>42</v>
      </c>
      <c r="M269" s="183" t="s">
        <v>1175</v>
      </c>
      <c r="N269" s="166">
        <v>44866</v>
      </c>
      <c r="O269" s="124" t="s">
        <v>2991</v>
      </c>
      <c r="P269" s="137" t="s">
        <v>2347</v>
      </c>
      <c r="Q269" s="137" t="s">
        <v>3676</v>
      </c>
      <c r="R269" s="124" t="s">
        <v>1483</v>
      </c>
      <c r="S269" s="124">
        <f>VLOOKUP(B269,'[3]NCL SAL. SHEET'!$A$4:$D$126,4,0)</f>
        <v>28234</v>
      </c>
      <c r="T269" s="125">
        <v>101650922402</v>
      </c>
      <c r="U269" s="126" t="s">
        <v>1485</v>
      </c>
      <c r="V269" s="126" t="s">
        <v>1484</v>
      </c>
      <c r="W269" s="126" t="s">
        <v>1486</v>
      </c>
      <c r="X269" s="126" t="s">
        <v>1487</v>
      </c>
      <c r="Y269" s="167" t="s">
        <v>1489</v>
      </c>
      <c r="Z269" s="126" t="s">
        <v>1488</v>
      </c>
      <c r="AA269" s="167" t="s">
        <v>1490</v>
      </c>
      <c r="AB269" s="167" t="s">
        <v>1490</v>
      </c>
      <c r="AC269" s="164" t="s">
        <v>1477</v>
      </c>
      <c r="AD269" s="140"/>
      <c r="AE269" s="126"/>
      <c r="AF269" s="126"/>
      <c r="AG269" s="168" t="s">
        <v>5232</v>
      </c>
      <c r="AH269" s="126"/>
      <c r="AI269" s="126"/>
      <c r="AJ269" s="127" t="s">
        <v>1482</v>
      </c>
      <c r="AK269" s="128"/>
      <c r="AL269" s="129"/>
      <c r="AM269" s="129"/>
    </row>
    <row r="270" spans="1:40" ht="47.25" customHeight="1">
      <c r="A270" s="137">
        <f>SUBTOTAL(3,$B$3:B270)</f>
        <v>268</v>
      </c>
      <c r="B270" s="164" t="s">
        <v>1491</v>
      </c>
      <c r="C270" s="165" t="s">
        <v>1492</v>
      </c>
      <c r="D270" s="124" t="s">
        <v>1493</v>
      </c>
      <c r="E270" s="137" t="s">
        <v>1494</v>
      </c>
      <c r="F270" s="137" t="s">
        <v>1354</v>
      </c>
      <c r="G270" s="137" t="s">
        <v>2345</v>
      </c>
      <c r="H270" s="137" t="s">
        <v>1495</v>
      </c>
      <c r="I270" s="137" t="s">
        <v>702</v>
      </c>
      <c r="J270" s="137" t="s">
        <v>1496</v>
      </c>
      <c r="K270" s="137" t="s">
        <v>280</v>
      </c>
      <c r="L270" s="137" t="s">
        <v>42</v>
      </c>
      <c r="M270" s="183" t="s">
        <v>1044</v>
      </c>
      <c r="N270" s="166">
        <v>44866</v>
      </c>
      <c r="O270" s="124" t="s">
        <v>2991</v>
      </c>
      <c r="P270" s="137" t="s">
        <v>2347</v>
      </c>
      <c r="Q270" s="137" t="s">
        <v>3676</v>
      </c>
      <c r="R270" s="124">
        <v>9173995572</v>
      </c>
      <c r="S270" s="124">
        <f>VLOOKUP(B270,'[3]NCL SAL. SHEET'!$A$4:$D$126,4,0)</f>
        <v>28274</v>
      </c>
      <c r="T270" s="125">
        <v>101711525538</v>
      </c>
      <c r="U270" s="126" t="s">
        <v>1497</v>
      </c>
      <c r="V270" s="126" t="s">
        <v>5944</v>
      </c>
      <c r="W270" s="126" t="s">
        <v>1498</v>
      </c>
      <c r="X270" s="126" t="s">
        <v>1499</v>
      </c>
      <c r="Y270" s="167" t="s">
        <v>65</v>
      </c>
      <c r="Z270" s="126" t="s">
        <v>1500</v>
      </c>
      <c r="AA270" s="167" t="s">
        <v>1501</v>
      </c>
      <c r="AB270" s="167" t="s">
        <v>1501</v>
      </c>
      <c r="AC270" s="164" t="s">
        <v>1491</v>
      </c>
      <c r="AD270" s="140"/>
      <c r="AE270" s="126"/>
      <c r="AF270" s="126"/>
      <c r="AG270" s="168" t="s">
        <v>5243</v>
      </c>
      <c r="AH270" s="126"/>
      <c r="AI270" s="126"/>
      <c r="AJ270" s="127" t="s">
        <v>1496</v>
      </c>
      <c r="AK270" s="128"/>
      <c r="AL270" s="129"/>
      <c r="AM270" s="129"/>
    </row>
    <row r="271" spans="1:40" ht="47.25" customHeight="1">
      <c r="A271" s="137">
        <f>SUBTOTAL(3,$B$3:B271)</f>
        <v>269</v>
      </c>
      <c r="B271" s="164" t="s">
        <v>1502</v>
      </c>
      <c r="C271" s="165" t="s">
        <v>1503</v>
      </c>
      <c r="D271" s="124" t="s">
        <v>1504</v>
      </c>
      <c r="E271" s="137" t="s">
        <v>136</v>
      </c>
      <c r="F271" s="137" t="s">
        <v>1505</v>
      </c>
      <c r="G271" s="137" t="s">
        <v>2345</v>
      </c>
      <c r="H271" s="137" t="s">
        <v>570</v>
      </c>
      <c r="I271" s="137" t="s">
        <v>40</v>
      </c>
      <c r="J271" s="137" t="s">
        <v>1506</v>
      </c>
      <c r="K271" s="137" t="s">
        <v>41</v>
      </c>
      <c r="L271" s="137" t="s">
        <v>42</v>
      </c>
      <c r="M271" s="183" t="s">
        <v>1507</v>
      </c>
      <c r="N271" s="166">
        <v>44866</v>
      </c>
      <c r="O271" s="124" t="s">
        <v>2991</v>
      </c>
      <c r="P271" s="137" t="s">
        <v>2347</v>
      </c>
      <c r="Q271" s="137" t="s">
        <v>3676</v>
      </c>
      <c r="R271" s="124" t="s">
        <v>1508</v>
      </c>
      <c r="S271" s="124">
        <f>VLOOKUP(B271,'[3]NCL SAL. SHEET'!$A$4:$D$126,4,0)</f>
        <v>28286</v>
      </c>
      <c r="T271" s="125">
        <v>101282530877</v>
      </c>
      <c r="U271" s="126" t="s">
        <v>1510</v>
      </c>
      <c r="V271" s="126" t="s">
        <v>1509</v>
      </c>
      <c r="W271" s="126" t="s">
        <v>1511</v>
      </c>
      <c r="X271" s="126" t="s">
        <v>1512</v>
      </c>
      <c r="Y271" s="167" t="s">
        <v>51</v>
      </c>
      <c r="Z271" s="126" t="s">
        <v>50</v>
      </c>
      <c r="AA271" s="167" t="s">
        <v>1513</v>
      </c>
      <c r="AB271" s="167" t="s">
        <v>1513</v>
      </c>
      <c r="AC271" s="164" t="s">
        <v>1502</v>
      </c>
      <c r="AD271" s="140"/>
      <c r="AE271" s="126"/>
      <c r="AF271" s="126"/>
      <c r="AG271" s="168" t="s">
        <v>5387</v>
      </c>
      <c r="AH271" s="126"/>
      <c r="AI271" s="126"/>
      <c r="AJ271" s="127" t="s">
        <v>1506</v>
      </c>
      <c r="AK271" s="128"/>
      <c r="AL271" s="129"/>
      <c r="AM271" s="129"/>
    </row>
    <row r="272" spans="1:40" ht="47.25" customHeight="1">
      <c r="A272" s="137">
        <f>SUBTOTAL(3,$B$3:B272)</f>
        <v>270</v>
      </c>
      <c r="B272" s="164" t="s">
        <v>1514</v>
      </c>
      <c r="C272" s="165" t="s">
        <v>1515</v>
      </c>
      <c r="D272" s="124" t="s">
        <v>1515</v>
      </c>
      <c r="E272" s="137" t="s">
        <v>531</v>
      </c>
      <c r="F272" s="137" t="s">
        <v>1516</v>
      </c>
      <c r="G272" s="137" t="s">
        <v>2389</v>
      </c>
      <c r="H272" s="137" t="s">
        <v>1517</v>
      </c>
      <c r="I272" s="137" t="s">
        <v>40</v>
      </c>
      <c r="J272" s="137" t="s">
        <v>1518</v>
      </c>
      <c r="K272" s="137" t="s">
        <v>280</v>
      </c>
      <c r="L272" s="137" t="s">
        <v>42</v>
      </c>
      <c r="M272" s="183" t="s">
        <v>1175</v>
      </c>
      <c r="N272" s="166">
        <v>44866</v>
      </c>
      <c r="O272" s="124" t="s">
        <v>2991</v>
      </c>
      <c r="P272" s="137" t="s">
        <v>2347</v>
      </c>
      <c r="Q272" s="137" t="s">
        <v>3676</v>
      </c>
      <c r="R272" s="124" t="s">
        <v>1519</v>
      </c>
      <c r="S272" s="124">
        <f>VLOOKUP(B272,'[3]NCL SAL. SHEET'!$A$4:$D$126,4,0)</f>
        <v>28171</v>
      </c>
      <c r="T272" s="125">
        <v>101753116022</v>
      </c>
      <c r="U272" s="126" t="s">
        <v>6501</v>
      </c>
      <c r="V272" s="126" t="s">
        <v>1520</v>
      </c>
      <c r="W272" s="126" t="s">
        <v>1521</v>
      </c>
      <c r="X272" s="126" t="s">
        <v>1522</v>
      </c>
      <c r="Y272" s="167" t="s">
        <v>51</v>
      </c>
      <c r="Z272" s="126" t="s">
        <v>1523</v>
      </c>
      <c r="AA272" s="167" t="s">
        <v>1524</v>
      </c>
      <c r="AB272" s="167" t="s">
        <v>1524</v>
      </c>
      <c r="AC272" s="164" t="s">
        <v>1514</v>
      </c>
      <c r="AD272" s="140"/>
      <c r="AE272" s="126"/>
      <c r="AF272" s="126"/>
      <c r="AG272" s="168" t="s">
        <v>5208</v>
      </c>
      <c r="AH272" s="126"/>
      <c r="AI272" s="126"/>
      <c r="AJ272" s="127" t="s">
        <v>1518</v>
      </c>
      <c r="AK272" s="128"/>
      <c r="AL272" s="129"/>
      <c r="AM272" s="129"/>
    </row>
    <row r="273" spans="1:42" ht="47.25" customHeight="1">
      <c r="A273" s="137">
        <f>SUBTOTAL(3,$B$3:B273)</f>
        <v>271</v>
      </c>
      <c r="B273" s="164" t="s">
        <v>1525</v>
      </c>
      <c r="C273" s="165" t="s">
        <v>1526</v>
      </c>
      <c r="D273" s="124" t="s">
        <v>1526</v>
      </c>
      <c r="E273" s="137" t="s">
        <v>1366</v>
      </c>
      <c r="F273" s="137" t="s">
        <v>1527</v>
      </c>
      <c r="G273" s="137" t="s">
        <v>2345</v>
      </c>
      <c r="H273" s="137" t="s">
        <v>1528</v>
      </c>
      <c r="I273" s="137" t="s">
        <v>702</v>
      </c>
      <c r="J273" s="137" t="s">
        <v>1529</v>
      </c>
      <c r="K273" s="137" t="s">
        <v>280</v>
      </c>
      <c r="L273" s="137" t="s">
        <v>42</v>
      </c>
      <c r="M273" s="183" t="s">
        <v>1044</v>
      </c>
      <c r="N273" s="166">
        <v>44866</v>
      </c>
      <c r="O273" s="124" t="s">
        <v>2991</v>
      </c>
      <c r="P273" s="137" t="s">
        <v>2347</v>
      </c>
      <c r="Q273" s="137" t="s">
        <v>3676</v>
      </c>
      <c r="R273" s="124" t="s">
        <v>1530</v>
      </c>
      <c r="S273" s="124">
        <f>VLOOKUP(B273,'[3]NCL SAL. SHEET'!$A$4:$D$126,4,0)</f>
        <v>28170</v>
      </c>
      <c r="T273" s="125">
        <v>101526284089</v>
      </c>
      <c r="U273" s="126" t="s">
        <v>1531</v>
      </c>
      <c r="V273" s="126">
        <v>3714195109</v>
      </c>
      <c r="W273" s="126" t="s">
        <v>1532</v>
      </c>
      <c r="X273" s="126" t="s">
        <v>1533</v>
      </c>
      <c r="Y273" s="167" t="s">
        <v>65</v>
      </c>
      <c r="Z273" s="126" t="s">
        <v>1534</v>
      </c>
      <c r="AA273" s="167" t="s">
        <v>1535</v>
      </c>
      <c r="AB273" s="167" t="s">
        <v>1535</v>
      </c>
      <c r="AC273" s="164" t="s">
        <v>1525</v>
      </c>
      <c r="AD273" s="140"/>
      <c r="AE273" s="126"/>
      <c r="AF273" s="126"/>
      <c r="AG273" s="168" t="s">
        <v>5458</v>
      </c>
      <c r="AH273" s="126"/>
      <c r="AI273" s="126"/>
      <c r="AJ273" s="127" t="s">
        <v>1529</v>
      </c>
      <c r="AK273" s="128"/>
      <c r="AL273" s="129"/>
      <c r="AM273" s="129"/>
    </row>
    <row r="274" spans="1:42" ht="47.25" customHeight="1">
      <c r="A274" s="137">
        <f>SUBTOTAL(3,$B$3:B274)</f>
        <v>272</v>
      </c>
      <c r="B274" s="164" t="s">
        <v>1536</v>
      </c>
      <c r="C274" s="165" t="s">
        <v>1537</v>
      </c>
      <c r="D274" s="124" t="s">
        <v>1538</v>
      </c>
      <c r="E274" s="137" t="s">
        <v>1539</v>
      </c>
      <c r="F274" s="137" t="s">
        <v>671</v>
      </c>
      <c r="G274" s="137" t="s">
        <v>2345</v>
      </c>
      <c r="H274" s="137" t="s">
        <v>1540</v>
      </c>
      <c r="I274" s="137" t="s">
        <v>702</v>
      </c>
      <c r="J274" s="137" t="s">
        <v>1541</v>
      </c>
      <c r="K274" s="137" t="s">
        <v>280</v>
      </c>
      <c r="L274" s="137" t="s">
        <v>42</v>
      </c>
      <c r="M274" s="183" t="s">
        <v>1044</v>
      </c>
      <c r="N274" s="166">
        <v>44866</v>
      </c>
      <c r="O274" s="124" t="s">
        <v>2991</v>
      </c>
      <c r="P274" s="137" t="s">
        <v>2347</v>
      </c>
      <c r="Q274" s="137" t="s">
        <v>3676</v>
      </c>
      <c r="R274" s="124" t="s">
        <v>1542</v>
      </c>
      <c r="S274" s="124">
        <f>VLOOKUP(B274,'[3]NCL SAL. SHEET'!$A$4:$D$126,4,0)</f>
        <v>28190</v>
      </c>
      <c r="T274" s="125">
        <v>101784791955</v>
      </c>
      <c r="U274" s="126" t="s">
        <v>1544</v>
      </c>
      <c r="V274" s="126" t="s">
        <v>1543</v>
      </c>
      <c r="W274" s="126" t="s">
        <v>1545</v>
      </c>
      <c r="X274" s="126" t="s">
        <v>1546</v>
      </c>
      <c r="Y274" s="167" t="s">
        <v>1548</v>
      </c>
      <c r="Z274" s="126" t="s">
        <v>1547</v>
      </c>
      <c r="AA274" s="167" t="s">
        <v>1549</v>
      </c>
      <c r="AB274" s="167" t="s">
        <v>1549</v>
      </c>
      <c r="AC274" s="164" t="s">
        <v>1536</v>
      </c>
      <c r="AD274" s="140"/>
      <c r="AE274" s="126"/>
      <c r="AF274" s="126"/>
      <c r="AG274" s="168" t="s">
        <v>5204</v>
      </c>
      <c r="AH274" s="126"/>
      <c r="AI274" s="126"/>
      <c r="AJ274" s="127" t="s">
        <v>1541</v>
      </c>
      <c r="AK274" s="128"/>
      <c r="AL274" s="129"/>
      <c r="AM274" s="129"/>
    </row>
    <row r="275" spans="1:42" ht="47.25" customHeight="1">
      <c r="A275" s="137">
        <f>SUBTOTAL(3,$B$3:B275)</f>
        <v>273</v>
      </c>
      <c r="B275" s="164" t="s">
        <v>1550</v>
      </c>
      <c r="C275" s="165" t="s">
        <v>1551</v>
      </c>
      <c r="D275" s="124" t="s">
        <v>1552</v>
      </c>
      <c r="E275" s="137" t="s">
        <v>136</v>
      </c>
      <c r="F275" s="137" t="s">
        <v>1553</v>
      </c>
      <c r="G275" s="137" t="s">
        <v>2389</v>
      </c>
      <c r="H275" s="137" t="s">
        <v>938</v>
      </c>
      <c r="I275" s="137" t="s">
        <v>40</v>
      </c>
      <c r="J275" s="137" t="s">
        <v>1554</v>
      </c>
      <c r="K275" s="137" t="s">
        <v>41</v>
      </c>
      <c r="L275" s="137" t="s">
        <v>42</v>
      </c>
      <c r="M275" s="183" t="s">
        <v>1555</v>
      </c>
      <c r="N275" s="166">
        <v>44866</v>
      </c>
      <c r="O275" s="124" t="s">
        <v>2991</v>
      </c>
      <c r="P275" s="137" t="s">
        <v>2347</v>
      </c>
      <c r="Q275" s="137" t="s">
        <v>3676</v>
      </c>
      <c r="R275" s="124" t="s">
        <v>1556</v>
      </c>
      <c r="S275" s="124" t="e">
        <f>VLOOKUP(B275,'[3]NCL SAL. SHEET'!$A$4:$D$126,4,0)</f>
        <v>#N/A</v>
      </c>
      <c r="T275" s="125">
        <v>101679858516</v>
      </c>
      <c r="U275" s="126" t="s">
        <v>1558</v>
      </c>
      <c r="V275" s="126" t="s">
        <v>1557</v>
      </c>
      <c r="W275" s="126" t="s">
        <v>1559</v>
      </c>
      <c r="X275" s="126" t="s">
        <v>1560</v>
      </c>
      <c r="Y275" s="167" t="s">
        <v>146</v>
      </c>
      <c r="Z275" s="126" t="s">
        <v>1561</v>
      </c>
      <c r="AA275" s="167" t="s">
        <v>1562</v>
      </c>
      <c r="AB275" s="167" t="s">
        <v>1562</v>
      </c>
      <c r="AC275" s="164" t="s">
        <v>1550</v>
      </c>
      <c r="AD275" s="140"/>
      <c r="AE275" s="126"/>
      <c r="AF275" s="126"/>
      <c r="AG275" s="168" t="s">
        <v>5226</v>
      </c>
      <c r="AH275" s="126"/>
      <c r="AI275" s="126"/>
      <c r="AJ275" s="127" t="s">
        <v>1554</v>
      </c>
      <c r="AK275" s="128"/>
      <c r="AL275" s="129"/>
      <c r="AM275" s="129"/>
    </row>
    <row r="276" spans="1:42" ht="47.25" customHeight="1">
      <c r="A276" s="137">
        <f>SUBTOTAL(3,$B$3:B276)</f>
        <v>274</v>
      </c>
      <c r="B276" s="164" t="s">
        <v>1563</v>
      </c>
      <c r="C276" s="165" t="s">
        <v>1564</v>
      </c>
      <c r="D276" s="124" t="s">
        <v>1565</v>
      </c>
      <c r="E276" s="137" t="s">
        <v>136</v>
      </c>
      <c r="F276" s="137" t="s">
        <v>1566</v>
      </c>
      <c r="G276" s="137" t="s">
        <v>2389</v>
      </c>
      <c r="H276" s="137" t="s">
        <v>1567</v>
      </c>
      <c r="I276" s="137" t="s">
        <v>40</v>
      </c>
      <c r="J276" s="137" t="s">
        <v>1568</v>
      </c>
      <c r="K276" s="137" t="s">
        <v>280</v>
      </c>
      <c r="L276" s="137" t="s">
        <v>42</v>
      </c>
      <c r="M276" s="183" t="s">
        <v>1569</v>
      </c>
      <c r="N276" s="166">
        <v>44866</v>
      </c>
      <c r="O276" s="124" t="s">
        <v>2991</v>
      </c>
      <c r="P276" s="137" t="s">
        <v>2347</v>
      </c>
      <c r="Q276" s="137" t="s">
        <v>3676</v>
      </c>
      <c r="R276" s="124" t="s">
        <v>1570</v>
      </c>
      <c r="S276" s="124">
        <f>VLOOKUP(B276,'[3]NCL SAL. SHEET'!$A$4:$D$126,4,0)</f>
        <v>28010</v>
      </c>
      <c r="T276" s="125">
        <v>100901294699</v>
      </c>
      <c r="U276" s="126" t="s">
        <v>1572</v>
      </c>
      <c r="V276" s="126" t="s">
        <v>1571</v>
      </c>
      <c r="W276" s="126" t="s">
        <v>1573</v>
      </c>
      <c r="X276" s="126" t="s">
        <v>1574</v>
      </c>
      <c r="Y276" s="167" t="s">
        <v>51</v>
      </c>
      <c r="Z276" s="126" t="s">
        <v>50</v>
      </c>
      <c r="AA276" s="167" t="s">
        <v>1575</v>
      </c>
      <c r="AB276" s="167" t="s">
        <v>1575</v>
      </c>
      <c r="AC276" s="164" t="s">
        <v>1563</v>
      </c>
      <c r="AD276" s="140"/>
      <c r="AE276" s="126"/>
      <c r="AF276" s="126"/>
      <c r="AG276" s="168" t="s">
        <v>5234</v>
      </c>
      <c r="AH276" s="126"/>
      <c r="AI276" s="126"/>
      <c r="AJ276" s="127" t="s">
        <v>1568</v>
      </c>
      <c r="AK276" s="128"/>
      <c r="AL276" s="129"/>
      <c r="AM276" s="129"/>
    </row>
    <row r="277" spans="1:42" ht="47.25" customHeight="1">
      <c r="A277" s="137">
        <f>SUBTOTAL(3,$B$3:B277)</f>
        <v>275</v>
      </c>
      <c r="B277" s="164" t="s">
        <v>1576</v>
      </c>
      <c r="C277" s="165" t="s">
        <v>1577</v>
      </c>
      <c r="D277" s="124" t="s">
        <v>1577</v>
      </c>
      <c r="E277" s="137" t="s">
        <v>1279</v>
      </c>
      <c r="F277" s="137" t="s">
        <v>1578</v>
      </c>
      <c r="G277" s="137" t="s">
        <v>2389</v>
      </c>
      <c r="H277" s="137" t="s">
        <v>908</v>
      </c>
      <c r="I277" s="137" t="s">
        <v>40</v>
      </c>
      <c r="J277" s="137" t="s">
        <v>1579</v>
      </c>
      <c r="K277" s="137" t="s">
        <v>280</v>
      </c>
      <c r="L277" s="137" t="s">
        <v>42</v>
      </c>
      <c r="M277" s="183" t="s">
        <v>1580</v>
      </c>
      <c r="N277" s="166">
        <v>44866</v>
      </c>
      <c r="O277" s="124" t="s">
        <v>2991</v>
      </c>
      <c r="P277" s="137" t="s">
        <v>2347</v>
      </c>
      <c r="Q277" s="137" t="s">
        <v>3676</v>
      </c>
      <c r="R277" s="124" t="s">
        <v>1581</v>
      </c>
      <c r="S277" s="124">
        <f>VLOOKUP(B277,'[3]NCL SAL. SHEET'!$A$4:$D$126,4,0)</f>
        <v>28260</v>
      </c>
      <c r="T277" s="125">
        <v>100174740765</v>
      </c>
      <c r="U277" s="126" t="s">
        <v>1583</v>
      </c>
      <c r="V277" s="126" t="s">
        <v>1582</v>
      </c>
      <c r="W277" s="126" t="s">
        <v>1584</v>
      </c>
      <c r="X277" s="126" t="s">
        <v>1585</v>
      </c>
      <c r="Y277" s="167" t="s">
        <v>65</v>
      </c>
      <c r="Z277" s="126" t="s">
        <v>1586</v>
      </c>
      <c r="AA277" s="167" t="s">
        <v>1587</v>
      </c>
      <c r="AB277" s="167" t="s">
        <v>1587</v>
      </c>
      <c r="AC277" s="164" t="s">
        <v>1576</v>
      </c>
      <c r="AD277" s="140"/>
      <c r="AE277" s="126"/>
      <c r="AF277" s="126"/>
      <c r="AG277" s="168" t="s">
        <v>5233</v>
      </c>
      <c r="AH277" s="126"/>
      <c r="AI277" s="126"/>
      <c r="AJ277" s="127" t="s">
        <v>1579</v>
      </c>
      <c r="AK277" s="128"/>
      <c r="AL277" s="129"/>
      <c r="AM277" s="129"/>
    </row>
    <row r="278" spans="1:42" ht="47.25" customHeight="1">
      <c r="A278" s="137">
        <f>SUBTOTAL(3,$B$3:B278)</f>
        <v>276</v>
      </c>
      <c r="B278" s="164" t="s">
        <v>1588</v>
      </c>
      <c r="C278" s="165" t="s">
        <v>1589</v>
      </c>
      <c r="D278" s="124" t="s">
        <v>1590</v>
      </c>
      <c r="E278" s="137" t="s">
        <v>1591</v>
      </c>
      <c r="F278" s="137" t="s">
        <v>1592</v>
      </c>
      <c r="G278" s="137" t="s">
        <v>2389</v>
      </c>
      <c r="H278" s="137" t="s">
        <v>1593</v>
      </c>
      <c r="I278" s="137" t="s">
        <v>40</v>
      </c>
      <c r="J278" s="137" t="s">
        <v>1594</v>
      </c>
      <c r="K278" s="137" t="s">
        <v>41</v>
      </c>
      <c r="L278" s="137" t="s">
        <v>42</v>
      </c>
      <c r="M278" s="183" t="s">
        <v>1324</v>
      </c>
      <c r="N278" s="166">
        <v>44866</v>
      </c>
      <c r="O278" s="124" t="s">
        <v>2991</v>
      </c>
      <c r="P278" s="137" t="s">
        <v>2347</v>
      </c>
      <c r="Q278" s="137" t="s">
        <v>3676</v>
      </c>
      <c r="R278" s="124" t="s">
        <v>1595</v>
      </c>
      <c r="S278" s="124">
        <f>VLOOKUP(B278,'[3]NCL SAL. SHEET'!$A$4:$D$126,4,0)</f>
        <v>28289</v>
      </c>
      <c r="T278" s="125">
        <v>101784792003</v>
      </c>
      <c r="U278" s="126" t="s">
        <v>1597</v>
      </c>
      <c r="V278" s="126" t="s">
        <v>1596</v>
      </c>
      <c r="W278" s="126" t="s">
        <v>1598</v>
      </c>
      <c r="X278" s="126" t="s">
        <v>1599</v>
      </c>
      <c r="Y278" s="167" t="s">
        <v>132</v>
      </c>
      <c r="Z278" s="126" t="s">
        <v>1600</v>
      </c>
      <c r="AA278" s="167" t="s">
        <v>1601</v>
      </c>
      <c r="AB278" s="167" t="s">
        <v>1601</v>
      </c>
      <c r="AC278" s="164" t="s">
        <v>1588</v>
      </c>
      <c r="AD278" s="140"/>
      <c r="AE278" s="126"/>
      <c r="AF278" s="126"/>
      <c r="AG278" s="168" t="s">
        <v>5244</v>
      </c>
      <c r="AH278" s="126"/>
      <c r="AI278" s="126"/>
      <c r="AJ278" s="127" t="s">
        <v>1594</v>
      </c>
      <c r="AK278" s="128"/>
      <c r="AL278" s="129"/>
      <c r="AM278" s="129"/>
    </row>
    <row r="279" spans="1:42" ht="47.25" customHeight="1">
      <c r="A279" s="137">
        <f>SUBTOTAL(3,$B$3:B279)</f>
        <v>277</v>
      </c>
      <c r="B279" s="164" t="s">
        <v>1602</v>
      </c>
      <c r="C279" s="165" t="s">
        <v>1603</v>
      </c>
      <c r="D279" s="124" t="s">
        <v>1604</v>
      </c>
      <c r="E279" s="137" t="s">
        <v>1605</v>
      </c>
      <c r="F279" s="137" t="s">
        <v>1606</v>
      </c>
      <c r="G279" s="137" t="s">
        <v>2345</v>
      </c>
      <c r="H279" s="137" t="s">
        <v>711</v>
      </c>
      <c r="I279" s="137" t="s">
        <v>702</v>
      </c>
      <c r="J279" s="137" t="s">
        <v>1607</v>
      </c>
      <c r="K279" s="137" t="s">
        <v>280</v>
      </c>
      <c r="L279" s="137" t="s">
        <v>42</v>
      </c>
      <c r="M279" s="183" t="s">
        <v>1044</v>
      </c>
      <c r="N279" s="166">
        <v>44866</v>
      </c>
      <c r="O279" s="124" t="s">
        <v>2991</v>
      </c>
      <c r="P279" s="137" t="s">
        <v>2347</v>
      </c>
      <c r="Q279" s="137" t="s">
        <v>3676</v>
      </c>
      <c r="R279" s="124" t="s">
        <v>1608</v>
      </c>
      <c r="S279" s="124">
        <f>VLOOKUP(B279,'[3]NCL SAL. SHEET'!$A$4:$D$126,4,0)</f>
        <v>28071</v>
      </c>
      <c r="T279" s="125">
        <v>101772773293</v>
      </c>
      <c r="U279" s="126" t="s">
        <v>1610</v>
      </c>
      <c r="V279" s="126" t="s">
        <v>1609</v>
      </c>
      <c r="W279" s="126" t="s">
        <v>1611</v>
      </c>
      <c r="X279" s="126" t="s">
        <v>1612</v>
      </c>
      <c r="Y279" s="167" t="s">
        <v>1613</v>
      </c>
      <c r="Z279" s="126" t="s">
        <v>586</v>
      </c>
      <c r="AA279" s="167" t="s">
        <v>1614</v>
      </c>
      <c r="AB279" s="167" t="s">
        <v>1614</v>
      </c>
      <c r="AC279" s="164" t="s">
        <v>1602</v>
      </c>
      <c r="AD279" s="140"/>
      <c r="AE279" s="126"/>
      <c r="AF279" s="126"/>
      <c r="AG279" s="168" t="s">
        <v>5255</v>
      </c>
      <c r="AH279" s="126"/>
      <c r="AI279" s="126"/>
      <c r="AJ279" s="127" t="s">
        <v>1607</v>
      </c>
      <c r="AK279" s="128"/>
      <c r="AL279" s="129"/>
      <c r="AM279" s="129"/>
      <c r="AN279" s="81">
        <v>372311122992</v>
      </c>
      <c r="AO279" s="81">
        <v>372311123041</v>
      </c>
      <c r="AP279" s="81">
        <v>372311125091</v>
      </c>
    </row>
    <row r="280" spans="1:42" ht="47.25" customHeight="1">
      <c r="A280" s="137">
        <f>SUBTOTAL(3,$B$3:B280)</f>
        <v>278</v>
      </c>
      <c r="B280" s="164" t="s">
        <v>1615</v>
      </c>
      <c r="C280" s="165" t="s">
        <v>3744</v>
      </c>
      <c r="D280" s="124" t="s">
        <v>3745</v>
      </c>
      <c r="E280" s="137" t="s">
        <v>212</v>
      </c>
      <c r="F280" s="137" t="s">
        <v>1825</v>
      </c>
      <c r="G280" s="137" t="s">
        <v>2345</v>
      </c>
      <c r="H280" s="137" t="s">
        <v>768</v>
      </c>
      <c r="I280" s="137" t="s">
        <v>40</v>
      </c>
      <c r="J280" s="137" t="s">
        <v>1616</v>
      </c>
      <c r="K280" s="137" t="s">
        <v>41</v>
      </c>
      <c r="L280" s="137" t="s">
        <v>42</v>
      </c>
      <c r="M280" s="183" t="s">
        <v>1175</v>
      </c>
      <c r="N280" s="166">
        <v>44866</v>
      </c>
      <c r="O280" s="124" t="s">
        <v>2991</v>
      </c>
      <c r="P280" s="137" t="s">
        <v>2347</v>
      </c>
      <c r="Q280" s="137" t="s">
        <v>3676</v>
      </c>
      <c r="R280" s="124" t="s">
        <v>1617</v>
      </c>
      <c r="S280" s="124">
        <f>VLOOKUP(B280,'[3]NCL SAL. SHEET'!$A$4:$D$126,4,0)</f>
        <v>28097</v>
      </c>
      <c r="T280" s="125">
        <v>101326833492</v>
      </c>
      <c r="U280" s="126" t="s">
        <v>1619</v>
      </c>
      <c r="V280" s="126" t="s">
        <v>1618</v>
      </c>
      <c r="W280" s="126" t="s">
        <v>1620</v>
      </c>
      <c r="X280" s="126" t="s">
        <v>1621</v>
      </c>
      <c r="Y280" s="167" t="s">
        <v>51</v>
      </c>
      <c r="Z280" s="126" t="s">
        <v>50</v>
      </c>
      <c r="AA280" s="167" t="s">
        <v>1622</v>
      </c>
      <c r="AB280" s="167" t="s">
        <v>1622</v>
      </c>
      <c r="AC280" s="164" t="s">
        <v>1615</v>
      </c>
      <c r="AD280" s="140"/>
      <c r="AE280" s="126"/>
      <c r="AF280" s="126"/>
      <c r="AG280" s="168" t="s">
        <v>5263</v>
      </c>
      <c r="AH280" s="126"/>
      <c r="AI280" s="126"/>
      <c r="AJ280" s="127" t="s">
        <v>1616</v>
      </c>
      <c r="AK280" s="128"/>
      <c r="AL280" s="129"/>
      <c r="AM280" s="129"/>
    </row>
    <row r="281" spans="1:42" ht="47.25" customHeight="1">
      <c r="A281" s="137">
        <f>SUBTOTAL(3,$B$3:B281)</f>
        <v>279</v>
      </c>
      <c r="B281" s="164" t="s">
        <v>1623</v>
      </c>
      <c r="C281" s="165" t="s">
        <v>1624</v>
      </c>
      <c r="D281" s="124" t="s">
        <v>1624</v>
      </c>
      <c r="E281" s="137" t="s">
        <v>948</v>
      </c>
      <c r="F281" s="137" t="s">
        <v>1625</v>
      </c>
      <c r="G281" s="137" t="s">
        <v>2345</v>
      </c>
      <c r="H281" s="137" t="s">
        <v>1626</v>
      </c>
      <c r="I281" s="137" t="s">
        <v>702</v>
      </c>
      <c r="J281" s="137" t="s">
        <v>1627</v>
      </c>
      <c r="K281" s="137" t="s">
        <v>280</v>
      </c>
      <c r="L281" s="137" t="s">
        <v>42</v>
      </c>
      <c r="M281" s="183" t="s">
        <v>1580</v>
      </c>
      <c r="N281" s="166">
        <v>44866</v>
      </c>
      <c r="O281" s="124" t="s">
        <v>2991</v>
      </c>
      <c r="P281" s="137" t="s">
        <v>2347</v>
      </c>
      <c r="Q281" s="137" t="s">
        <v>3676</v>
      </c>
      <c r="R281" s="124" t="s">
        <v>1628</v>
      </c>
      <c r="S281" s="124">
        <f>VLOOKUP(B281,'[3]NCL SAL. SHEET'!$A$4:$D$126,4,0)</f>
        <v>28281</v>
      </c>
      <c r="T281" s="125">
        <v>100770053022</v>
      </c>
      <c r="U281" s="126" t="s">
        <v>1630</v>
      </c>
      <c r="V281" s="126" t="s">
        <v>1629</v>
      </c>
      <c r="W281" s="126" t="s">
        <v>1631</v>
      </c>
      <c r="X281" s="126" t="s">
        <v>1632</v>
      </c>
      <c r="Y281" s="167" t="s">
        <v>51</v>
      </c>
      <c r="Z281" s="126" t="s">
        <v>50</v>
      </c>
      <c r="AA281" s="167" t="s">
        <v>1633</v>
      </c>
      <c r="AB281" s="167" t="s">
        <v>1633</v>
      </c>
      <c r="AC281" s="164" t="s">
        <v>1623</v>
      </c>
      <c r="AD281" s="140"/>
      <c r="AE281" s="126"/>
      <c r="AF281" s="126"/>
      <c r="AG281" s="168" t="s">
        <v>5069</v>
      </c>
      <c r="AH281" s="126"/>
      <c r="AI281" s="126"/>
      <c r="AJ281" s="127" t="s">
        <v>1627</v>
      </c>
      <c r="AK281" s="128"/>
      <c r="AL281" s="129"/>
      <c r="AM281" s="129"/>
    </row>
    <row r="282" spans="1:42" ht="47.25" customHeight="1">
      <c r="A282" s="137">
        <f>SUBTOTAL(3,$B$3:B282)</f>
        <v>280</v>
      </c>
      <c r="B282" s="164" t="s">
        <v>1634</v>
      </c>
      <c r="C282" s="165" t="s">
        <v>1635</v>
      </c>
      <c r="D282" s="124" t="s">
        <v>1636</v>
      </c>
      <c r="E282" s="137" t="s">
        <v>70</v>
      </c>
      <c r="F282" s="137" t="s">
        <v>1054</v>
      </c>
      <c r="G282" s="137" t="s">
        <v>2389</v>
      </c>
      <c r="H282" s="137" t="s">
        <v>659</v>
      </c>
      <c r="I282" s="137" t="s">
        <v>40</v>
      </c>
      <c r="J282" s="137" t="s">
        <v>1637</v>
      </c>
      <c r="K282" s="137" t="s">
        <v>41</v>
      </c>
      <c r="L282" s="137" t="s">
        <v>42</v>
      </c>
      <c r="M282" s="183" t="s">
        <v>1151</v>
      </c>
      <c r="N282" s="166">
        <v>44866</v>
      </c>
      <c r="O282" s="124" t="s">
        <v>2991</v>
      </c>
      <c r="P282" s="137" t="s">
        <v>2347</v>
      </c>
      <c r="Q282" s="137" t="s">
        <v>3676</v>
      </c>
      <c r="R282" s="124" t="s">
        <v>1638</v>
      </c>
      <c r="S282" s="124">
        <f>VLOOKUP(B282,'[3]NCL SAL. SHEET'!$A$4:$D$126,4,0)</f>
        <v>28136</v>
      </c>
      <c r="T282" s="125">
        <v>101597437952</v>
      </c>
      <c r="U282" s="126" t="s">
        <v>1640</v>
      </c>
      <c r="V282" s="126" t="s">
        <v>1639</v>
      </c>
      <c r="W282" s="126" t="s">
        <v>1641</v>
      </c>
      <c r="X282" s="126" t="s">
        <v>1642</v>
      </c>
      <c r="Y282" s="167" t="s">
        <v>65</v>
      </c>
      <c r="Z282" s="126" t="s">
        <v>1643</v>
      </c>
      <c r="AA282" s="167" t="s">
        <v>1644</v>
      </c>
      <c r="AB282" s="167" t="s">
        <v>1644</v>
      </c>
      <c r="AC282" s="164" t="s">
        <v>1634</v>
      </c>
      <c r="AD282" s="140"/>
      <c r="AE282" s="126"/>
      <c r="AF282" s="126"/>
      <c r="AG282" s="168" t="s">
        <v>5261</v>
      </c>
      <c r="AH282" s="126"/>
      <c r="AI282" s="126"/>
      <c r="AJ282" s="127" t="s">
        <v>1637</v>
      </c>
      <c r="AK282" s="128"/>
      <c r="AL282" s="129"/>
      <c r="AM282" s="129"/>
    </row>
    <row r="283" spans="1:42" ht="47.25" customHeight="1">
      <c r="A283" s="137">
        <f>SUBTOTAL(3,$B$3:B283)</f>
        <v>281</v>
      </c>
      <c r="B283" s="164" t="s">
        <v>1645</v>
      </c>
      <c r="C283" s="165" t="s">
        <v>3746</v>
      </c>
      <c r="D283" s="124" t="s">
        <v>3746</v>
      </c>
      <c r="E283" s="137" t="s">
        <v>754</v>
      </c>
      <c r="F283" s="137" t="s">
        <v>3006</v>
      </c>
      <c r="G283" s="137" t="s">
        <v>2345</v>
      </c>
      <c r="H283" s="137" t="s">
        <v>1646</v>
      </c>
      <c r="I283" s="137" t="s">
        <v>40</v>
      </c>
      <c r="J283" s="137" t="s">
        <v>1647</v>
      </c>
      <c r="K283" s="137" t="s">
        <v>41</v>
      </c>
      <c r="L283" s="137" t="s">
        <v>42</v>
      </c>
      <c r="M283" s="183" t="s">
        <v>1044</v>
      </c>
      <c r="N283" s="166">
        <v>44866</v>
      </c>
      <c r="O283" s="124" t="s">
        <v>2991</v>
      </c>
      <c r="P283" s="137" t="s">
        <v>2347</v>
      </c>
      <c r="Q283" s="137" t="s">
        <v>3676</v>
      </c>
      <c r="R283" s="124" t="s">
        <v>1648</v>
      </c>
      <c r="S283" s="124">
        <f>VLOOKUP(B283,'[3]NCL SAL. SHEET'!$A$4:$D$126,4,0)</f>
        <v>28193</v>
      </c>
      <c r="T283" s="125">
        <v>101326833437</v>
      </c>
      <c r="U283" s="126" t="s">
        <v>1650</v>
      </c>
      <c r="V283" s="126" t="s">
        <v>1649</v>
      </c>
      <c r="W283" s="126" t="s">
        <v>1651</v>
      </c>
      <c r="X283" s="126" t="s">
        <v>1652</v>
      </c>
      <c r="Y283" s="167" t="s">
        <v>51</v>
      </c>
      <c r="Z283" s="126" t="s">
        <v>50</v>
      </c>
      <c r="AA283" s="167" t="s">
        <v>1653</v>
      </c>
      <c r="AB283" s="167" t="s">
        <v>1653</v>
      </c>
      <c r="AC283" s="164" t="s">
        <v>1645</v>
      </c>
      <c r="AD283" s="140"/>
      <c r="AE283" s="126"/>
      <c r="AF283" s="126"/>
      <c r="AG283" s="168" t="s">
        <v>5257</v>
      </c>
      <c r="AH283" s="126"/>
      <c r="AI283" s="126"/>
      <c r="AJ283" s="127" t="s">
        <v>1647</v>
      </c>
      <c r="AK283" s="128"/>
      <c r="AL283" s="129"/>
      <c r="AM283" s="129"/>
    </row>
    <row r="284" spans="1:42" ht="47.25" customHeight="1">
      <c r="A284" s="137">
        <f>SUBTOTAL(3,$B$3:B284)</f>
        <v>282</v>
      </c>
      <c r="B284" s="164" t="s">
        <v>1654</v>
      </c>
      <c r="C284" s="165" t="s">
        <v>8496</v>
      </c>
      <c r="D284" s="184" t="s">
        <v>8496</v>
      </c>
      <c r="E284" s="137" t="s">
        <v>136</v>
      </c>
      <c r="F284" s="137" t="s">
        <v>887</v>
      </c>
      <c r="G284" s="137" t="s">
        <v>2345</v>
      </c>
      <c r="H284" s="137" t="s">
        <v>1655</v>
      </c>
      <c r="I284" s="137" t="s">
        <v>702</v>
      </c>
      <c r="J284" s="137" t="s">
        <v>1656</v>
      </c>
      <c r="K284" s="137" t="s">
        <v>280</v>
      </c>
      <c r="L284" s="137" t="s">
        <v>42</v>
      </c>
      <c r="M284" s="183" t="s">
        <v>1044</v>
      </c>
      <c r="N284" s="166">
        <v>44866</v>
      </c>
      <c r="O284" s="124" t="s">
        <v>2991</v>
      </c>
      <c r="P284" s="137" t="s">
        <v>2347</v>
      </c>
      <c r="Q284" s="137" t="s">
        <v>3676</v>
      </c>
      <c r="R284" s="124" t="s">
        <v>1657</v>
      </c>
      <c r="S284" s="124">
        <f>VLOOKUP(B284,'[3]NCL SAL. SHEET'!$A$4:$D$126,4,0)</f>
        <v>28093</v>
      </c>
      <c r="T284" s="125">
        <v>101296908870</v>
      </c>
      <c r="U284" s="126" t="s">
        <v>1659</v>
      </c>
      <c r="V284" s="126" t="s">
        <v>1658</v>
      </c>
      <c r="W284" s="126" t="s">
        <v>1660</v>
      </c>
      <c r="X284" s="126" t="s">
        <v>1661</v>
      </c>
      <c r="Y284" s="167" t="s">
        <v>51</v>
      </c>
      <c r="Z284" s="126" t="s">
        <v>50</v>
      </c>
      <c r="AA284" s="167" t="s">
        <v>1662</v>
      </c>
      <c r="AB284" s="167" t="s">
        <v>1662</v>
      </c>
      <c r="AC284" s="164" t="s">
        <v>1654</v>
      </c>
      <c r="AD284" s="140"/>
      <c r="AE284" s="126"/>
      <c r="AF284" s="126"/>
      <c r="AG284" s="168" t="s">
        <v>5078</v>
      </c>
      <c r="AH284" s="126"/>
      <c r="AI284" s="126"/>
      <c r="AJ284" s="127" t="s">
        <v>1656</v>
      </c>
      <c r="AK284" s="128"/>
      <c r="AL284" s="129"/>
      <c r="AM284" s="129"/>
    </row>
    <row r="285" spans="1:42" ht="47.25" customHeight="1">
      <c r="A285" s="137">
        <f>SUBTOTAL(3,$B$3:B285)</f>
        <v>283</v>
      </c>
      <c r="B285" s="164" t="s">
        <v>1663</v>
      </c>
      <c r="C285" s="165" t="s">
        <v>1664</v>
      </c>
      <c r="D285" s="124" t="s">
        <v>1664</v>
      </c>
      <c r="E285" s="137" t="s">
        <v>1665</v>
      </c>
      <c r="F285" s="137" t="s">
        <v>1666</v>
      </c>
      <c r="G285" s="137" t="s">
        <v>2345</v>
      </c>
      <c r="H285" s="137" t="s">
        <v>1667</v>
      </c>
      <c r="I285" s="137" t="s">
        <v>40</v>
      </c>
      <c r="J285" s="137" t="s">
        <v>1668</v>
      </c>
      <c r="K285" s="137" t="s">
        <v>41</v>
      </c>
      <c r="L285" s="137" t="s">
        <v>42</v>
      </c>
      <c r="M285" s="183" t="s">
        <v>1669</v>
      </c>
      <c r="N285" s="166">
        <v>44866</v>
      </c>
      <c r="O285" s="124" t="s">
        <v>2991</v>
      </c>
      <c r="P285" s="137" t="s">
        <v>2347</v>
      </c>
      <c r="Q285" s="137" t="s">
        <v>3676</v>
      </c>
      <c r="R285" s="124" t="s">
        <v>1670</v>
      </c>
      <c r="S285" s="124">
        <f>VLOOKUP(B285,'[3]NCL SAL. SHEET'!$A$4:$D$126,4,0)</f>
        <v>28290</v>
      </c>
      <c r="T285" s="125">
        <v>100663138489</v>
      </c>
      <c r="U285" s="126" t="s">
        <v>1672</v>
      </c>
      <c r="V285" s="126" t="s">
        <v>1671</v>
      </c>
      <c r="W285" s="126" t="s">
        <v>1673</v>
      </c>
      <c r="X285" s="126" t="s">
        <v>1674</v>
      </c>
      <c r="Y285" s="167" t="s">
        <v>146</v>
      </c>
      <c r="Z285" s="126" t="s">
        <v>1675</v>
      </c>
      <c r="AA285" s="167" t="s">
        <v>1676</v>
      </c>
      <c r="AB285" s="167" t="s">
        <v>1676</v>
      </c>
      <c r="AC285" s="164" t="s">
        <v>1663</v>
      </c>
      <c r="AD285" s="140"/>
      <c r="AE285" s="126"/>
      <c r="AF285" s="126"/>
      <c r="AG285" s="168" t="s">
        <v>5240</v>
      </c>
      <c r="AH285" s="126"/>
      <c r="AI285" s="126"/>
      <c r="AJ285" s="127" t="s">
        <v>1668</v>
      </c>
      <c r="AK285" s="128"/>
      <c r="AL285" s="129"/>
      <c r="AM285" s="129"/>
    </row>
    <row r="286" spans="1:42" ht="47.25" customHeight="1">
      <c r="A286" s="137">
        <f>SUBTOTAL(3,$B$3:B286)</f>
        <v>284</v>
      </c>
      <c r="B286" s="164" t="s">
        <v>1677</v>
      </c>
      <c r="C286" s="165" t="s">
        <v>1678</v>
      </c>
      <c r="D286" s="124" t="s">
        <v>1679</v>
      </c>
      <c r="E286" s="137" t="s">
        <v>1243</v>
      </c>
      <c r="F286" s="137" t="s">
        <v>1680</v>
      </c>
      <c r="G286" s="137" t="s">
        <v>2389</v>
      </c>
      <c r="H286" s="137" t="s">
        <v>1681</v>
      </c>
      <c r="I286" s="137" t="s">
        <v>40</v>
      </c>
      <c r="J286" s="137" t="s">
        <v>1682</v>
      </c>
      <c r="K286" s="137" t="s">
        <v>41</v>
      </c>
      <c r="L286" s="137" t="s">
        <v>42</v>
      </c>
      <c r="M286" s="183" t="s">
        <v>1104</v>
      </c>
      <c r="N286" s="166">
        <v>44866</v>
      </c>
      <c r="O286" s="124" t="s">
        <v>2991</v>
      </c>
      <c r="P286" s="137" t="s">
        <v>2347</v>
      </c>
      <c r="Q286" s="137" t="s">
        <v>3676</v>
      </c>
      <c r="R286" s="124" t="s">
        <v>1683</v>
      </c>
      <c r="S286" s="124">
        <f>VLOOKUP(B286,'[3]NCL SAL. SHEET'!$A$4:$D$126,4,0)</f>
        <v>28003</v>
      </c>
      <c r="T286" s="125">
        <v>101225583363</v>
      </c>
      <c r="U286" s="126" t="s">
        <v>1685</v>
      </c>
      <c r="V286" s="126" t="s">
        <v>1684</v>
      </c>
      <c r="W286" s="126" t="s">
        <v>1686</v>
      </c>
      <c r="X286" s="126" t="s">
        <v>1687</v>
      </c>
      <c r="Y286" s="167" t="s">
        <v>51</v>
      </c>
      <c r="Z286" s="126" t="s">
        <v>50</v>
      </c>
      <c r="AA286" s="167" t="s">
        <v>1688</v>
      </c>
      <c r="AB286" s="167" t="s">
        <v>1688</v>
      </c>
      <c r="AC286" s="164" t="s">
        <v>1677</v>
      </c>
      <c r="AD286" s="140"/>
      <c r="AE286" s="126"/>
      <c r="AF286" s="126"/>
      <c r="AG286" s="168" t="s">
        <v>5391</v>
      </c>
      <c r="AH286" s="126"/>
      <c r="AI286" s="126"/>
      <c r="AJ286" s="127" t="s">
        <v>1682</v>
      </c>
      <c r="AK286" s="128"/>
      <c r="AL286" s="129"/>
      <c r="AM286" s="129"/>
    </row>
    <row r="287" spans="1:42" ht="47.25" customHeight="1">
      <c r="A287" s="137">
        <f>SUBTOTAL(3,$B$3:B287)</f>
        <v>285</v>
      </c>
      <c r="B287" s="164" t="s">
        <v>1689</v>
      </c>
      <c r="C287" s="165" t="s">
        <v>3747</v>
      </c>
      <c r="D287" s="124" t="s">
        <v>3747</v>
      </c>
      <c r="E287" s="137" t="s">
        <v>263</v>
      </c>
      <c r="F287" s="137" t="s">
        <v>2698</v>
      </c>
      <c r="G287" s="137" t="s">
        <v>2345</v>
      </c>
      <c r="H287" s="137" t="s">
        <v>1042</v>
      </c>
      <c r="I287" s="137" t="s">
        <v>40</v>
      </c>
      <c r="J287" s="137" t="s">
        <v>1690</v>
      </c>
      <c r="K287" s="137" t="s">
        <v>41</v>
      </c>
      <c r="L287" s="137" t="s">
        <v>42</v>
      </c>
      <c r="M287" s="183" t="s">
        <v>1691</v>
      </c>
      <c r="N287" s="166">
        <v>44866</v>
      </c>
      <c r="O287" s="124" t="s">
        <v>2991</v>
      </c>
      <c r="P287" s="137" t="s">
        <v>2347</v>
      </c>
      <c r="Q287" s="137" t="s">
        <v>3676</v>
      </c>
      <c r="R287" s="124" t="s">
        <v>1692</v>
      </c>
      <c r="S287" s="124">
        <f>VLOOKUP(B287,'[3]NCL SAL. SHEET'!$A$4:$D$126,4,0)</f>
        <v>28004</v>
      </c>
      <c r="T287" s="125">
        <v>101326833485</v>
      </c>
      <c r="U287" s="126" t="s">
        <v>1694</v>
      </c>
      <c r="V287" s="126" t="s">
        <v>1693</v>
      </c>
      <c r="W287" s="126" t="s">
        <v>1695</v>
      </c>
      <c r="X287" s="126" t="s">
        <v>1696</v>
      </c>
      <c r="Y287" s="167" t="s">
        <v>51</v>
      </c>
      <c r="Z287" s="126" t="s">
        <v>50</v>
      </c>
      <c r="AA287" s="167" t="s">
        <v>1697</v>
      </c>
      <c r="AB287" s="167" t="s">
        <v>1697</v>
      </c>
      <c r="AC287" s="164" t="s">
        <v>1689</v>
      </c>
      <c r="AD287" s="140"/>
      <c r="AE287" s="126"/>
      <c r="AF287" s="126"/>
      <c r="AG287" s="168" t="s">
        <v>5210</v>
      </c>
      <c r="AH287" s="126"/>
      <c r="AI287" s="126"/>
      <c r="AJ287" s="127" t="s">
        <v>1690</v>
      </c>
      <c r="AK287" s="128"/>
      <c r="AL287" s="129"/>
      <c r="AM287" s="129"/>
    </row>
    <row r="288" spans="1:42" ht="47.25" customHeight="1">
      <c r="A288" s="137">
        <f>SUBTOTAL(3,$B$3:B288)</f>
        <v>286</v>
      </c>
      <c r="B288" s="164" t="s">
        <v>1698</v>
      </c>
      <c r="C288" s="165" t="s">
        <v>1699</v>
      </c>
      <c r="D288" s="124" t="s">
        <v>1700</v>
      </c>
      <c r="E288" s="137" t="s">
        <v>722</v>
      </c>
      <c r="F288" s="137" t="s">
        <v>1701</v>
      </c>
      <c r="G288" s="137" t="s">
        <v>2389</v>
      </c>
      <c r="H288" s="137" t="s">
        <v>1702</v>
      </c>
      <c r="I288" s="137" t="s">
        <v>40</v>
      </c>
      <c r="J288" s="137" t="s">
        <v>1703</v>
      </c>
      <c r="K288" s="137" t="s">
        <v>41</v>
      </c>
      <c r="L288" s="137" t="s">
        <v>42</v>
      </c>
      <c r="M288" s="183" t="s">
        <v>1044</v>
      </c>
      <c r="N288" s="166">
        <v>44866</v>
      </c>
      <c r="O288" s="124" t="s">
        <v>2991</v>
      </c>
      <c r="P288" s="137" t="s">
        <v>2347</v>
      </c>
      <c r="Q288" s="137" t="s">
        <v>3676</v>
      </c>
      <c r="R288" s="124" t="s">
        <v>1704</v>
      </c>
      <c r="S288" s="124">
        <f>VLOOKUP(B288,'[3]NCL SAL. SHEET'!$A$4:$D$126,4,0)</f>
        <v>28135</v>
      </c>
      <c r="T288" s="125">
        <v>101597699319</v>
      </c>
      <c r="U288" s="126" t="s">
        <v>1706</v>
      </c>
      <c r="V288" s="126" t="s">
        <v>1705</v>
      </c>
      <c r="W288" s="126" t="s">
        <v>1707</v>
      </c>
      <c r="X288" s="126" t="s">
        <v>1708</v>
      </c>
      <c r="Y288" s="167" t="s">
        <v>51</v>
      </c>
      <c r="Z288" s="126" t="s">
        <v>1523</v>
      </c>
      <c r="AA288" s="167" t="s">
        <v>1709</v>
      </c>
      <c r="AB288" s="167" t="s">
        <v>1709</v>
      </c>
      <c r="AC288" s="164" t="s">
        <v>1698</v>
      </c>
      <c r="AD288" s="140"/>
      <c r="AE288" s="126"/>
      <c r="AF288" s="126"/>
      <c r="AG288" s="168" t="s">
        <v>5403</v>
      </c>
      <c r="AH288" s="126"/>
      <c r="AI288" s="126"/>
      <c r="AJ288" s="127" t="s">
        <v>1703</v>
      </c>
      <c r="AK288" s="128"/>
      <c r="AL288" s="129"/>
      <c r="AM288" s="129"/>
    </row>
    <row r="289" spans="1:41" ht="47.25" customHeight="1">
      <c r="A289" s="137">
        <f>SUBTOTAL(3,$B$3:B289)</f>
        <v>287</v>
      </c>
      <c r="B289" s="164" t="s">
        <v>1710</v>
      </c>
      <c r="C289" s="165" t="s">
        <v>1711</v>
      </c>
      <c r="D289" s="124" t="s">
        <v>1712</v>
      </c>
      <c r="E289" s="137" t="s">
        <v>1172</v>
      </c>
      <c r="F289" s="137" t="s">
        <v>1713</v>
      </c>
      <c r="G289" s="137" t="s">
        <v>2389</v>
      </c>
      <c r="H289" s="137" t="s">
        <v>1714</v>
      </c>
      <c r="I289" s="137" t="s">
        <v>40</v>
      </c>
      <c r="J289" s="137" t="s">
        <v>1715</v>
      </c>
      <c r="K289" s="137" t="s">
        <v>280</v>
      </c>
      <c r="L289" s="137" t="s">
        <v>42</v>
      </c>
      <c r="M289" s="183" t="s">
        <v>1151</v>
      </c>
      <c r="N289" s="166">
        <v>44866</v>
      </c>
      <c r="O289" s="124" t="s">
        <v>2991</v>
      </c>
      <c r="P289" s="137" t="s">
        <v>2347</v>
      </c>
      <c r="Q289" s="137" t="s">
        <v>3676</v>
      </c>
      <c r="R289" s="124" t="s">
        <v>1716</v>
      </c>
      <c r="S289" s="124">
        <f>VLOOKUP(B289,'[3]NCL SAL. SHEET'!$A$4:$D$126,4,0)</f>
        <v>28001</v>
      </c>
      <c r="T289" s="125">
        <v>101416000392</v>
      </c>
      <c r="U289" s="126" t="s">
        <v>1718</v>
      </c>
      <c r="V289" s="126" t="s">
        <v>1717</v>
      </c>
      <c r="W289" s="126" t="s">
        <v>1719</v>
      </c>
      <c r="X289" s="126" t="s">
        <v>1720</v>
      </c>
      <c r="Y289" s="167" t="s">
        <v>51</v>
      </c>
      <c r="Z289" s="126" t="s">
        <v>50</v>
      </c>
      <c r="AA289" s="167" t="s">
        <v>1721</v>
      </c>
      <c r="AB289" s="167" t="s">
        <v>1721</v>
      </c>
      <c r="AC289" s="164" t="s">
        <v>1710</v>
      </c>
      <c r="AD289" s="140"/>
      <c r="AE289" s="126"/>
      <c r="AF289" s="126"/>
      <c r="AG289" s="168" t="s">
        <v>5211</v>
      </c>
      <c r="AH289" s="126"/>
      <c r="AI289" s="126"/>
      <c r="AJ289" s="127" t="s">
        <v>1715</v>
      </c>
      <c r="AK289" s="128"/>
      <c r="AL289" s="129"/>
      <c r="AM289" s="129"/>
    </row>
    <row r="290" spans="1:41" ht="47.25" customHeight="1">
      <c r="A290" s="137">
        <f>SUBTOTAL(3,$B$3:B290)</f>
        <v>288</v>
      </c>
      <c r="B290" s="164" t="s">
        <v>1722</v>
      </c>
      <c r="C290" s="165" t="s">
        <v>1723</v>
      </c>
      <c r="D290" s="124" t="s">
        <v>1723</v>
      </c>
      <c r="E290" s="137" t="s">
        <v>291</v>
      </c>
      <c r="F290" s="137" t="s">
        <v>1724</v>
      </c>
      <c r="G290" s="137" t="s">
        <v>2389</v>
      </c>
      <c r="H290" s="137" t="s">
        <v>1725</v>
      </c>
      <c r="I290" s="137" t="s">
        <v>40</v>
      </c>
      <c r="J290" s="137" t="s">
        <v>1726</v>
      </c>
      <c r="K290" s="137" t="s">
        <v>280</v>
      </c>
      <c r="L290" s="137" t="s">
        <v>42</v>
      </c>
      <c r="M290" s="183" t="s">
        <v>1727</v>
      </c>
      <c r="N290" s="166">
        <v>44866</v>
      </c>
      <c r="O290" s="124" t="s">
        <v>2991</v>
      </c>
      <c r="P290" s="137" t="s">
        <v>2347</v>
      </c>
      <c r="Q290" s="137" t="s">
        <v>3676</v>
      </c>
      <c r="R290" s="124" t="s">
        <v>1728</v>
      </c>
      <c r="S290" s="124">
        <f>VLOOKUP(B290,'[3]NCL SAL. SHEET'!$A$4:$D$126,4,0)</f>
        <v>28194</v>
      </c>
      <c r="T290" s="125">
        <v>101503402090</v>
      </c>
      <c r="U290" s="126" t="s">
        <v>1730</v>
      </c>
      <c r="V290" s="126" t="s">
        <v>1729</v>
      </c>
      <c r="W290" s="126" t="s">
        <v>1731</v>
      </c>
      <c r="X290" s="126" t="s">
        <v>1732</v>
      </c>
      <c r="Y290" s="167" t="s">
        <v>1733</v>
      </c>
      <c r="Z290" s="126" t="s">
        <v>1561</v>
      </c>
      <c r="AA290" s="167" t="s">
        <v>1734</v>
      </c>
      <c r="AB290" s="167" t="s">
        <v>1734</v>
      </c>
      <c r="AC290" s="164" t="s">
        <v>1722</v>
      </c>
      <c r="AD290" s="140"/>
      <c r="AE290" s="126"/>
      <c r="AF290" s="126"/>
      <c r="AG290" s="168" t="s">
        <v>5245</v>
      </c>
      <c r="AH290" s="126"/>
      <c r="AI290" s="126"/>
      <c r="AJ290" s="127" t="s">
        <v>1726</v>
      </c>
      <c r="AK290" s="128"/>
      <c r="AL290" s="129"/>
      <c r="AM290" s="129"/>
    </row>
    <row r="291" spans="1:41" ht="47.25" customHeight="1">
      <c r="A291" s="137">
        <f>SUBTOTAL(3,$B$3:B291)</f>
        <v>289</v>
      </c>
      <c r="B291" s="164" t="s">
        <v>1735</v>
      </c>
      <c r="C291" s="165" t="s">
        <v>1736</v>
      </c>
      <c r="D291" s="124" t="s">
        <v>1737</v>
      </c>
      <c r="E291" s="137" t="s">
        <v>70</v>
      </c>
      <c r="F291" s="137" t="s">
        <v>190</v>
      </c>
      <c r="G291" s="137" t="s">
        <v>2389</v>
      </c>
      <c r="H291" s="137" t="s">
        <v>1738</v>
      </c>
      <c r="I291" s="137" t="s">
        <v>40</v>
      </c>
      <c r="J291" s="137" t="s">
        <v>1739</v>
      </c>
      <c r="K291" s="137" t="s">
        <v>280</v>
      </c>
      <c r="L291" s="137" t="s">
        <v>42</v>
      </c>
      <c r="M291" s="183" t="s">
        <v>1044</v>
      </c>
      <c r="N291" s="166">
        <v>44866</v>
      </c>
      <c r="O291" s="124" t="s">
        <v>2991</v>
      </c>
      <c r="P291" s="137" t="s">
        <v>2347</v>
      </c>
      <c r="Q291" s="137" t="s">
        <v>3676</v>
      </c>
      <c r="R291" s="124" t="s">
        <v>1740</v>
      </c>
      <c r="S291" s="124">
        <f>VLOOKUP(B291,'[3]NCL SAL. SHEET'!$A$4:$D$126,4,0)</f>
        <v>27997</v>
      </c>
      <c r="T291" s="125">
        <v>101326833459</v>
      </c>
      <c r="U291" s="126" t="s">
        <v>1742</v>
      </c>
      <c r="V291" s="126" t="s">
        <v>1741</v>
      </c>
      <c r="W291" s="126" t="s">
        <v>1743</v>
      </c>
      <c r="X291" s="126" t="s">
        <v>1744</v>
      </c>
      <c r="Y291" s="167" t="s">
        <v>51</v>
      </c>
      <c r="Z291" s="126" t="s">
        <v>50</v>
      </c>
      <c r="AA291" s="167" t="s">
        <v>1745</v>
      </c>
      <c r="AB291" s="167" t="s">
        <v>1745</v>
      </c>
      <c r="AC291" s="164" t="s">
        <v>1735</v>
      </c>
      <c r="AD291" s="140"/>
      <c r="AE291" s="126"/>
      <c r="AF291" s="126"/>
      <c r="AG291" s="168" t="s">
        <v>5238</v>
      </c>
      <c r="AH291" s="126"/>
      <c r="AI291" s="126"/>
      <c r="AJ291" s="127" t="s">
        <v>1739</v>
      </c>
      <c r="AK291" s="128"/>
      <c r="AL291" s="129"/>
      <c r="AM291" s="129"/>
    </row>
    <row r="292" spans="1:41" ht="47.25" customHeight="1">
      <c r="A292" s="137">
        <f>SUBTOTAL(3,$B$3:B292)</f>
        <v>290</v>
      </c>
      <c r="B292" s="164" t="s">
        <v>1746</v>
      </c>
      <c r="C292" s="165" t="s">
        <v>3748</v>
      </c>
      <c r="D292" s="124" t="s">
        <v>3749</v>
      </c>
      <c r="E292" s="137" t="s">
        <v>70</v>
      </c>
      <c r="F292" s="137" t="s">
        <v>3737</v>
      </c>
      <c r="G292" s="137" t="s">
        <v>2345</v>
      </c>
      <c r="H292" s="137" t="s">
        <v>1186</v>
      </c>
      <c r="I292" s="137" t="s">
        <v>702</v>
      </c>
      <c r="J292" s="137" t="s">
        <v>1747</v>
      </c>
      <c r="K292" s="137" t="s">
        <v>280</v>
      </c>
      <c r="L292" s="137" t="s">
        <v>42</v>
      </c>
      <c r="M292" s="183" t="s">
        <v>1128</v>
      </c>
      <c r="N292" s="166">
        <v>44866</v>
      </c>
      <c r="O292" s="124" t="s">
        <v>2991</v>
      </c>
      <c r="P292" s="137" t="s">
        <v>2347</v>
      </c>
      <c r="Q292" s="137" t="s">
        <v>3676</v>
      </c>
      <c r="R292" s="124" t="s">
        <v>1748</v>
      </c>
      <c r="S292" s="124">
        <f>VLOOKUP(B292,'[3]NCL SAL. SHEET'!$A$4:$D$126,4,0)</f>
        <v>28195</v>
      </c>
      <c r="T292" s="125">
        <v>101343971971</v>
      </c>
      <c r="U292" s="126" t="s">
        <v>1750</v>
      </c>
      <c r="V292" s="126" t="s">
        <v>1749</v>
      </c>
      <c r="W292" s="126" t="s">
        <v>1751</v>
      </c>
      <c r="X292" s="126" t="s">
        <v>1752</v>
      </c>
      <c r="Y292" s="167" t="s">
        <v>51</v>
      </c>
      <c r="Z292" s="126" t="s">
        <v>50</v>
      </c>
      <c r="AA292" s="167" t="s">
        <v>1753</v>
      </c>
      <c r="AB292" s="167" t="s">
        <v>1753</v>
      </c>
      <c r="AC292" s="164" t="s">
        <v>1746</v>
      </c>
      <c r="AD292" s="140"/>
      <c r="AE292" s="126"/>
      <c r="AF292" s="126"/>
      <c r="AG292" s="168" t="s">
        <v>5262</v>
      </c>
      <c r="AH292" s="126"/>
      <c r="AI292" s="126"/>
      <c r="AJ292" s="127" t="s">
        <v>1747</v>
      </c>
      <c r="AK292" s="128"/>
      <c r="AL292" s="129"/>
      <c r="AM292" s="129"/>
    </row>
    <row r="293" spans="1:41" ht="47.25" customHeight="1">
      <c r="A293" s="137">
        <f>SUBTOTAL(3,$B$3:B293)</f>
        <v>291</v>
      </c>
      <c r="B293" s="164" t="s">
        <v>1754</v>
      </c>
      <c r="C293" s="165" t="s">
        <v>1755</v>
      </c>
      <c r="D293" s="124" t="s">
        <v>1756</v>
      </c>
      <c r="E293" s="137" t="s">
        <v>1757</v>
      </c>
      <c r="F293" s="137" t="s">
        <v>1758</v>
      </c>
      <c r="G293" s="137" t="s">
        <v>2389</v>
      </c>
      <c r="H293" s="137" t="s">
        <v>938</v>
      </c>
      <c r="I293" s="137" t="s">
        <v>40</v>
      </c>
      <c r="J293" s="137" t="s">
        <v>1759</v>
      </c>
      <c r="K293" s="137" t="s">
        <v>41</v>
      </c>
      <c r="L293" s="137" t="s">
        <v>42</v>
      </c>
      <c r="M293" s="183" t="s">
        <v>1044</v>
      </c>
      <c r="N293" s="166">
        <v>44866</v>
      </c>
      <c r="O293" s="124" t="s">
        <v>2991</v>
      </c>
      <c r="P293" s="137" t="s">
        <v>2347</v>
      </c>
      <c r="Q293" s="137" t="s">
        <v>3676</v>
      </c>
      <c r="R293" s="124" t="s">
        <v>1760</v>
      </c>
      <c r="S293" s="124">
        <f>VLOOKUP(B293,'[3]NCL SAL. SHEET'!$A$4:$D$126,4,0)</f>
        <v>28007</v>
      </c>
      <c r="T293" s="125">
        <v>101296908889</v>
      </c>
      <c r="U293" s="126" t="s">
        <v>1762</v>
      </c>
      <c r="V293" s="126" t="s">
        <v>1761</v>
      </c>
      <c r="W293" s="126" t="s">
        <v>1763</v>
      </c>
      <c r="X293" s="126" t="s">
        <v>1764</v>
      </c>
      <c r="Y293" s="167" t="s">
        <v>51</v>
      </c>
      <c r="Z293" s="126" t="s">
        <v>50</v>
      </c>
      <c r="AA293" s="167" t="s">
        <v>6509</v>
      </c>
      <c r="AB293" s="167" t="s">
        <v>6509</v>
      </c>
      <c r="AC293" s="164" t="s">
        <v>1754</v>
      </c>
      <c r="AD293" s="140"/>
      <c r="AE293" s="126"/>
      <c r="AF293" s="126"/>
      <c r="AG293" s="168" t="s">
        <v>5230</v>
      </c>
      <c r="AH293" s="126"/>
      <c r="AI293" s="126"/>
      <c r="AJ293" s="127" t="s">
        <v>1759</v>
      </c>
      <c r="AK293" s="128"/>
      <c r="AL293" s="129"/>
      <c r="AM293" s="129"/>
    </row>
    <row r="294" spans="1:41" ht="47.25" customHeight="1">
      <c r="A294" s="137">
        <f>SUBTOTAL(3,$B$3:B294)</f>
        <v>292</v>
      </c>
      <c r="B294" s="164" t="s">
        <v>1765</v>
      </c>
      <c r="C294" s="165" t="s">
        <v>1766</v>
      </c>
      <c r="D294" s="124" t="s">
        <v>1767</v>
      </c>
      <c r="E294" s="137" t="s">
        <v>1768</v>
      </c>
      <c r="F294" s="137" t="s">
        <v>851</v>
      </c>
      <c r="G294" s="137" t="s">
        <v>2389</v>
      </c>
      <c r="H294" s="137" t="s">
        <v>1769</v>
      </c>
      <c r="I294" s="137" t="s">
        <v>40</v>
      </c>
      <c r="J294" s="137" t="s">
        <v>1770</v>
      </c>
      <c r="K294" s="137" t="s">
        <v>41</v>
      </c>
      <c r="L294" s="137" t="s">
        <v>42</v>
      </c>
      <c r="M294" s="183" t="s">
        <v>1175</v>
      </c>
      <c r="N294" s="166">
        <v>44866</v>
      </c>
      <c r="O294" s="124" t="s">
        <v>2991</v>
      </c>
      <c r="P294" s="137" t="s">
        <v>2347</v>
      </c>
      <c r="Q294" s="137" t="s">
        <v>3676</v>
      </c>
      <c r="R294" s="124" t="s">
        <v>1771</v>
      </c>
      <c r="S294" s="124">
        <f>VLOOKUP(B294,'[3]NCL SAL. SHEET'!$A$4:$D$126,4,0)</f>
        <v>28008</v>
      </c>
      <c r="T294" s="125">
        <v>101264881033</v>
      </c>
      <c r="U294" s="126" t="s">
        <v>1773</v>
      </c>
      <c r="V294" s="126" t="s">
        <v>1772</v>
      </c>
      <c r="W294" s="126" t="s">
        <v>1774</v>
      </c>
      <c r="X294" s="126" t="s">
        <v>1775</v>
      </c>
      <c r="Y294" s="167" t="s">
        <v>51</v>
      </c>
      <c r="Z294" s="126" t="s">
        <v>1776</v>
      </c>
      <c r="AA294" s="167" t="s">
        <v>1777</v>
      </c>
      <c r="AB294" s="167" t="s">
        <v>1777</v>
      </c>
      <c r="AC294" s="164" t="s">
        <v>1765</v>
      </c>
      <c r="AD294" s="140"/>
      <c r="AE294" s="126"/>
      <c r="AF294" s="126"/>
      <c r="AG294" s="168" t="s">
        <v>5212</v>
      </c>
      <c r="AH294" s="126"/>
      <c r="AI294" s="126"/>
      <c r="AJ294" s="127" t="s">
        <v>1770</v>
      </c>
      <c r="AK294" s="128"/>
      <c r="AL294" s="129"/>
      <c r="AM294" s="129"/>
    </row>
    <row r="295" spans="1:41" ht="47.25" customHeight="1">
      <c r="A295" s="137">
        <f>SUBTOTAL(3,$B$3:B295)</f>
        <v>293</v>
      </c>
      <c r="B295" s="164" t="s">
        <v>1778</v>
      </c>
      <c r="C295" s="165" t="s">
        <v>1779</v>
      </c>
      <c r="D295" s="124" t="s">
        <v>1779</v>
      </c>
      <c r="E295" s="137" t="s">
        <v>263</v>
      </c>
      <c r="F295" s="137" t="s">
        <v>1780</v>
      </c>
      <c r="G295" s="137" t="s">
        <v>2389</v>
      </c>
      <c r="H295" s="137" t="s">
        <v>1781</v>
      </c>
      <c r="I295" s="137" t="s">
        <v>40</v>
      </c>
      <c r="J295" s="137" t="s">
        <v>1782</v>
      </c>
      <c r="K295" s="137" t="s">
        <v>280</v>
      </c>
      <c r="L295" s="137" t="s">
        <v>42</v>
      </c>
      <c r="M295" s="183" t="s">
        <v>1175</v>
      </c>
      <c r="N295" s="166">
        <v>44866</v>
      </c>
      <c r="O295" s="124" t="s">
        <v>2991</v>
      </c>
      <c r="P295" s="137" t="s">
        <v>2347</v>
      </c>
      <c r="Q295" s="137" t="s">
        <v>3676</v>
      </c>
      <c r="R295" s="124" t="s">
        <v>1783</v>
      </c>
      <c r="S295" s="124">
        <f>VLOOKUP(B295,'[3]NCL SAL. SHEET'!$A$4:$D$126,4,0)</f>
        <v>28095</v>
      </c>
      <c r="T295" s="125">
        <v>101694600523</v>
      </c>
      <c r="U295" s="126" t="s">
        <v>1785</v>
      </c>
      <c r="V295" s="126" t="s">
        <v>1784</v>
      </c>
      <c r="W295" s="126" t="s">
        <v>1786</v>
      </c>
      <c r="X295" s="126" t="s">
        <v>1787</v>
      </c>
      <c r="Y295" s="167" t="s">
        <v>51</v>
      </c>
      <c r="Z295" s="126" t="s">
        <v>50</v>
      </c>
      <c r="AA295" s="167" t="s">
        <v>6508</v>
      </c>
      <c r="AB295" s="167" t="s">
        <v>6508</v>
      </c>
      <c r="AC295" s="164" t="s">
        <v>1778</v>
      </c>
      <c r="AD295" s="140"/>
      <c r="AE295" s="126"/>
      <c r="AF295" s="126"/>
      <c r="AG295" s="168" t="s">
        <v>5258</v>
      </c>
      <c r="AH295" s="126"/>
      <c r="AI295" s="126"/>
      <c r="AJ295" s="127" t="s">
        <v>1782</v>
      </c>
      <c r="AK295" s="128"/>
      <c r="AL295" s="129"/>
      <c r="AM295" s="129"/>
    </row>
    <row r="296" spans="1:41" ht="47.25" customHeight="1">
      <c r="A296" s="137">
        <f>SUBTOTAL(3,$B$3:B296)</f>
        <v>294</v>
      </c>
      <c r="B296" s="164" t="s">
        <v>1788</v>
      </c>
      <c r="C296" s="165" t="s">
        <v>3750</v>
      </c>
      <c r="D296" s="124" t="s">
        <v>3751</v>
      </c>
      <c r="E296" s="137" t="s">
        <v>1789</v>
      </c>
      <c r="F296" s="137" t="s">
        <v>3752</v>
      </c>
      <c r="G296" s="137" t="s">
        <v>2345</v>
      </c>
      <c r="H296" s="137" t="s">
        <v>1790</v>
      </c>
      <c r="I296" s="137" t="s">
        <v>40</v>
      </c>
      <c r="J296" s="137" t="s">
        <v>1791</v>
      </c>
      <c r="K296" s="137" t="s">
        <v>41</v>
      </c>
      <c r="L296" s="137" t="s">
        <v>42</v>
      </c>
      <c r="M296" s="183" t="s">
        <v>1044</v>
      </c>
      <c r="N296" s="166">
        <v>44866</v>
      </c>
      <c r="O296" s="124" t="s">
        <v>2991</v>
      </c>
      <c r="P296" s="137" t="s">
        <v>2347</v>
      </c>
      <c r="Q296" s="137" t="s">
        <v>3676</v>
      </c>
      <c r="R296" s="124" t="s">
        <v>1792</v>
      </c>
      <c r="S296" s="124">
        <f>VLOOKUP(B296,'[3]NCL SAL. SHEET'!$A$4:$D$126,4,0)</f>
        <v>28192</v>
      </c>
      <c r="T296" s="125">
        <v>101251905126</v>
      </c>
      <c r="U296" s="126" t="s">
        <v>1794</v>
      </c>
      <c r="V296" s="126" t="s">
        <v>1793</v>
      </c>
      <c r="W296" s="126" t="s">
        <v>1795</v>
      </c>
      <c r="X296" s="126" t="s">
        <v>1796</v>
      </c>
      <c r="Y296" s="167" t="s">
        <v>51</v>
      </c>
      <c r="Z296" s="126" t="s">
        <v>50</v>
      </c>
      <c r="AA296" s="167" t="s">
        <v>1797</v>
      </c>
      <c r="AB296" s="167" t="s">
        <v>1797</v>
      </c>
      <c r="AC296" s="164" t="s">
        <v>1788</v>
      </c>
      <c r="AD296" s="140"/>
      <c r="AE296" s="126"/>
      <c r="AF296" s="126"/>
      <c r="AG296" s="168" t="s">
        <v>5227</v>
      </c>
      <c r="AH296" s="126"/>
      <c r="AI296" s="126"/>
      <c r="AJ296" s="127" t="s">
        <v>1791</v>
      </c>
      <c r="AK296" s="128"/>
      <c r="AL296" s="129"/>
      <c r="AM296" s="129"/>
    </row>
    <row r="297" spans="1:41" ht="47.25" customHeight="1">
      <c r="A297" s="137">
        <f>SUBTOTAL(3,$B$3:B297)</f>
        <v>295</v>
      </c>
      <c r="B297" s="164" t="s">
        <v>1798</v>
      </c>
      <c r="C297" s="165" t="s">
        <v>1799</v>
      </c>
      <c r="D297" s="124" t="s">
        <v>1799</v>
      </c>
      <c r="E297" s="137" t="s">
        <v>1800</v>
      </c>
      <c r="F297" s="137" t="s">
        <v>1801</v>
      </c>
      <c r="G297" s="137" t="s">
        <v>2345</v>
      </c>
      <c r="H297" s="137" t="s">
        <v>1802</v>
      </c>
      <c r="I297" s="137" t="s">
        <v>702</v>
      </c>
      <c r="J297" s="137" t="s">
        <v>1803</v>
      </c>
      <c r="K297" s="137" t="s">
        <v>280</v>
      </c>
      <c r="L297" s="137" t="s">
        <v>42</v>
      </c>
      <c r="M297" s="183" t="s">
        <v>1324</v>
      </c>
      <c r="N297" s="166">
        <v>44866</v>
      </c>
      <c r="O297" s="124" t="s">
        <v>2991</v>
      </c>
      <c r="P297" s="137" t="s">
        <v>2347</v>
      </c>
      <c r="Q297" s="137" t="s">
        <v>3676</v>
      </c>
      <c r="R297" s="124" t="s">
        <v>1804</v>
      </c>
      <c r="S297" s="124">
        <f>VLOOKUP(B297,'[3]NCL SAL. SHEET'!$A$4:$D$126,4,0)</f>
        <v>28271</v>
      </c>
      <c r="T297" s="125">
        <v>101650922418</v>
      </c>
      <c r="U297" s="126" t="s">
        <v>1806</v>
      </c>
      <c r="V297" s="126" t="s">
        <v>1805</v>
      </c>
      <c r="W297" s="126" t="s">
        <v>1807</v>
      </c>
      <c r="X297" s="126" t="s">
        <v>1808</v>
      </c>
      <c r="Y297" s="167" t="s">
        <v>146</v>
      </c>
      <c r="Z297" s="126" t="s">
        <v>1809</v>
      </c>
      <c r="AA297" s="167" t="s">
        <v>1810</v>
      </c>
      <c r="AB297" s="167" t="s">
        <v>1810</v>
      </c>
      <c r="AC297" s="164" t="s">
        <v>1798</v>
      </c>
      <c r="AD297" s="140"/>
      <c r="AE297" s="126"/>
      <c r="AF297" s="126"/>
      <c r="AG297" s="168" t="s">
        <v>5264</v>
      </c>
      <c r="AH297" s="126"/>
      <c r="AI297" s="126"/>
      <c r="AJ297" s="127" t="s">
        <v>1803</v>
      </c>
      <c r="AK297" s="128"/>
      <c r="AL297" s="129"/>
      <c r="AM297" s="129"/>
    </row>
    <row r="298" spans="1:41" ht="47.25" customHeight="1">
      <c r="A298" s="137">
        <f>SUBTOTAL(3,$B$3:B298)</f>
        <v>296</v>
      </c>
      <c r="B298" s="164" t="s">
        <v>1811</v>
      </c>
      <c r="C298" s="165" t="s">
        <v>1812</v>
      </c>
      <c r="D298" s="124" t="s">
        <v>1813</v>
      </c>
      <c r="E298" s="137" t="s">
        <v>136</v>
      </c>
      <c r="F298" s="137" t="s">
        <v>1814</v>
      </c>
      <c r="G298" s="137" t="s">
        <v>2345</v>
      </c>
      <c r="H298" s="137" t="s">
        <v>1815</v>
      </c>
      <c r="I298" s="137" t="s">
        <v>702</v>
      </c>
      <c r="J298" s="137" t="s">
        <v>1816</v>
      </c>
      <c r="K298" s="137" t="s">
        <v>280</v>
      </c>
      <c r="L298" s="137" t="s">
        <v>42</v>
      </c>
      <c r="M298" s="124" t="s">
        <v>1044</v>
      </c>
      <c r="N298" s="166">
        <v>44866</v>
      </c>
      <c r="O298" s="124" t="s">
        <v>2991</v>
      </c>
      <c r="P298" s="137" t="s">
        <v>2347</v>
      </c>
      <c r="Q298" s="137" t="s">
        <v>3676</v>
      </c>
      <c r="R298" s="124" t="s">
        <v>1817</v>
      </c>
      <c r="S298" s="124">
        <f>VLOOKUP(B298,'[3]NCL SAL. SHEET'!$A$4:$D$126,4,0)</f>
        <v>28269</v>
      </c>
      <c r="T298" s="125">
        <v>101193431614</v>
      </c>
      <c r="U298" s="126" t="s">
        <v>1819</v>
      </c>
      <c r="V298" s="126" t="s">
        <v>1818</v>
      </c>
      <c r="W298" s="126" t="s">
        <v>1820</v>
      </c>
      <c r="X298" s="126" t="s">
        <v>1821</v>
      </c>
      <c r="Y298" s="167" t="s">
        <v>51</v>
      </c>
      <c r="Z298" s="126" t="s">
        <v>50</v>
      </c>
      <c r="AA298" s="167" t="s">
        <v>1822</v>
      </c>
      <c r="AB298" s="167" t="s">
        <v>1822</v>
      </c>
      <c r="AC298" s="164" t="s">
        <v>1811</v>
      </c>
      <c r="AD298" s="140"/>
      <c r="AE298" s="126"/>
      <c r="AF298" s="126"/>
      <c r="AG298" s="168" t="s">
        <v>5237</v>
      </c>
      <c r="AH298" s="126"/>
      <c r="AI298" s="126"/>
      <c r="AJ298" s="127" t="s">
        <v>1816</v>
      </c>
      <c r="AK298" s="128"/>
      <c r="AL298" s="129"/>
      <c r="AM298" s="129"/>
    </row>
    <row r="299" spans="1:41" ht="47.25" customHeight="1">
      <c r="A299" s="137">
        <f>SUBTOTAL(3,$B$3:B299)</f>
        <v>297</v>
      </c>
      <c r="B299" s="164" t="s">
        <v>1823</v>
      </c>
      <c r="C299" s="165" t="s">
        <v>1824</v>
      </c>
      <c r="D299" s="124" t="s">
        <v>1824</v>
      </c>
      <c r="E299" s="137" t="s">
        <v>70</v>
      </c>
      <c r="F299" s="137" t="s">
        <v>1825</v>
      </c>
      <c r="G299" s="137" t="s">
        <v>2345</v>
      </c>
      <c r="H299" s="137" t="s">
        <v>1826</v>
      </c>
      <c r="I299" s="137" t="s">
        <v>40</v>
      </c>
      <c r="J299" s="137" t="s">
        <v>1827</v>
      </c>
      <c r="K299" s="137" t="s">
        <v>41</v>
      </c>
      <c r="L299" s="137" t="s">
        <v>42</v>
      </c>
      <c r="M299" s="124" t="s">
        <v>6032</v>
      </c>
      <c r="N299" s="166">
        <v>44866</v>
      </c>
      <c r="O299" s="124" t="s">
        <v>2991</v>
      </c>
      <c r="P299" s="137" t="s">
        <v>2347</v>
      </c>
      <c r="Q299" s="137" t="s">
        <v>3676</v>
      </c>
      <c r="R299" s="124">
        <v>9510667640</v>
      </c>
      <c r="S299" s="124">
        <f>VLOOKUP(B299,'[3]NCL SAL. SHEET'!$A$4:$D$126,4,0)</f>
        <v>28316</v>
      </c>
      <c r="T299" s="125">
        <v>101253236683</v>
      </c>
      <c r="U299" s="126" t="s">
        <v>1829</v>
      </c>
      <c r="V299" s="126" t="s">
        <v>1828</v>
      </c>
      <c r="W299" s="126" t="s">
        <v>1830</v>
      </c>
      <c r="X299" s="126" t="s">
        <v>1831</v>
      </c>
      <c r="Y299" s="167" t="s">
        <v>51</v>
      </c>
      <c r="Z299" s="126" t="s">
        <v>50</v>
      </c>
      <c r="AA299" s="167" t="s">
        <v>1832</v>
      </c>
      <c r="AB299" s="167" t="s">
        <v>1832</v>
      </c>
      <c r="AC299" s="164" t="s">
        <v>1823</v>
      </c>
      <c r="AD299" s="140"/>
      <c r="AE299" s="126"/>
      <c r="AF299" s="126"/>
      <c r="AG299" s="168" t="s">
        <v>5582</v>
      </c>
      <c r="AH299" s="126"/>
      <c r="AI299" s="126"/>
      <c r="AJ299" s="127" t="s">
        <v>1827</v>
      </c>
      <c r="AK299" s="128"/>
      <c r="AL299" s="129"/>
      <c r="AM299" s="129"/>
    </row>
    <row r="300" spans="1:41" ht="47.25" customHeight="1">
      <c r="A300" s="137">
        <f>SUBTOTAL(3,$B$3:B300)</f>
        <v>298</v>
      </c>
      <c r="B300" s="164" t="s">
        <v>1833</v>
      </c>
      <c r="C300" s="165" t="s">
        <v>1834</v>
      </c>
      <c r="D300" s="124" t="s">
        <v>1835</v>
      </c>
      <c r="E300" s="137" t="s">
        <v>291</v>
      </c>
      <c r="F300" s="137" t="s">
        <v>1836</v>
      </c>
      <c r="G300" s="137" t="s">
        <v>2389</v>
      </c>
      <c r="H300" s="137" t="s">
        <v>1837</v>
      </c>
      <c r="I300" s="137" t="s">
        <v>40</v>
      </c>
      <c r="J300" s="137" t="s">
        <v>1838</v>
      </c>
      <c r="K300" s="137" t="s">
        <v>280</v>
      </c>
      <c r="L300" s="137" t="s">
        <v>42</v>
      </c>
      <c r="M300" s="124" t="s">
        <v>1044</v>
      </c>
      <c r="N300" s="166">
        <v>44866</v>
      </c>
      <c r="O300" s="124" t="s">
        <v>2991</v>
      </c>
      <c r="P300" s="137" t="s">
        <v>2347</v>
      </c>
      <c r="Q300" s="137" t="s">
        <v>3676</v>
      </c>
      <c r="R300" s="124" t="s">
        <v>1839</v>
      </c>
      <c r="S300" s="124">
        <f>VLOOKUP(B300,'[3]NCL SAL. SHEET'!$A$4:$D$126,4,0)</f>
        <v>28259</v>
      </c>
      <c r="T300" s="125">
        <v>101469130995</v>
      </c>
      <c r="U300" s="126" t="s">
        <v>1841</v>
      </c>
      <c r="V300" s="126" t="s">
        <v>1840</v>
      </c>
      <c r="W300" s="126" t="s">
        <v>1842</v>
      </c>
      <c r="X300" s="126" t="s">
        <v>1843</v>
      </c>
      <c r="Y300" s="167" t="s">
        <v>326</v>
      </c>
      <c r="Z300" s="126" t="s">
        <v>436</v>
      </c>
      <c r="AA300" s="167" t="s">
        <v>1844</v>
      </c>
      <c r="AB300" s="167" t="s">
        <v>1844</v>
      </c>
      <c r="AC300" s="164" t="s">
        <v>1833</v>
      </c>
      <c r="AD300" s="140"/>
      <c r="AE300" s="126"/>
      <c r="AF300" s="126"/>
      <c r="AG300" s="168" t="s">
        <v>5246</v>
      </c>
      <c r="AH300" s="126"/>
      <c r="AI300" s="126"/>
      <c r="AJ300" s="127" t="s">
        <v>1838</v>
      </c>
      <c r="AK300" s="128"/>
      <c r="AL300" s="129"/>
      <c r="AM300" s="129"/>
    </row>
    <row r="301" spans="1:41" ht="47.25" customHeight="1">
      <c r="A301" s="137">
        <f>SUBTOTAL(3,$B$3:B301)</f>
        <v>299</v>
      </c>
      <c r="B301" s="164" t="s">
        <v>1845</v>
      </c>
      <c r="C301" s="165" t="s">
        <v>3753</v>
      </c>
      <c r="D301" s="124" t="s">
        <v>3753</v>
      </c>
      <c r="E301" s="137" t="s">
        <v>136</v>
      </c>
      <c r="F301" s="137" t="s">
        <v>403</v>
      </c>
      <c r="G301" s="137" t="s">
        <v>2345</v>
      </c>
      <c r="H301" s="137" t="s">
        <v>1846</v>
      </c>
      <c r="I301" s="137" t="s">
        <v>702</v>
      </c>
      <c r="J301" s="166">
        <v>35627</v>
      </c>
      <c r="K301" s="137" t="s">
        <v>41</v>
      </c>
      <c r="L301" s="137" t="s">
        <v>42</v>
      </c>
      <c r="M301" s="183" t="s">
        <v>1175</v>
      </c>
      <c r="N301" s="166">
        <v>44866</v>
      </c>
      <c r="O301" s="124" t="s">
        <v>2991</v>
      </c>
      <c r="P301" s="137" t="s">
        <v>2347</v>
      </c>
      <c r="Q301" s="137" t="s">
        <v>3676</v>
      </c>
      <c r="R301" s="124">
        <v>9327704568</v>
      </c>
      <c r="S301" s="124">
        <f>VLOOKUP(B301,'[3]NCL SAL. SHEET'!$A$4:$D$126,4,0)</f>
        <v>28134</v>
      </c>
      <c r="T301" s="125">
        <v>101443470282</v>
      </c>
      <c r="U301" s="126" t="s">
        <v>1848</v>
      </c>
      <c r="V301" s="126" t="s">
        <v>1847</v>
      </c>
      <c r="W301" s="126" t="s">
        <v>1849</v>
      </c>
      <c r="X301" s="126" t="s">
        <v>1850</v>
      </c>
      <c r="Y301" s="167" t="s">
        <v>1852</v>
      </c>
      <c r="Z301" s="126" t="s">
        <v>1851</v>
      </c>
      <c r="AA301" s="167" t="s">
        <v>1853</v>
      </c>
      <c r="AB301" s="167" t="s">
        <v>1853</v>
      </c>
      <c r="AC301" s="164" t="s">
        <v>1845</v>
      </c>
      <c r="AD301" s="140"/>
      <c r="AE301" s="126"/>
      <c r="AF301" s="126"/>
      <c r="AG301" s="168" t="s">
        <v>5386</v>
      </c>
      <c r="AH301" s="126"/>
      <c r="AI301" s="126"/>
      <c r="AJ301" s="127">
        <v>35627</v>
      </c>
      <c r="AK301" s="128"/>
      <c r="AL301" s="129"/>
      <c r="AM301" s="129"/>
      <c r="AN301" s="81">
        <v>3723103021678</v>
      </c>
      <c r="AO301" s="81">
        <v>3723103021809</v>
      </c>
    </row>
    <row r="302" spans="1:41" ht="47.25" customHeight="1">
      <c r="A302" s="137">
        <f>SUBTOTAL(3,$B$3:B302)</f>
        <v>300</v>
      </c>
      <c r="B302" s="164" t="s">
        <v>1854</v>
      </c>
      <c r="C302" s="165" t="s">
        <v>1855</v>
      </c>
      <c r="D302" s="124" t="s">
        <v>1856</v>
      </c>
      <c r="E302" s="137" t="s">
        <v>754</v>
      </c>
      <c r="F302" s="137" t="s">
        <v>1857</v>
      </c>
      <c r="G302" s="137" t="s">
        <v>2389</v>
      </c>
      <c r="H302" s="137" t="s">
        <v>1528</v>
      </c>
      <c r="I302" s="137" t="s">
        <v>40</v>
      </c>
      <c r="J302" s="166">
        <v>32724</v>
      </c>
      <c r="K302" s="137" t="s">
        <v>41</v>
      </c>
      <c r="L302" s="137" t="s">
        <v>42</v>
      </c>
      <c r="M302" s="183" t="s">
        <v>1151</v>
      </c>
      <c r="N302" s="166">
        <v>44866</v>
      </c>
      <c r="O302" s="124" t="s">
        <v>2991</v>
      </c>
      <c r="P302" s="137" t="s">
        <v>2347</v>
      </c>
      <c r="Q302" s="137" t="s">
        <v>3676</v>
      </c>
      <c r="R302" s="124" t="s">
        <v>1858</v>
      </c>
      <c r="S302" s="124">
        <f>VLOOKUP(B302,'[3]NCL SAL. SHEET'!$A$4:$D$126,4,0)</f>
        <v>28002</v>
      </c>
      <c r="T302" s="125">
        <v>101197766260</v>
      </c>
      <c r="U302" s="126" t="s">
        <v>6178</v>
      </c>
      <c r="V302" s="126" t="s">
        <v>1859</v>
      </c>
      <c r="W302" s="126" t="s">
        <v>1860</v>
      </c>
      <c r="X302" s="126" t="s">
        <v>1861</v>
      </c>
      <c r="Y302" s="167" t="s">
        <v>51</v>
      </c>
      <c r="Z302" s="126" t="s">
        <v>50</v>
      </c>
      <c r="AA302" s="167" t="s">
        <v>1862</v>
      </c>
      <c r="AB302" s="167" t="s">
        <v>1862</v>
      </c>
      <c r="AC302" s="164" t="s">
        <v>1854</v>
      </c>
      <c r="AD302" s="140"/>
      <c r="AE302" s="126"/>
      <c r="AF302" s="126"/>
      <c r="AG302" s="168" t="s">
        <v>5247</v>
      </c>
      <c r="AH302" s="126"/>
      <c r="AI302" s="126"/>
      <c r="AJ302" s="127">
        <v>32724</v>
      </c>
      <c r="AK302" s="128"/>
      <c r="AL302" s="129"/>
      <c r="AM302" s="129"/>
    </row>
    <row r="303" spans="1:41" ht="47.25" customHeight="1">
      <c r="A303" s="137">
        <f>SUBTOTAL(3,$B$3:B303)</f>
        <v>301</v>
      </c>
      <c r="B303" s="164" t="s">
        <v>1863</v>
      </c>
      <c r="C303" s="165" t="s">
        <v>1864</v>
      </c>
      <c r="D303" s="124" t="s">
        <v>1865</v>
      </c>
      <c r="E303" s="137" t="s">
        <v>263</v>
      </c>
      <c r="F303" s="137" t="s">
        <v>1866</v>
      </c>
      <c r="G303" s="137" t="s">
        <v>2345</v>
      </c>
      <c r="H303" s="137" t="s">
        <v>1867</v>
      </c>
      <c r="I303" s="137" t="s">
        <v>40</v>
      </c>
      <c r="J303" s="166">
        <v>35339</v>
      </c>
      <c r="K303" s="137" t="s">
        <v>41</v>
      </c>
      <c r="L303" s="137" t="s">
        <v>42</v>
      </c>
      <c r="M303" s="183" t="s">
        <v>1727</v>
      </c>
      <c r="N303" s="166">
        <v>44866</v>
      </c>
      <c r="O303" s="124" t="s">
        <v>2991</v>
      </c>
      <c r="P303" s="137" t="s">
        <v>2347</v>
      </c>
      <c r="Q303" s="137" t="s">
        <v>3676</v>
      </c>
      <c r="R303" s="124" t="s">
        <v>1868</v>
      </c>
      <c r="S303" s="124">
        <f>VLOOKUP(B303,'[3]NCL SAL. SHEET'!$A$4:$D$126,4,0)</f>
        <v>28066</v>
      </c>
      <c r="T303" s="125">
        <v>101568672207</v>
      </c>
      <c r="U303" s="126" t="s">
        <v>1870</v>
      </c>
      <c r="V303" s="126" t="s">
        <v>1869</v>
      </c>
      <c r="W303" s="126" t="s">
        <v>1871</v>
      </c>
      <c r="X303" s="126" t="s">
        <v>1872</v>
      </c>
      <c r="Y303" s="167" t="s">
        <v>65</v>
      </c>
      <c r="Z303" s="126" t="s">
        <v>1873</v>
      </c>
      <c r="AA303" s="167" t="s">
        <v>1874</v>
      </c>
      <c r="AB303" s="167" t="s">
        <v>1874</v>
      </c>
      <c r="AC303" s="164" t="s">
        <v>1863</v>
      </c>
      <c r="AD303" s="140"/>
      <c r="AE303" s="126"/>
      <c r="AF303" s="126"/>
      <c r="AG303" s="168" t="s">
        <v>5922</v>
      </c>
      <c r="AH303" s="126"/>
      <c r="AI303" s="126"/>
      <c r="AJ303" s="127">
        <v>35339</v>
      </c>
      <c r="AK303" s="128"/>
      <c r="AL303" s="129"/>
      <c r="AM303" s="129"/>
    </row>
    <row r="304" spans="1:41" ht="47.25" customHeight="1">
      <c r="A304" s="137">
        <f>SUBTOTAL(3,$B$3:B304)</f>
        <v>302</v>
      </c>
      <c r="B304" s="164" t="s">
        <v>5926</v>
      </c>
      <c r="C304" s="165" t="s">
        <v>5927</v>
      </c>
      <c r="D304" s="124" t="s">
        <v>5927</v>
      </c>
      <c r="E304" s="124" t="s">
        <v>5928</v>
      </c>
      <c r="F304" s="124" t="s">
        <v>5929</v>
      </c>
      <c r="G304" s="137" t="s">
        <v>2389</v>
      </c>
      <c r="H304" s="124" t="s">
        <v>659</v>
      </c>
      <c r="I304" s="173" t="s">
        <v>40</v>
      </c>
      <c r="J304" s="173">
        <v>36320</v>
      </c>
      <c r="K304" s="174" t="s">
        <v>41</v>
      </c>
      <c r="L304" s="137" t="s">
        <v>42</v>
      </c>
      <c r="M304" s="124" t="s">
        <v>43</v>
      </c>
      <c r="N304" s="166">
        <v>44883</v>
      </c>
      <c r="O304" s="124" t="s">
        <v>44</v>
      </c>
      <c r="P304" s="137" t="s">
        <v>2347</v>
      </c>
      <c r="Q304" s="137" t="s">
        <v>3676</v>
      </c>
      <c r="R304" s="124" t="s">
        <v>5930</v>
      </c>
      <c r="S304" s="124">
        <f>VLOOKUP(B304,'[1]SN Salary Sheet'!$A$4:$D$207,4,0)</f>
        <v>27934</v>
      </c>
      <c r="T304" s="143">
        <v>101892034874</v>
      </c>
      <c r="U304" s="126" t="s">
        <v>6178</v>
      </c>
      <c r="V304" s="125" t="s">
        <v>5931</v>
      </c>
      <c r="W304" s="126" t="s">
        <v>5932</v>
      </c>
      <c r="X304" s="126" t="s">
        <v>5933</v>
      </c>
      <c r="Y304" s="167" t="s">
        <v>65</v>
      </c>
      <c r="Z304" s="126" t="s">
        <v>5934</v>
      </c>
      <c r="AA304" s="167" t="s">
        <v>3013</v>
      </c>
      <c r="AB304" s="167" t="s">
        <v>5935</v>
      </c>
      <c r="AC304" s="164" t="s">
        <v>5926</v>
      </c>
      <c r="AD304" s="140"/>
      <c r="AE304" s="126"/>
      <c r="AF304" s="126"/>
      <c r="AG304" s="187" t="s">
        <v>5936</v>
      </c>
      <c r="AH304" s="126"/>
      <c r="AI304" s="126"/>
      <c r="AJ304" s="133"/>
      <c r="AK304" s="128"/>
      <c r="AL304" s="129"/>
      <c r="AM304" s="129"/>
    </row>
    <row r="305" spans="1:40" ht="47.25" customHeight="1">
      <c r="A305" s="137">
        <f>SUBTOTAL(3,$B$3:B305)</f>
        <v>303</v>
      </c>
      <c r="B305" s="164" t="s">
        <v>2334</v>
      </c>
      <c r="C305" s="165" t="s">
        <v>2335</v>
      </c>
      <c r="D305" s="124" t="s">
        <v>3754</v>
      </c>
      <c r="E305" s="137" t="s">
        <v>2336</v>
      </c>
      <c r="F305" s="137" t="s">
        <v>1825</v>
      </c>
      <c r="G305" s="137" t="s">
        <v>2345</v>
      </c>
      <c r="H305" s="137" t="s">
        <v>1981</v>
      </c>
      <c r="I305" s="137" t="s">
        <v>40</v>
      </c>
      <c r="J305" s="185" t="s">
        <v>2337</v>
      </c>
      <c r="K305" s="137" t="s">
        <v>41</v>
      </c>
      <c r="L305" s="137" t="s">
        <v>42</v>
      </c>
      <c r="M305" s="124" t="s">
        <v>6032</v>
      </c>
      <c r="N305" s="166">
        <v>44866</v>
      </c>
      <c r="O305" s="124" t="s">
        <v>2991</v>
      </c>
      <c r="P305" s="137" t="s">
        <v>2347</v>
      </c>
      <c r="Q305" s="137" t="s">
        <v>3676</v>
      </c>
      <c r="R305" s="177" t="s">
        <v>2338</v>
      </c>
      <c r="S305" s="124">
        <f>VLOOKUP(B305,'[3]NCL SAL. SHEET'!$A$4:$D$126,4,0)</f>
        <v>28089</v>
      </c>
      <c r="T305" s="125">
        <v>101416000371</v>
      </c>
      <c r="U305" s="135" t="s">
        <v>1070</v>
      </c>
      <c r="V305" s="135">
        <v>3714264757</v>
      </c>
      <c r="W305" s="135" t="s">
        <v>2339</v>
      </c>
      <c r="X305" s="135" t="s">
        <v>2340</v>
      </c>
      <c r="Y305" s="167" t="s">
        <v>51</v>
      </c>
      <c r="Z305" s="126" t="s">
        <v>50</v>
      </c>
      <c r="AA305" s="167" t="s">
        <v>2341</v>
      </c>
      <c r="AB305" s="167" t="s">
        <v>2341</v>
      </c>
      <c r="AC305" s="164" t="s">
        <v>2334</v>
      </c>
      <c r="AD305" s="140"/>
      <c r="AE305" s="126"/>
      <c r="AF305" s="126"/>
      <c r="AG305" s="168" t="s">
        <v>5205</v>
      </c>
      <c r="AH305" s="126"/>
      <c r="AI305" s="126"/>
      <c r="AJ305" s="141" t="s">
        <v>2337</v>
      </c>
      <c r="AK305" s="128"/>
      <c r="AL305" s="129"/>
      <c r="AM305" s="129"/>
    </row>
    <row r="306" spans="1:40" ht="45" customHeight="1">
      <c r="A306" s="137">
        <f>SUBTOTAL(3,$B$3:B306)</f>
        <v>304</v>
      </c>
      <c r="B306" s="164" t="s">
        <v>2627</v>
      </c>
      <c r="C306" s="165" t="s">
        <v>2628</v>
      </c>
      <c r="D306" s="124" t="s">
        <v>2629</v>
      </c>
      <c r="E306" s="137" t="s">
        <v>2630</v>
      </c>
      <c r="F306" s="137" t="s">
        <v>2631</v>
      </c>
      <c r="G306" s="137" t="s">
        <v>2345</v>
      </c>
      <c r="H306" s="137" t="s">
        <v>2632</v>
      </c>
      <c r="I306" s="166" t="s">
        <v>40</v>
      </c>
      <c r="J306" s="166" t="s">
        <v>2633</v>
      </c>
      <c r="K306" s="166" t="s">
        <v>41</v>
      </c>
      <c r="L306" s="137" t="s">
        <v>42</v>
      </c>
      <c r="M306" s="124" t="s">
        <v>1175</v>
      </c>
      <c r="N306" s="180">
        <v>44866</v>
      </c>
      <c r="O306" s="124" t="s">
        <v>2991</v>
      </c>
      <c r="P306" s="137" t="s">
        <v>2347</v>
      </c>
      <c r="Q306" s="137" t="s">
        <v>3676</v>
      </c>
      <c r="R306" s="124">
        <v>9104809197</v>
      </c>
      <c r="S306" s="124">
        <v>28030</v>
      </c>
      <c r="T306" s="134">
        <v>101855818154</v>
      </c>
      <c r="U306" s="126" t="s">
        <v>6505</v>
      </c>
      <c r="V306" s="126" t="s">
        <v>2634</v>
      </c>
      <c r="W306" s="135" t="s">
        <v>2635</v>
      </c>
      <c r="X306" s="135" t="s">
        <v>2636</v>
      </c>
      <c r="Y306" s="167" t="s">
        <v>146</v>
      </c>
      <c r="Z306" s="126" t="s">
        <v>2637</v>
      </c>
      <c r="AA306" s="167" t="s">
        <v>2638</v>
      </c>
      <c r="AB306" s="167" t="s">
        <v>2638</v>
      </c>
      <c r="AC306" s="164" t="s">
        <v>2627</v>
      </c>
      <c r="AD306" s="140"/>
      <c r="AE306" s="126"/>
      <c r="AF306" s="126"/>
      <c r="AG306" s="168" t="s">
        <v>5088</v>
      </c>
      <c r="AH306" s="126"/>
      <c r="AI306" s="126"/>
      <c r="AJ306" s="136" t="s">
        <v>2633</v>
      </c>
      <c r="AK306" s="128"/>
      <c r="AL306" s="129"/>
      <c r="AM306" s="129"/>
    </row>
    <row r="307" spans="1:40" s="5" customFormat="1" ht="39.950000000000003" customHeight="1">
      <c r="A307" s="137">
        <f>SUBTOTAL(3,$B$3:B307)</f>
        <v>305</v>
      </c>
      <c r="B307" s="164" t="s">
        <v>2986</v>
      </c>
      <c r="C307" s="165" t="s">
        <v>2987</v>
      </c>
      <c r="D307" s="124" t="s">
        <v>2987</v>
      </c>
      <c r="E307" s="137" t="s">
        <v>2988</v>
      </c>
      <c r="F307" s="137" t="s">
        <v>2989</v>
      </c>
      <c r="G307" s="137" t="s">
        <v>2389</v>
      </c>
      <c r="H307" s="137" t="s">
        <v>2990</v>
      </c>
      <c r="I307" s="137" t="s">
        <v>40</v>
      </c>
      <c r="J307" s="166">
        <v>36569</v>
      </c>
      <c r="K307" s="137" t="s">
        <v>41</v>
      </c>
      <c r="L307" s="137" t="s">
        <v>42</v>
      </c>
      <c r="M307" s="124" t="s">
        <v>1044</v>
      </c>
      <c r="N307" s="166">
        <v>44866</v>
      </c>
      <c r="O307" s="124" t="s">
        <v>2991</v>
      </c>
      <c r="P307" s="137" t="s">
        <v>2347</v>
      </c>
      <c r="Q307" s="137" t="s">
        <v>3676</v>
      </c>
      <c r="R307" s="124">
        <v>9662894966</v>
      </c>
      <c r="S307" s="137">
        <v>28070</v>
      </c>
      <c r="T307" s="125">
        <v>101779410163</v>
      </c>
      <c r="U307" s="126" t="s">
        <v>6178</v>
      </c>
      <c r="V307" s="126" t="s">
        <v>6894</v>
      </c>
      <c r="W307" s="126" t="s">
        <v>2992</v>
      </c>
      <c r="X307" s="126" t="s">
        <v>2993</v>
      </c>
      <c r="Y307" s="167" t="s">
        <v>146</v>
      </c>
      <c r="Z307" s="126" t="s">
        <v>2994</v>
      </c>
      <c r="AA307" s="167" t="s">
        <v>2995</v>
      </c>
      <c r="AB307" s="167" t="s">
        <v>2995</v>
      </c>
      <c r="AC307" s="164" t="s">
        <v>2986</v>
      </c>
      <c r="AD307" s="140"/>
      <c r="AE307" s="126"/>
      <c r="AF307" s="126"/>
      <c r="AG307" s="168" t="s">
        <v>5224</v>
      </c>
      <c r="AH307" s="126"/>
      <c r="AI307" s="126"/>
      <c r="AJ307" s="136">
        <v>36569</v>
      </c>
      <c r="AK307" s="138"/>
      <c r="AL307" s="139"/>
      <c r="AM307" s="139"/>
      <c r="AN307" s="81">
        <v>3723103022287</v>
      </c>
    </row>
    <row r="308" spans="1:40" s="5" customFormat="1" ht="39.950000000000003" customHeight="1">
      <c r="A308" s="137">
        <f>SUBTOTAL(3,$B$3:B308)</f>
        <v>306</v>
      </c>
      <c r="B308" s="164" t="s">
        <v>2996</v>
      </c>
      <c r="C308" s="165" t="s">
        <v>2997</v>
      </c>
      <c r="D308" s="124" t="s">
        <v>2997</v>
      </c>
      <c r="E308" s="137" t="s">
        <v>291</v>
      </c>
      <c r="F308" s="137" t="s">
        <v>1898</v>
      </c>
      <c r="G308" s="137" t="s">
        <v>2345</v>
      </c>
      <c r="H308" s="137" t="s">
        <v>2998</v>
      </c>
      <c r="I308" s="137" t="s">
        <v>40</v>
      </c>
      <c r="J308" s="166">
        <v>37165</v>
      </c>
      <c r="K308" s="137" t="s">
        <v>41</v>
      </c>
      <c r="L308" s="137" t="s">
        <v>42</v>
      </c>
      <c r="M308" s="124" t="s">
        <v>1044</v>
      </c>
      <c r="N308" s="166">
        <v>44877</v>
      </c>
      <c r="O308" s="124" t="s">
        <v>2991</v>
      </c>
      <c r="P308" s="137" t="s">
        <v>2347</v>
      </c>
      <c r="Q308" s="137" t="s">
        <v>3676</v>
      </c>
      <c r="R308" s="124">
        <v>9023682903</v>
      </c>
      <c r="S308" s="137">
        <v>28013</v>
      </c>
      <c r="T308" s="125">
        <v>101898017130</v>
      </c>
      <c r="U308" s="126" t="s">
        <v>2999</v>
      </c>
      <c r="V308" s="126">
        <v>3714608114</v>
      </c>
      <c r="W308" s="126" t="s">
        <v>3000</v>
      </c>
      <c r="X308" s="126" t="s">
        <v>3001</v>
      </c>
      <c r="Y308" s="167" t="s">
        <v>146</v>
      </c>
      <c r="Z308" s="126" t="s">
        <v>447</v>
      </c>
      <c r="AA308" s="167" t="s">
        <v>3002</v>
      </c>
      <c r="AB308" s="167" t="s">
        <v>3002</v>
      </c>
      <c r="AC308" s="164" t="s">
        <v>2996</v>
      </c>
      <c r="AD308" s="140"/>
      <c r="AE308" s="126"/>
      <c r="AF308" s="126"/>
      <c r="AG308" s="168" t="s">
        <v>5236</v>
      </c>
      <c r="AH308" s="126"/>
      <c r="AI308" s="126"/>
      <c r="AJ308" s="136">
        <v>37165</v>
      </c>
      <c r="AK308" s="138"/>
      <c r="AL308" s="139"/>
      <c r="AM308" s="139"/>
    </row>
    <row r="309" spans="1:40" s="5" customFormat="1" ht="39.950000000000003" customHeight="1">
      <c r="A309" s="137">
        <f>SUBTOTAL(3,$B$3:B309)</f>
        <v>307</v>
      </c>
      <c r="B309" s="164" t="s">
        <v>3003</v>
      </c>
      <c r="C309" s="165" t="s">
        <v>3004</v>
      </c>
      <c r="D309" s="124" t="s">
        <v>3005</v>
      </c>
      <c r="E309" s="137" t="s">
        <v>136</v>
      </c>
      <c r="F309" s="137" t="s">
        <v>3006</v>
      </c>
      <c r="G309" s="137" t="s">
        <v>2345</v>
      </c>
      <c r="H309" s="137" t="s">
        <v>3007</v>
      </c>
      <c r="I309" s="137" t="s">
        <v>40</v>
      </c>
      <c r="J309" s="166">
        <v>36525</v>
      </c>
      <c r="K309" s="137" t="s">
        <v>41</v>
      </c>
      <c r="L309" s="137" t="s">
        <v>42</v>
      </c>
      <c r="M309" s="124" t="s">
        <v>1044</v>
      </c>
      <c r="N309" s="166">
        <v>44904</v>
      </c>
      <c r="O309" s="124" t="s">
        <v>2991</v>
      </c>
      <c r="P309" s="137" t="s">
        <v>2347</v>
      </c>
      <c r="Q309" s="137" t="s">
        <v>3676</v>
      </c>
      <c r="R309" s="124" t="s">
        <v>3008</v>
      </c>
      <c r="S309" s="137">
        <v>28099</v>
      </c>
      <c r="T309" s="125">
        <v>101611795839</v>
      </c>
      <c r="U309" s="126" t="s">
        <v>3010</v>
      </c>
      <c r="V309" s="126" t="s">
        <v>3009</v>
      </c>
      <c r="W309" s="126" t="s">
        <v>3011</v>
      </c>
      <c r="X309" s="126" t="s">
        <v>3012</v>
      </c>
      <c r="Y309" s="167" t="s">
        <v>146</v>
      </c>
      <c r="Z309" s="126" t="s">
        <v>447</v>
      </c>
      <c r="AA309" s="167" t="s">
        <v>3013</v>
      </c>
      <c r="AB309" s="167" t="s">
        <v>3013</v>
      </c>
      <c r="AC309" s="164" t="s">
        <v>3003</v>
      </c>
      <c r="AD309" s="140"/>
      <c r="AE309" s="126"/>
      <c r="AF309" s="126"/>
      <c r="AG309" s="168" t="s">
        <v>5256</v>
      </c>
      <c r="AH309" s="126"/>
      <c r="AI309" s="126"/>
      <c r="AJ309" s="136">
        <v>36525</v>
      </c>
      <c r="AK309" s="138"/>
      <c r="AL309" s="139"/>
      <c r="AM309" s="139"/>
    </row>
    <row r="310" spans="1:40" s="5" customFormat="1" ht="51" customHeight="1">
      <c r="A310" s="137">
        <f>SUBTOTAL(3,$B$3:B310)</f>
        <v>308</v>
      </c>
      <c r="B310" s="164" t="s">
        <v>3014</v>
      </c>
      <c r="C310" s="165" t="s">
        <v>3015</v>
      </c>
      <c r="D310" s="124" t="s">
        <v>3016</v>
      </c>
      <c r="E310" s="137" t="s">
        <v>3017</v>
      </c>
      <c r="F310" s="137" t="s">
        <v>3018</v>
      </c>
      <c r="G310" s="137" t="s">
        <v>2389</v>
      </c>
      <c r="H310" s="137" t="s">
        <v>3019</v>
      </c>
      <c r="I310" s="137" t="s">
        <v>40</v>
      </c>
      <c r="J310" s="166">
        <v>36572</v>
      </c>
      <c r="K310" s="137" t="s">
        <v>41</v>
      </c>
      <c r="L310" s="137" t="s">
        <v>42</v>
      </c>
      <c r="M310" s="124" t="s">
        <v>1044</v>
      </c>
      <c r="N310" s="166">
        <v>44866</v>
      </c>
      <c r="O310" s="124" t="s">
        <v>2991</v>
      </c>
      <c r="P310" s="137" t="s">
        <v>2347</v>
      </c>
      <c r="Q310" s="137" t="s">
        <v>3676</v>
      </c>
      <c r="R310" s="124">
        <v>9725359323</v>
      </c>
      <c r="S310" s="137">
        <v>28172</v>
      </c>
      <c r="T310" s="125">
        <v>101650923327</v>
      </c>
      <c r="U310" s="126" t="s">
        <v>6512</v>
      </c>
      <c r="V310" s="126" t="s">
        <v>3020</v>
      </c>
      <c r="W310" s="126" t="s">
        <v>3021</v>
      </c>
      <c r="X310" s="126" t="s">
        <v>3022</v>
      </c>
      <c r="Y310" s="167" t="s">
        <v>619</v>
      </c>
      <c r="Z310" s="126" t="s">
        <v>751</v>
      </c>
      <c r="AA310" s="167" t="s">
        <v>6683</v>
      </c>
      <c r="AB310" s="167" t="s">
        <v>6683</v>
      </c>
      <c r="AC310" s="164" t="s">
        <v>3014</v>
      </c>
      <c r="AD310" s="140"/>
      <c r="AE310" s="126"/>
      <c r="AF310" s="126"/>
      <c r="AG310" s="168" t="s">
        <v>5215</v>
      </c>
      <c r="AH310" s="126"/>
      <c r="AI310" s="126"/>
      <c r="AJ310" s="136">
        <v>36572</v>
      </c>
      <c r="AK310" s="138"/>
      <c r="AL310" s="139"/>
      <c r="AM310" s="139"/>
    </row>
    <row r="311" spans="1:40" s="5" customFormat="1" ht="39.950000000000003" customHeight="1">
      <c r="A311" s="137">
        <f>SUBTOTAL(3,$B$3:B311)</f>
        <v>309</v>
      </c>
      <c r="B311" s="164" t="s">
        <v>3023</v>
      </c>
      <c r="C311" s="165" t="s">
        <v>3024</v>
      </c>
      <c r="D311" s="124" t="s">
        <v>3025</v>
      </c>
      <c r="E311" s="137" t="s">
        <v>722</v>
      </c>
      <c r="F311" s="137" t="s">
        <v>3026</v>
      </c>
      <c r="G311" s="137" t="s">
        <v>2389</v>
      </c>
      <c r="H311" s="137" t="s">
        <v>3027</v>
      </c>
      <c r="I311" s="137" t="s">
        <v>40</v>
      </c>
      <c r="J311" s="166">
        <v>35048</v>
      </c>
      <c r="K311" s="137" t="s">
        <v>41</v>
      </c>
      <c r="L311" s="137" t="s">
        <v>42</v>
      </c>
      <c r="M311" s="124" t="s">
        <v>3028</v>
      </c>
      <c r="N311" s="166">
        <v>44866</v>
      </c>
      <c r="O311" s="124" t="s">
        <v>2991</v>
      </c>
      <c r="P311" s="137" t="s">
        <v>2347</v>
      </c>
      <c r="Q311" s="137" t="s">
        <v>3676</v>
      </c>
      <c r="R311" s="124" t="s">
        <v>3029</v>
      </c>
      <c r="S311" s="137">
        <v>28090</v>
      </c>
      <c r="T311" s="125">
        <v>101583533981</v>
      </c>
      <c r="U311" s="126" t="s">
        <v>3030</v>
      </c>
      <c r="V311" s="126">
        <v>3713381187</v>
      </c>
      <c r="W311" s="126" t="s">
        <v>3031</v>
      </c>
      <c r="X311" s="126" t="s">
        <v>3032</v>
      </c>
      <c r="Y311" s="167" t="s">
        <v>132</v>
      </c>
      <c r="Z311" s="126" t="s">
        <v>3033</v>
      </c>
      <c r="AA311" s="167" t="s">
        <v>3034</v>
      </c>
      <c r="AB311" s="167" t="s">
        <v>3034</v>
      </c>
      <c r="AC311" s="164" t="s">
        <v>3023</v>
      </c>
      <c r="AD311" s="140"/>
      <c r="AE311" s="126"/>
      <c r="AF311" s="126"/>
      <c r="AG311" s="168" t="s">
        <v>5231</v>
      </c>
      <c r="AH311" s="126"/>
      <c r="AI311" s="126"/>
      <c r="AJ311" s="136">
        <v>35048</v>
      </c>
      <c r="AK311" s="138"/>
      <c r="AL311" s="139"/>
      <c r="AM311" s="139"/>
    </row>
    <row r="312" spans="1:40" s="5" customFormat="1" ht="39.950000000000003" customHeight="1">
      <c r="A312" s="137">
        <f>SUBTOTAL(3,$B$3:B312)</f>
        <v>310</v>
      </c>
      <c r="B312" s="164" t="s">
        <v>3053</v>
      </c>
      <c r="C312" s="165" t="s">
        <v>3054</v>
      </c>
      <c r="D312" s="124" t="s">
        <v>3054</v>
      </c>
      <c r="E312" s="137" t="s">
        <v>136</v>
      </c>
      <c r="F312" s="137" t="s">
        <v>3055</v>
      </c>
      <c r="G312" s="137" t="s">
        <v>2345</v>
      </c>
      <c r="H312" s="137" t="s">
        <v>3056</v>
      </c>
      <c r="I312" s="137" t="s">
        <v>40</v>
      </c>
      <c r="J312" s="166">
        <v>33546</v>
      </c>
      <c r="K312" s="137" t="s">
        <v>41</v>
      </c>
      <c r="L312" s="137" t="s">
        <v>42</v>
      </c>
      <c r="M312" s="124" t="s">
        <v>1044</v>
      </c>
      <c r="N312" s="166">
        <v>44866</v>
      </c>
      <c r="O312" s="124" t="s">
        <v>2991</v>
      </c>
      <c r="P312" s="137" t="s">
        <v>2347</v>
      </c>
      <c r="Q312" s="137" t="s">
        <v>3676</v>
      </c>
      <c r="R312" s="124">
        <v>9723332652</v>
      </c>
      <c r="S312" s="137">
        <v>28174</v>
      </c>
      <c r="T312" s="125">
        <v>101898017195</v>
      </c>
      <c r="U312" s="126" t="s">
        <v>3057</v>
      </c>
      <c r="V312" s="126">
        <v>3714607944</v>
      </c>
      <c r="W312" s="126" t="s">
        <v>3058</v>
      </c>
      <c r="X312" s="126" t="s">
        <v>3059</v>
      </c>
      <c r="Y312" s="167" t="s">
        <v>146</v>
      </c>
      <c r="Z312" s="126" t="s">
        <v>1388</v>
      </c>
      <c r="AA312" s="167" t="s">
        <v>3060</v>
      </c>
      <c r="AB312" s="167" t="s">
        <v>3060</v>
      </c>
      <c r="AC312" s="164" t="s">
        <v>3053</v>
      </c>
      <c r="AD312" s="140"/>
      <c r="AE312" s="126"/>
      <c r="AF312" s="126"/>
      <c r="AG312" s="168" t="s">
        <v>5254</v>
      </c>
      <c r="AH312" s="126"/>
      <c r="AI312" s="126"/>
      <c r="AJ312" s="136">
        <v>33546</v>
      </c>
      <c r="AK312" s="138"/>
      <c r="AL312" s="139"/>
      <c r="AM312" s="139"/>
    </row>
    <row r="313" spans="1:40" s="5" customFormat="1" ht="39.950000000000003" customHeight="1">
      <c r="A313" s="137">
        <f>SUBTOTAL(3,$B$3:B313)</f>
        <v>311</v>
      </c>
      <c r="B313" s="169" t="s">
        <v>3165</v>
      </c>
      <c r="C313" s="124" t="s">
        <v>3166</v>
      </c>
      <c r="D313" s="124" t="s">
        <v>3167</v>
      </c>
      <c r="E313" s="137" t="s">
        <v>263</v>
      </c>
      <c r="F313" s="137" t="s">
        <v>3168</v>
      </c>
      <c r="G313" s="137" t="s">
        <v>2389</v>
      </c>
      <c r="H313" s="137" t="s">
        <v>3169</v>
      </c>
      <c r="I313" s="137" t="s">
        <v>40</v>
      </c>
      <c r="J313" s="166">
        <v>34184</v>
      </c>
      <c r="K313" s="137" t="s">
        <v>280</v>
      </c>
      <c r="L313" s="137" t="s">
        <v>42</v>
      </c>
      <c r="M313" s="124" t="s">
        <v>3091</v>
      </c>
      <c r="N313" s="166">
        <v>44904</v>
      </c>
      <c r="O313" s="124" t="s">
        <v>2991</v>
      </c>
      <c r="P313" s="137" t="s">
        <v>2347</v>
      </c>
      <c r="Q313" s="137" t="s">
        <v>3676</v>
      </c>
      <c r="R313" s="124" t="s">
        <v>3170</v>
      </c>
      <c r="S313" s="137">
        <v>28102</v>
      </c>
      <c r="T313" s="125">
        <v>101898017176</v>
      </c>
      <c r="U313" s="126" t="s">
        <v>3172</v>
      </c>
      <c r="V313" s="126" t="s">
        <v>3171</v>
      </c>
      <c r="W313" s="126" t="s">
        <v>3173</v>
      </c>
      <c r="X313" s="126" t="s">
        <v>3174</v>
      </c>
      <c r="Y313" s="167" t="s">
        <v>146</v>
      </c>
      <c r="Z313" s="126" t="s">
        <v>3175</v>
      </c>
      <c r="AA313" s="167" t="s">
        <v>3176</v>
      </c>
      <c r="AB313" s="167" t="s">
        <v>3176</v>
      </c>
      <c r="AC313" s="164" t="s">
        <v>3165</v>
      </c>
      <c r="AD313" s="140"/>
      <c r="AE313" s="126"/>
      <c r="AF313" s="126"/>
      <c r="AG313" s="168" t="s">
        <v>5123</v>
      </c>
      <c r="AH313" s="126"/>
      <c r="AI313" s="126"/>
      <c r="AJ313" s="136">
        <v>34184</v>
      </c>
      <c r="AK313" s="138"/>
      <c r="AL313" s="139"/>
      <c r="AM313" s="139"/>
    </row>
    <row r="314" spans="1:40" ht="47.25" customHeight="1">
      <c r="A314" s="137">
        <f>SUBTOTAL(3,$B$3:B314)</f>
        <v>312</v>
      </c>
      <c r="B314" s="164" t="s">
        <v>2153</v>
      </c>
      <c r="C314" s="165" t="s">
        <v>2154</v>
      </c>
      <c r="D314" s="124" t="s">
        <v>2155</v>
      </c>
      <c r="E314" s="137" t="s">
        <v>249</v>
      </c>
      <c r="F314" s="137" t="s">
        <v>2156</v>
      </c>
      <c r="G314" s="137" t="s">
        <v>2389</v>
      </c>
      <c r="H314" s="137" t="s">
        <v>810</v>
      </c>
      <c r="I314" s="137" t="s">
        <v>40</v>
      </c>
      <c r="J314" s="166" t="s">
        <v>2157</v>
      </c>
      <c r="K314" s="137" t="s">
        <v>41</v>
      </c>
      <c r="L314" s="137" t="s">
        <v>42</v>
      </c>
      <c r="M314" s="183" t="s">
        <v>9053</v>
      </c>
      <c r="N314" s="166">
        <v>44866</v>
      </c>
      <c r="O314" s="124" t="s">
        <v>2159</v>
      </c>
      <c r="P314" s="137" t="s">
        <v>2347</v>
      </c>
      <c r="Q314" s="137" t="s">
        <v>3676</v>
      </c>
      <c r="R314" s="124" t="s">
        <v>2160</v>
      </c>
      <c r="S314" s="124">
        <f>VLOOKUP(B314,'[3]NCL SAL. SHEET'!$A$4:$D$126,4,0)</f>
        <v>28276</v>
      </c>
      <c r="T314" s="125">
        <v>101695348759</v>
      </c>
      <c r="U314" s="126" t="s">
        <v>2162</v>
      </c>
      <c r="V314" s="126" t="s">
        <v>2161</v>
      </c>
      <c r="W314" s="126" t="s">
        <v>2163</v>
      </c>
      <c r="X314" s="126" t="s">
        <v>2164</v>
      </c>
      <c r="Y314" s="167" t="s">
        <v>65</v>
      </c>
      <c r="Z314" s="126" t="s">
        <v>2165</v>
      </c>
      <c r="AA314" s="167" t="s">
        <v>2166</v>
      </c>
      <c r="AB314" s="167" t="s">
        <v>2166</v>
      </c>
      <c r="AC314" s="164" t="s">
        <v>2153</v>
      </c>
      <c r="AD314" s="140"/>
      <c r="AE314" s="126"/>
      <c r="AF314" s="126"/>
      <c r="AG314" s="168" t="s">
        <v>5396</v>
      </c>
      <c r="AH314" s="126"/>
      <c r="AI314" s="126"/>
      <c r="AJ314" s="127" t="s">
        <v>2157</v>
      </c>
      <c r="AK314" s="128"/>
      <c r="AL314" s="129"/>
      <c r="AM314" s="129"/>
    </row>
    <row r="315" spans="1:40" ht="47.25" customHeight="1">
      <c r="A315" s="137">
        <f>SUBTOTAL(3,$B$3:B315)</f>
        <v>313</v>
      </c>
      <c r="B315" s="164" t="s">
        <v>2167</v>
      </c>
      <c r="C315" s="165" t="s">
        <v>2168</v>
      </c>
      <c r="D315" s="124" t="s">
        <v>2169</v>
      </c>
      <c r="E315" s="137" t="s">
        <v>1665</v>
      </c>
      <c r="F315" s="137" t="s">
        <v>2170</v>
      </c>
      <c r="G315" s="137" t="s">
        <v>2345</v>
      </c>
      <c r="H315" s="137" t="s">
        <v>2171</v>
      </c>
      <c r="I315" s="137" t="s">
        <v>40</v>
      </c>
      <c r="J315" s="166">
        <v>34464</v>
      </c>
      <c r="K315" s="137" t="s">
        <v>41</v>
      </c>
      <c r="L315" s="137" t="s">
        <v>42</v>
      </c>
      <c r="M315" s="183" t="s">
        <v>9053</v>
      </c>
      <c r="N315" s="166">
        <v>44866</v>
      </c>
      <c r="O315" s="124" t="s">
        <v>9360</v>
      </c>
      <c r="P315" s="137" t="s">
        <v>2347</v>
      </c>
      <c r="Q315" s="137" t="s">
        <v>3676</v>
      </c>
      <c r="R315" s="124" t="s">
        <v>2172</v>
      </c>
      <c r="S315" s="124">
        <f>VLOOKUP(B315,'[3]NCL SAL. SHEET'!$A$4:$D$126,4,0)</f>
        <v>28091</v>
      </c>
      <c r="T315" s="125">
        <v>101442006372</v>
      </c>
      <c r="U315" s="126" t="s">
        <v>2174</v>
      </c>
      <c r="V315" s="126" t="s">
        <v>2173</v>
      </c>
      <c r="W315" s="126" t="s">
        <v>2175</v>
      </c>
      <c r="X315" s="126" t="s">
        <v>2176</v>
      </c>
      <c r="Y315" s="167" t="s">
        <v>2178</v>
      </c>
      <c r="Z315" s="126" t="s">
        <v>2177</v>
      </c>
      <c r="AA315" s="167" t="s">
        <v>6518</v>
      </c>
      <c r="AB315" s="167" t="s">
        <v>6518</v>
      </c>
      <c r="AC315" s="164" t="s">
        <v>2167</v>
      </c>
      <c r="AD315" s="140"/>
      <c r="AE315" s="126"/>
      <c r="AF315" s="126"/>
      <c r="AG315" s="168" t="s">
        <v>5388</v>
      </c>
      <c r="AH315" s="126"/>
      <c r="AI315" s="126"/>
      <c r="AJ315" s="127">
        <v>34464</v>
      </c>
      <c r="AK315" s="128"/>
      <c r="AL315" s="129"/>
      <c r="AM315" s="129"/>
    </row>
    <row r="316" spans="1:40" ht="47.25" customHeight="1">
      <c r="A316" s="137">
        <f>SUBTOTAL(3,$B$3:B316)</f>
        <v>314</v>
      </c>
      <c r="B316" s="164" t="s">
        <v>2179</v>
      </c>
      <c r="C316" s="165" t="s">
        <v>2180</v>
      </c>
      <c r="D316" s="124" t="s">
        <v>2180</v>
      </c>
      <c r="E316" s="137" t="s">
        <v>722</v>
      </c>
      <c r="F316" s="137" t="s">
        <v>2181</v>
      </c>
      <c r="G316" s="137" t="s">
        <v>2345</v>
      </c>
      <c r="H316" s="137" t="s">
        <v>2182</v>
      </c>
      <c r="I316" s="137" t="s">
        <v>40</v>
      </c>
      <c r="J316" s="166">
        <v>36001</v>
      </c>
      <c r="K316" s="137" t="s">
        <v>41</v>
      </c>
      <c r="L316" s="137" t="s">
        <v>42</v>
      </c>
      <c r="M316" s="183" t="s">
        <v>2158</v>
      </c>
      <c r="N316" s="166">
        <v>44866</v>
      </c>
      <c r="O316" s="124" t="s">
        <v>2159</v>
      </c>
      <c r="P316" s="137" t="s">
        <v>2347</v>
      </c>
      <c r="Q316" s="137" t="s">
        <v>3676</v>
      </c>
      <c r="R316" s="124" t="s">
        <v>2183</v>
      </c>
      <c r="S316" s="124">
        <f>VLOOKUP(B316,'[3]NCL SAL. SHEET'!$A$4:$D$126,4,0)</f>
        <v>28233</v>
      </c>
      <c r="T316" s="125">
        <v>101575454331</v>
      </c>
      <c r="U316" s="126" t="s">
        <v>1165</v>
      </c>
      <c r="V316" s="126">
        <v>3714195258</v>
      </c>
      <c r="W316" s="126" t="s">
        <v>2184</v>
      </c>
      <c r="X316" s="126" t="s">
        <v>2185</v>
      </c>
      <c r="Y316" s="167" t="s">
        <v>65</v>
      </c>
      <c r="Z316" s="126" t="s">
        <v>2186</v>
      </c>
      <c r="AA316" s="167" t="s">
        <v>2187</v>
      </c>
      <c r="AB316" s="167" t="s">
        <v>2187</v>
      </c>
      <c r="AC316" s="164" t="s">
        <v>2179</v>
      </c>
      <c r="AD316" s="140"/>
      <c r="AE316" s="126"/>
      <c r="AF316" s="126"/>
      <c r="AG316" s="168" t="s">
        <v>5405</v>
      </c>
      <c r="AH316" s="126"/>
      <c r="AI316" s="126"/>
      <c r="AJ316" s="127">
        <v>36001</v>
      </c>
      <c r="AK316" s="128"/>
      <c r="AL316" s="129"/>
      <c r="AM316" s="129"/>
    </row>
    <row r="317" spans="1:40" ht="45" customHeight="1">
      <c r="A317" s="137">
        <f>SUBTOTAL(3,$B$3:B317)</f>
        <v>315</v>
      </c>
      <c r="B317" s="164" t="s">
        <v>2803</v>
      </c>
      <c r="C317" s="165" t="s">
        <v>2804</v>
      </c>
      <c r="D317" s="124" t="s">
        <v>2805</v>
      </c>
      <c r="E317" s="137" t="s">
        <v>2806</v>
      </c>
      <c r="F317" s="137" t="s">
        <v>2807</v>
      </c>
      <c r="G317" s="137" t="s">
        <v>2345</v>
      </c>
      <c r="H317" s="137" t="s">
        <v>799</v>
      </c>
      <c r="I317" s="166" t="s">
        <v>40</v>
      </c>
      <c r="J317" s="166" t="s">
        <v>2808</v>
      </c>
      <c r="K317" s="166" t="s">
        <v>41</v>
      </c>
      <c r="L317" s="137" t="s">
        <v>42</v>
      </c>
      <c r="M317" s="183" t="s">
        <v>9053</v>
      </c>
      <c r="N317" s="180">
        <v>44866</v>
      </c>
      <c r="O317" s="124" t="s">
        <v>2159</v>
      </c>
      <c r="P317" s="137" t="s">
        <v>2347</v>
      </c>
      <c r="Q317" s="137" t="s">
        <v>3676</v>
      </c>
      <c r="R317" s="124" t="s">
        <v>2809</v>
      </c>
      <c r="S317" s="124">
        <v>28220</v>
      </c>
      <c r="T317" s="134">
        <v>101870277895</v>
      </c>
      <c r="U317" s="126" t="s">
        <v>2811</v>
      </c>
      <c r="V317" s="126" t="s">
        <v>2810</v>
      </c>
      <c r="W317" s="135" t="s">
        <v>2812</v>
      </c>
      <c r="X317" s="135" t="s">
        <v>2813</v>
      </c>
      <c r="Y317" s="167" t="s">
        <v>65</v>
      </c>
      <c r="Z317" s="126" t="s">
        <v>1500</v>
      </c>
      <c r="AA317" s="167" t="s">
        <v>2814</v>
      </c>
      <c r="AB317" s="167" t="s">
        <v>2814</v>
      </c>
      <c r="AC317" s="164" t="s">
        <v>2803</v>
      </c>
      <c r="AD317" s="140"/>
      <c r="AE317" s="126"/>
      <c r="AF317" s="126"/>
      <c r="AG317" s="168" t="s">
        <v>5398</v>
      </c>
      <c r="AH317" s="126"/>
      <c r="AI317" s="126"/>
      <c r="AJ317" s="136" t="s">
        <v>2808</v>
      </c>
      <c r="AK317" s="128"/>
      <c r="AL317" s="129"/>
      <c r="AM317" s="129"/>
    </row>
    <row r="318" spans="1:40" ht="47.25" customHeight="1">
      <c r="A318" s="137">
        <f>SUBTOTAL(3,$B$3:B318)</f>
        <v>316</v>
      </c>
      <c r="B318" s="164" t="s">
        <v>2188</v>
      </c>
      <c r="C318" s="165" t="s">
        <v>2189</v>
      </c>
      <c r="D318" s="124" t="s">
        <v>2189</v>
      </c>
      <c r="E318" s="137" t="s">
        <v>161</v>
      </c>
      <c r="F318" s="137" t="s">
        <v>2190</v>
      </c>
      <c r="G318" s="137" t="s">
        <v>2389</v>
      </c>
      <c r="H318" s="137" t="s">
        <v>2191</v>
      </c>
      <c r="I318" s="137" t="s">
        <v>40</v>
      </c>
      <c r="J318" s="166">
        <v>35977</v>
      </c>
      <c r="K318" s="137" t="s">
        <v>41</v>
      </c>
      <c r="L318" s="137" t="s">
        <v>42</v>
      </c>
      <c r="M318" s="183" t="s">
        <v>2192</v>
      </c>
      <c r="N318" s="166">
        <v>44866</v>
      </c>
      <c r="O318" s="124" t="s">
        <v>2193</v>
      </c>
      <c r="P318" s="137" t="s">
        <v>3048</v>
      </c>
      <c r="Q318" s="137" t="s">
        <v>3676</v>
      </c>
      <c r="R318" s="124">
        <v>8347173640</v>
      </c>
      <c r="S318" s="124">
        <f>VLOOKUP(B318,'[3]NCL SAL. SHEET'!$A$4:$D$126,4,0)</f>
        <v>28168</v>
      </c>
      <c r="T318" s="125">
        <v>101601002884</v>
      </c>
      <c r="U318" s="126" t="s">
        <v>2195</v>
      </c>
      <c r="V318" s="126" t="s">
        <v>2194</v>
      </c>
      <c r="W318" s="126" t="s">
        <v>2196</v>
      </c>
      <c r="X318" s="126" t="s">
        <v>2197</v>
      </c>
      <c r="Y318" s="167" t="s">
        <v>2199</v>
      </c>
      <c r="Z318" s="126" t="s">
        <v>2198</v>
      </c>
      <c r="AA318" s="167" t="s">
        <v>2200</v>
      </c>
      <c r="AB318" s="167" t="s">
        <v>2200</v>
      </c>
      <c r="AC318" s="164" t="s">
        <v>2188</v>
      </c>
      <c r="AD318" s="140"/>
      <c r="AE318" s="126"/>
      <c r="AF318" s="126"/>
      <c r="AG318" s="168" t="s">
        <v>5397</v>
      </c>
      <c r="AH318" s="126"/>
      <c r="AI318" s="126"/>
      <c r="AJ318" s="127">
        <v>35977</v>
      </c>
      <c r="AK318" s="128"/>
      <c r="AL318" s="129"/>
      <c r="AM318" s="129"/>
    </row>
    <row r="319" spans="1:40" ht="47.25" customHeight="1">
      <c r="A319" s="137">
        <f>SUBTOTAL(3,$B$3:B319)</f>
        <v>317</v>
      </c>
      <c r="B319" s="164" t="s">
        <v>2201</v>
      </c>
      <c r="C319" s="165" t="s">
        <v>2202</v>
      </c>
      <c r="D319" s="124" t="s">
        <v>2203</v>
      </c>
      <c r="E319" s="137" t="s">
        <v>2204</v>
      </c>
      <c r="F319" s="137" t="s">
        <v>1149</v>
      </c>
      <c r="G319" s="137" t="s">
        <v>2389</v>
      </c>
      <c r="H319" s="137" t="s">
        <v>2205</v>
      </c>
      <c r="I319" s="137" t="s">
        <v>40</v>
      </c>
      <c r="J319" s="166" t="s">
        <v>2206</v>
      </c>
      <c r="K319" s="137" t="s">
        <v>280</v>
      </c>
      <c r="L319" s="137" t="s">
        <v>42</v>
      </c>
      <c r="M319" s="183" t="s">
        <v>2207</v>
      </c>
      <c r="N319" s="166">
        <v>44866</v>
      </c>
      <c r="O319" s="124" t="s">
        <v>2193</v>
      </c>
      <c r="P319" s="137" t="s">
        <v>3048</v>
      </c>
      <c r="Q319" s="137" t="s">
        <v>3676</v>
      </c>
      <c r="R319" s="124" t="s">
        <v>2208</v>
      </c>
      <c r="S319" s="124">
        <f>VLOOKUP(B319,'[3]NCL SAL. SHEET'!$A$4:$D$126,4,0)</f>
        <v>28198</v>
      </c>
      <c r="T319" s="125">
        <v>101784791993</v>
      </c>
      <c r="U319" s="126" t="s">
        <v>2210</v>
      </c>
      <c r="V319" s="126" t="s">
        <v>2209</v>
      </c>
      <c r="W319" s="126" t="s">
        <v>2211</v>
      </c>
      <c r="X319" s="126" t="s">
        <v>2212</v>
      </c>
      <c r="Y319" s="167" t="s">
        <v>363</v>
      </c>
      <c r="Z319" s="126" t="s">
        <v>2213</v>
      </c>
      <c r="AA319" s="167" t="s">
        <v>2214</v>
      </c>
      <c r="AB319" s="167" t="s">
        <v>2214</v>
      </c>
      <c r="AC319" s="164" t="s">
        <v>2201</v>
      </c>
      <c r="AD319" s="140"/>
      <c r="AE319" s="126"/>
      <c r="AF319" s="126"/>
      <c r="AG319" s="168" t="s">
        <v>5400</v>
      </c>
      <c r="AH319" s="126"/>
      <c r="AI319" s="126"/>
      <c r="AJ319" s="127" t="s">
        <v>2206</v>
      </c>
      <c r="AK319" s="128"/>
      <c r="AL319" s="129"/>
      <c r="AM319" s="129"/>
    </row>
    <row r="320" spans="1:40" ht="47.25" customHeight="1">
      <c r="A320" s="137">
        <f>SUBTOTAL(3,$B$3:B320)</f>
        <v>318</v>
      </c>
      <c r="B320" s="164" t="s">
        <v>2215</v>
      </c>
      <c r="C320" s="165" t="s">
        <v>2216</v>
      </c>
      <c r="D320" s="124" t="s">
        <v>2217</v>
      </c>
      <c r="E320" s="137" t="s">
        <v>415</v>
      </c>
      <c r="F320" s="137" t="s">
        <v>2218</v>
      </c>
      <c r="G320" s="137" t="s">
        <v>2345</v>
      </c>
      <c r="H320" s="137" t="s">
        <v>1186</v>
      </c>
      <c r="I320" s="137" t="s">
        <v>40</v>
      </c>
      <c r="J320" s="166" t="s">
        <v>112</v>
      </c>
      <c r="K320" s="137" t="s">
        <v>41</v>
      </c>
      <c r="L320" s="137" t="s">
        <v>42</v>
      </c>
      <c r="M320" s="183" t="s">
        <v>2219</v>
      </c>
      <c r="N320" s="166">
        <v>44866</v>
      </c>
      <c r="O320" s="124" t="s">
        <v>2193</v>
      </c>
      <c r="P320" s="137" t="s">
        <v>3048</v>
      </c>
      <c r="Q320" s="137" t="s">
        <v>3676</v>
      </c>
      <c r="R320" s="124" t="s">
        <v>2220</v>
      </c>
      <c r="S320" s="124">
        <f>VLOOKUP(B320,'[3]NCL SAL. SHEET'!$A$4:$D$126,4,0)</f>
        <v>28292</v>
      </c>
      <c r="T320" s="125">
        <v>101545405071</v>
      </c>
      <c r="U320" s="126" t="s">
        <v>6178</v>
      </c>
      <c r="V320" s="126" t="s">
        <v>2221</v>
      </c>
      <c r="W320" s="126" t="s">
        <v>2222</v>
      </c>
      <c r="X320" s="126" t="s">
        <v>2223</v>
      </c>
      <c r="Y320" s="167" t="s">
        <v>132</v>
      </c>
      <c r="Z320" s="126" t="s">
        <v>374</v>
      </c>
      <c r="AA320" s="167" t="s">
        <v>2224</v>
      </c>
      <c r="AB320" s="167" t="s">
        <v>2224</v>
      </c>
      <c r="AC320" s="164" t="s">
        <v>2215</v>
      </c>
      <c r="AD320" s="140"/>
      <c r="AE320" s="126"/>
      <c r="AF320" s="126"/>
      <c r="AG320" s="168" t="s">
        <v>5394</v>
      </c>
      <c r="AH320" s="126"/>
      <c r="AI320" s="126"/>
      <c r="AJ320" s="127" t="s">
        <v>112</v>
      </c>
      <c r="AK320" s="128"/>
      <c r="AL320" s="129"/>
      <c r="AM320" s="129"/>
    </row>
    <row r="321" spans="1:39" ht="47.25" customHeight="1">
      <c r="A321" s="137">
        <f>SUBTOTAL(3,$B$3:B321)</f>
        <v>319</v>
      </c>
      <c r="B321" s="164" t="s">
        <v>2225</v>
      </c>
      <c r="C321" s="165" t="s">
        <v>2226</v>
      </c>
      <c r="D321" s="124" t="s">
        <v>2227</v>
      </c>
      <c r="E321" s="137" t="s">
        <v>2228</v>
      </c>
      <c r="F321" s="137" t="s">
        <v>2229</v>
      </c>
      <c r="G321" s="137" t="s">
        <v>2345</v>
      </c>
      <c r="H321" s="137" t="s">
        <v>2230</v>
      </c>
      <c r="I321" s="137" t="s">
        <v>40</v>
      </c>
      <c r="J321" s="166">
        <v>35919</v>
      </c>
      <c r="K321" s="137" t="s">
        <v>41</v>
      </c>
      <c r="L321" s="137" t="s">
        <v>42</v>
      </c>
      <c r="M321" s="183" t="s">
        <v>9053</v>
      </c>
      <c r="N321" s="166">
        <v>44866</v>
      </c>
      <c r="O321" s="124" t="s">
        <v>2159</v>
      </c>
      <c r="P321" s="137" t="s">
        <v>3048</v>
      </c>
      <c r="Q321" s="137" t="s">
        <v>3676</v>
      </c>
      <c r="R321" s="124" t="s">
        <v>2232</v>
      </c>
      <c r="S321" s="124">
        <f>VLOOKUP(B321,'[3]NCL SAL. SHEET'!$A$4:$D$126,4,0)</f>
        <v>28203</v>
      </c>
      <c r="T321" s="125">
        <v>101716991703</v>
      </c>
      <c r="U321" s="126" t="s">
        <v>2234</v>
      </c>
      <c r="V321" s="126" t="s">
        <v>2233</v>
      </c>
      <c r="W321" s="126" t="s">
        <v>2235</v>
      </c>
      <c r="X321" s="126" t="s">
        <v>2236</v>
      </c>
      <c r="Y321" s="167" t="s">
        <v>271</v>
      </c>
      <c r="Z321" s="126" t="s">
        <v>2237</v>
      </c>
      <c r="AA321" s="167" t="s">
        <v>2238</v>
      </c>
      <c r="AB321" s="167" t="s">
        <v>2238</v>
      </c>
      <c r="AC321" s="164" t="s">
        <v>2225</v>
      </c>
      <c r="AD321" s="140"/>
      <c r="AE321" s="126"/>
      <c r="AF321" s="126"/>
      <c r="AG321" s="168" t="s">
        <v>5389</v>
      </c>
      <c r="AH321" s="126"/>
      <c r="AI321" s="126"/>
      <c r="AJ321" s="127">
        <v>35919</v>
      </c>
      <c r="AK321" s="128"/>
      <c r="AL321" s="129"/>
      <c r="AM321" s="129"/>
    </row>
    <row r="322" spans="1:39" ht="47.25" customHeight="1">
      <c r="A322" s="137">
        <f>SUBTOTAL(3,$B$3:B322)</f>
        <v>320</v>
      </c>
      <c r="B322" s="169" t="s">
        <v>2239</v>
      </c>
      <c r="C322" s="184" t="s">
        <v>2240</v>
      </c>
      <c r="D322" s="124" t="s">
        <v>2241</v>
      </c>
      <c r="E322" s="137" t="s">
        <v>2242</v>
      </c>
      <c r="F322" s="137" t="s">
        <v>2243</v>
      </c>
      <c r="G322" s="137" t="s">
        <v>2345</v>
      </c>
      <c r="H322" s="137" t="s">
        <v>2244</v>
      </c>
      <c r="I322" s="137" t="s">
        <v>40</v>
      </c>
      <c r="J322" s="166">
        <v>36063</v>
      </c>
      <c r="K322" s="137" t="s">
        <v>41</v>
      </c>
      <c r="L322" s="137" t="s">
        <v>42</v>
      </c>
      <c r="M322" s="183" t="s">
        <v>2207</v>
      </c>
      <c r="N322" s="166">
        <v>44866</v>
      </c>
      <c r="O322" s="124" t="s">
        <v>2193</v>
      </c>
      <c r="P322" s="137" t="s">
        <v>3048</v>
      </c>
      <c r="Q322" s="137" t="s">
        <v>3676</v>
      </c>
      <c r="R322" s="124" t="s">
        <v>2245</v>
      </c>
      <c r="S322" s="124" t="e">
        <f>VLOOKUP(B322,'[3]NCL SAL. SHEET'!$A$4:$D$126,4,0)</f>
        <v>#N/A</v>
      </c>
      <c r="T322" s="125">
        <v>101585791969</v>
      </c>
      <c r="U322" s="126" t="s">
        <v>2247</v>
      </c>
      <c r="V322" s="126" t="s">
        <v>2246</v>
      </c>
      <c r="W322" s="126" t="s">
        <v>2248</v>
      </c>
      <c r="X322" s="126" t="s">
        <v>2249</v>
      </c>
      <c r="Y322" s="167" t="s">
        <v>65</v>
      </c>
      <c r="Z322" s="126" t="s">
        <v>2250</v>
      </c>
      <c r="AA322" s="167" t="s">
        <v>2251</v>
      </c>
      <c r="AB322" s="167" t="s">
        <v>2251</v>
      </c>
      <c r="AC322" s="164" t="s">
        <v>2239</v>
      </c>
      <c r="AD322" s="140"/>
      <c r="AE322" s="126"/>
      <c r="AF322" s="126"/>
      <c r="AG322" s="168" t="s">
        <v>5381</v>
      </c>
      <c r="AH322" s="126"/>
      <c r="AI322" s="126"/>
      <c r="AJ322" s="127">
        <v>36063</v>
      </c>
      <c r="AK322" s="128"/>
      <c r="AL322" s="129"/>
      <c r="AM322" s="129"/>
    </row>
    <row r="323" spans="1:39" ht="47.25" customHeight="1">
      <c r="A323" s="137">
        <f>SUBTOTAL(3,$B$3:B323)</f>
        <v>321</v>
      </c>
      <c r="B323" s="169" t="s">
        <v>2252</v>
      </c>
      <c r="C323" s="184" t="s">
        <v>2253</v>
      </c>
      <c r="D323" s="124" t="s">
        <v>2253</v>
      </c>
      <c r="E323" s="137" t="s">
        <v>2254</v>
      </c>
      <c r="F323" s="137" t="s">
        <v>2255</v>
      </c>
      <c r="G323" s="137" t="s">
        <v>2389</v>
      </c>
      <c r="H323" s="137" t="s">
        <v>2256</v>
      </c>
      <c r="I323" s="137" t="s">
        <v>40</v>
      </c>
      <c r="J323" s="166">
        <v>36023</v>
      </c>
      <c r="K323" s="137" t="s">
        <v>41</v>
      </c>
      <c r="L323" s="137" t="s">
        <v>42</v>
      </c>
      <c r="M323" s="183" t="s">
        <v>2257</v>
      </c>
      <c r="N323" s="166">
        <v>44866</v>
      </c>
      <c r="O323" s="124" t="s">
        <v>2193</v>
      </c>
      <c r="P323" s="137" t="s">
        <v>3048</v>
      </c>
      <c r="Q323" s="137" t="s">
        <v>3676</v>
      </c>
      <c r="R323" s="124" t="s">
        <v>2258</v>
      </c>
      <c r="S323" s="124" t="e">
        <f>VLOOKUP(B323,'[3]NCL SAL. SHEET'!$A$4:$D$126,4,0)</f>
        <v>#N/A</v>
      </c>
      <c r="T323" s="125">
        <v>101190531409</v>
      </c>
      <c r="U323" s="126" t="s">
        <v>2260</v>
      </c>
      <c r="V323" s="126" t="s">
        <v>2259</v>
      </c>
      <c r="W323" s="126" t="s">
        <v>2261</v>
      </c>
      <c r="X323" s="126">
        <v>36071171807</v>
      </c>
      <c r="Y323" s="167" t="s">
        <v>65</v>
      </c>
      <c r="Z323" s="126" t="s">
        <v>2262</v>
      </c>
      <c r="AA323" s="167" t="s">
        <v>2263</v>
      </c>
      <c r="AB323" s="167" t="s">
        <v>2263</v>
      </c>
      <c r="AC323" s="164" t="s">
        <v>2252</v>
      </c>
      <c r="AD323" s="140"/>
      <c r="AE323" s="126"/>
      <c r="AF323" s="126"/>
      <c r="AG323" s="168" t="s">
        <v>5167</v>
      </c>
      <c r="AH323" s="126"/>
      <c r="AI323" s="126"/>
      <c r="AJ323" s="127">
        <v>36023</v>
      </c>
      <c r="AK323" s="128"/>
      <c r="AL323" s="129"/>
      <c r="AM323" s="129"/>
    </row>
    <row r="324" spans="1:39" s="5" customFormat="1" ht="44.25" customHeight="1">
      <c r="A324" s="137">
        <f>SUBTOTAL(3,$B$3:B324)</f>
        <v>322</v>
      </c>
      <c r="B324" s="164" t="s">
        <v>3043</v>
      </c>
      <c r="C324" s="165" t="s">
        <v>3044</v>
      </c>
      <c r="D324" s="124" t="s">
        <v>3044</v>
      </c>
      <c r="E324" s="137" t="s">
        <v>1308</v>
      </c>
      <c r="F324" s="137" t="s">
        <v>3045</v>
      </c>
      <c r="G324" s="137" t="s">
        <v>2345</v>
      </c>
      <c r="H324" s="137" t="s">
        <v>3046</v>
      </c>
      <c r="I324" s="137" t="s">
        <v>40</v>
      </c>
      <c r="J324" s="166">
        <v>34699</v>
      </c>
      <c r="K324" s="137" t="s">
        <v>41</v>
      </c>
      <c r="L324" s="137" t="s">
        <v>42</v>
      </c>
      <c r="M324" s="124" t="s">
        <v>3047</v>
      </c>
      <c r="N324" s="166">
        <v>44866</v>
      </c>
      <c r="O324" s="124" t="s">
        <v>2193</v>
      </c>
      <c r="P324" s="137" t="s">
        <v>3048</v>
      </c>
      <c r="Q324" s="137" t="s">
        <v>3676</v>
      </c>
      <c r="R324" s="124">
        <v>9662687138</v>
      </c>
      <c r="S324" s="137">
        <v>28293</v>
      </c>
      <c r="T324" s="125">
        <v>101772363362</v>
      </c>
      <c r="U324" s="126" t="s">
        <v>6526</v>
      </c>
      <c r="V324" s="126">
        <v>3714349932</v>
      </c>
      <c r="W324" s="126" t="s">
        <v>3049</v>
      </c>
      <c r="X324" s="126" t="s">
        <v>3050</v>
      </c>
      <c r="Y324" s="167" t="s">
        <v>146</v>
      </c>
      <c r="Z324" s="126" t="s">
        <v>3051</v>
      </c>
      <c r="AA324" s="167" t="s">
        <v>3052</v>
      </c>
      <c r="AB324" s="167" t="s">
        <v>3052</v>
      </c>
      <c r="AC324" s="164" t="s">
        <v>3043</v>
      </c>
      <c r="AD324" s="140"/>
      <c r="AE324" s="126"/>
      <c r="AF324" s="126"/>
      <c r="AG324" s="168" t="s">
        <v>5165</v>
      </c>
      <c r="AH324" s="126"/>
      <c r="AI324" s="126"/>
      <c r="AJ324" s="136">
        <v>34699</v>
      </c>
      <c r="AK324" s="138"/>
      <c r="AL324" s="139"/>
      <c r="AM324" s="139"/>
    </row>
    <row r="325" spans="1:39" ht="47.25" customHeight="1">
      <c r="A325" s="137">
        <f>SUBTOTAL(3,$B$3:B325)</f>
        <v>323</v>
      </c>
      <c r="B325" s="164" t="s">
        <v>1099</v>
      </c>
      <c r="C325" s="165" t="s">
        <v>1100</v>
      </c>
      <c r="D325" s="124" t="s">
        <v>1100</v>
      </c>
      <c r="E325" s="137" t="s">
        <v>1101</v>
      </c>
      <c r="F325" s="137" t="s">
        <v>1102</v>
      </c>
      <c r="G325" s="137" t="s">
        <v>2345</v>
      </c>
      <c r="H325" s="137" t="s">
        <v>659</v>
      </c>
      <c r="I325" s="137" t="s">
        <v>40</v>
      </c>
      <c r="J325" s="137" t="s">
        <v>1103</v>
      </c>
      <c r="K325" s="137" t="s">
        <v>41</v>
      </c>
      <c r="L325" s="137" t="s">
        <v>42</v>
      </c>
      <c r="M325" s="183" t="s">
        <v>1104</v>
      </c>
      <c r="N325" s="166">
        <v>44866</v>
      </c>
      <c r="O325" s="124" t="s">
        <v>1105</v>
      </c>
      <c r="P325" s="137" t="s">
        <v>2347</v>
      </c>
      <c r="Q325" s="137" t="s">
        <v>3676</v>
      </c>
      <c r="R325" s="124" t="s">
        <v>1106</v>
      </c>
      <c r="S325" s="124">
        <f>VLOOKUP(B325,'[3]NCL SAL. SHEET'!$A$4:$D$126,4,0)</f>
        <v>28291</v>
      </c>
      <c r="T325" s="125">
        <v>101282529855</v>
      </c>
      <c r="U325" s="126" t="s">
        <v>6524</v>
      </c>
      <c r="V325" s="126" t="s">
        <v>1107</v>
      </c>
      <c r="W325" s="126" t="s">
        <v>1109</v>
      </c>
      <c r="X325" s="126" t="s">
        <v>1110</v>
      </c>
      <c r="Y325" s="167" t="s">
        <v>51</v>
      </c>
      <c r="Z325" s="126" t="s">
        <v>50</v>
      </c>
      <c r="AA325" s="167" t="s">
        <v>1111</v>
      </c>
      <c r="AB325" s="167" t="s">
        <v>1111</v>
      </c>
      <c r="AC325" s="164" t="s">
        <v>1099</v>
      </c>
      <c r="AD325" s="140"/>
      <c r="AE325" s="126"/>
      <c r="AF325" s="126"/>
      <c r="AG325" s="168" t="s">
        <v>5383</v>
      </c>
      <c r="AH325" s="126"/>
      <c r="AI325" s="126"/>
      <c r="AJ325" s="127" t="s">
        <v>1103</v>
      </c>
      <c r="AK325" s="128"/>
      <c r="AL325" s="129"/>
      <c r="AM325" s="129"/>
    </row>
    <row r="326" spans="1:39" ht="47.25" customHeight="1">
      <c r="A326" s="137">
        <f>SUBTOTAL(3,$B$3:B326)</f>
        <v>324</v>
      </c>
      <c r="B326" s="164" t="s">
        <v>1112</v>
      </c>
      <c r="C326" s="165" t="s">
        <v>3735</v>
      </c>
      <c r="D326" s="124" t="s">
        <v>3736</v>
      </c>
      <c r="E326" s="137" t="s">
        <v>1113</v>
      </c>
      <c r="F326" s="137" t="s">
        <v>3737</v>
      </c>
      <c r="G326" s="137" t="s">
        <v>2345</v>
      </c>
      <c r="H326" s="137" t="s">
        <v>570</v>
      </c>
      <c r="I326" s="137" t="s">
        <v>40</v>
      </c>
      <c r="J326" s="137" t="s">
        <v>1114</v>
      </c>
      <c r="K326" s="137" t="s">
        <v>41</v>
      </c>
      <c r="L326" s="137" t="s">
        <v>42</v>
      </c>
      <c r="M326" s="183" t="s">
        <v>6032</v>
      </c>
      <c r="N326" s="166">
        <v>44866</v>
      </c>
      <c r="O326" s="124" t="s">
        <v>1105</v>
      </c>
      <c r="P326" s="137" t="s">
        <v>2347</v>
      </c>
      <c r="Q326" s="137" t="s">
        <v>3676</v>
      </c>
      <c r="R326" s="124" t="s">
        <v>1115</v>
      </c>
      <c r="S326" s="124">
        <f>VLOOKUP(B326,'[3]NCL SAL. SHEET'!$A$4:$D$126,4,0)</f>
        <v>28277</v>
      </c>
      <c r="T326" s="125">
        <v>101694600547</v>
      </c>
      <c r="U326" s="126" t="s">
        <v>6523</v>
      </c>
      <c r="V326" s="126" t="s">
        <v>1116</v>
      </c>
      <c r="W326" s="126" t="s">
        <v>1118</v>
      </c>
      <c r="X326" s="126" t="s">
        <v>1119</v>
      </c>
      <c r="Y326" s="167" t="s">
        <v>146</v>
      </c>
      <c r="Z326" s="126" t="s">
        <v>1120</v>
      </c>
      <c r="AA326" s="167" t="s">
        <v>1121</v>
      </c>
      <c r="AB326" s="167" t="s">
        <v>1121</v>
      </c>
      <c r="AC326" s="164" t="s">
        <v>1112</v>
      </c>
      <c r="AD326" s="140"/>
      <c r="AE326" s="126"/>
      <c r="AF326" s="126"/>
      <c r="AG326" s="168" t="s">
        <v>5151</v>
      </c>
      <c r="AH326" s="126"/>
      <c r="AI326" s="126"/>
      <c r="AJ326" s="127" t="s">
        <v>1114</v>
      </c>
      <c r="AK326" s="128"/>
      <c r="AL326" s="129"/>
      <c r="AM326" s="129"/>
    </row>
    <row r="327" spans="1:39" ht="47.25" customHeight="1">
      <c r="A327" s="137">
        <f>SUBTOTAL(3,$B$3:B327)</f>
        <v>325</v>
      </c>
      <c r="B327" s="164" t="s">
        <v>1122</v>
      </c>
      <c r="C327" s="165" t="s">
        <v>1123</v>
      </c>
      <c r="D327" s="124" t="s">
        <v>1124</v>
      </c>
      <c r="E327" s="137" t="s">
        <v>1125</v>
      </c>
      <c r="F327" s="137" t="s">
        <v>1126</v>
      </c>
      <c r="G327" s="137" t="s">
        <v>2389</v>
      </c>
      <c r="H327" s="137" t="s">
        <v>72</v>
      </c>
      <c r="I327" s="137" t="s">
        <v>40</v>
      </c>
      <c r="J327" s="137" t="s">
        <v>1127</v>
      </c>
      <c r="K327" s="137" t="s">
        <v>41</v>
      </c>
      <c r="L327" s="137" t="s">
        <v>42</v>
      </c>
      <c r="M327" s="183" t="s">
        <v>1128</v>
      </c>
      <c r="N327" s="166">
        <v>44866</v>
      </c>
      <c r="O327" s="124" t="s">
        <v>1105</v>
      </c>
      <c r="P327" s="137" t="s">
        <v>2347</v>
      </c>
      <c r="Q327" s="137" t="s">
        <v>3676</v>
      </c>
      <c r="R327" s="124" t="s">
        <v>1129</v>
      </c>
      <c r="S327" s="124">
        <f>VLOOKUP(B327,'[3]NCL SAL. SHEET'!$A$4:$D$126,4,0)</f>
        <v>28278</v>
      </c>
      <c r="T327" s="125">
        <v>101239952354</v>
      </c>
      <c r="U327" s="126" t="s">
        <v>6522</v>
      </c>
      <c r="V327" s="126" t="s">
        <v>1130</v>
      </c>
      <c r="W327" s="126" t="s">
        <v>1131</v>
      </c>
      <c r="X327" s="126" t="s">
        <v>1132</v>
      </c>
      <c r="Y327" s="167" t="s">
        <v>51</v>
      </c>
      <c r="Z327" s="126" t="s">
        <v>50</v>
      </c>
      <c r="AA327" s="167" t="s">
        <v>1133</v>
      </c>
      <c r="AB327" s="167" t="s">
        <v>1133</v>
      </c>
      <c r="AC327" s="164" t="s">
        <v>1122</v>
      </c>
      <c r="AD327" s="140"/>
      <c r="AE327" s="126"/>
      <c r="AF327" s="126"/>
      <c r="AG327" s="168" t="s">
        <v>5384</v>
      </c>
      <c r="AH327" s="126"/>
      <c r="AI327" s="126"/>
      <c r="AJ327" s="127" t="s">
        <v>1127</v>
      </c>
      <c r="AK327" s="128"/>
      <c r="AL327" s="129"/>
      <c r="AM327" s="129"/>
    </row>
    <row r="328" spans="1:39" ht="47.25" customHeight="1">
      <c r="A328" s="137">
        <f>SUBTOTAL(3,$B$3:B328)</f>
        <v>326</v>
      </c>
      <c r="B328" s="164" t="s">
        <v>2308</v>
      </c>
      <c r="C328" s="165" t="s">
        <v>2309</v>
      </c>
      <c r="D328" s="124" t="s">
        <v>2309</v>
      </c>
      <c r="E328" s="137" t="s">
        <v>136</v>
      </c>
      <c r="F328" s="137" t="s">
        <v>2310</v>
      </c>
      <c r="G328" s="137" t="s">
        <v>2389</v>
      </c>
      <c r="H328" s="137" t="s">
        <v>810</v>
      </c>
      <c r="I328" s="137" t="s">
        <v>40</v>
      </c>
      <c r="J328" s="137" t="s">
        <v>2311</v>
      </c>
      <c r="K328" s="137" t="s">
        <v>280</v>
      </c>
      <c r="L328" s="137" t="s">
        <v>42</v>
      </c>
      <c r="M328" s="183" t="s">
        <v>2312</v>
      </c>
      <c r="N328" s="166">
        <v>44866</v>
      </c>
      <c r="O328" s="124" t="s">
        <v>1105</v>
      </c>
      <c r="P328" s="137" t="s">
        <v>2347</v>
      </c>
      <c r="Q328" s="137" t="s">
        <v>3676</v>
      </c>
      <c r="R328" s="124" t="s">
        <v>2313</v>
      </c>
      <c r="S328" s="124">
        <f>VLOOKUP(B328,'[3]NCL SAL. SHEET'!$A$4:$D$126,4,0)</f>
        <v>28073</v>
      </c>
      <c r="T328" s="125">
        <v>101578100483</v>
      </c>
      <c r="U328" s="126" t="s">
        <v>2315</v>
      </c>
      <c r="V328" s="126" t="s">
        <v>2314</v>
      </c>
      <c r="W328" s="126" t="s">
        <v>2316</v>
      </c>
      <c r="X328" s="126" t="s">
        <v>2317</v>
      </c>
      <c r="Y328" s="167" t="s">
        <v>1289</v>
      </c>
      <c r="Z328" s="126" t="s">
        <v>2318</v>
      </c>
      <c r="AA328" s="167" t="s">
        <v>2319</v>
      </c>
      <c r="AB328" s="167" t="s">
        <v>2319</v>
      </c>
      <c r="AC328" s="164" t="s">
        <v>2308</v>
      </c>
      <c r="AD328" s="140"/>
      <c r="AE328" s="126"/>
      <c r="AF328" s="126"/>
      <c r="AG328" s="168" t="s">
        <v>5404</v>
      </c>
      <c r="AH328" s="126"/>
      <c r="AI328" s="126"/>
      <c r="AJ328" s="127" t="s">
        <v>2311</v>
      </c>
      <c r="AK328" s="128"/>
      <c r="AL328" s="129"/>
      <c r="AM328" s="129"/>
    </row>
    <row r="329" spans="1:39" s="5" customFormat="1" ht="39.950000000000003" customHeight="1">
      <c r="A329" s="137">
        <f>SUBTOTAL(3,$B$3:B329)</f>
        <v>327</v>
      </c>
      <c r="B329" s="164" t="s">
        <v>3087</v>
      </c>
      <c r="C329" s="165" t="s">
        <v>3088</v>
      </c>
      <c r="D329" s="124" t="s">
        <v>3089</v>
      </c>
      <c r="E329" s="137" t="s">
        <v>754</v>
      </c>
      <c r="F329" s="137" t="s">
        <v>3090</v>
      </c>
      <c r="G329" s="137" t="s">
        <v>2389</v>
      </c>
      <c r="H329" s="137" t="s">
        <v>1481</v>
      </c>
      <c r="I329" s="137" t="s">
        <v>40</v>
      </c>
      <c r="J329" s="166">
        <v>36431</v>
      </c>
      <c r="K329" s="137" t="s">
        <v>41</v>
      </c>
      <c r="L329" s="137" t="s">
        <v>42</v>
      </c>
      <c r="M329" s="124" t="s">
        <v>3091</v>
      </c>
      <c r="N329" s="166">
        <v>44866</v>
      </c>
      <c r="O329" s="124" t="s">
        <v>1105</v>
      </c>
      <c r="P329" s="137" t="s">
        <v>2347</v>
      </c>
      <c r="Q329" s="137" t="s">
        <v>3676</v>
      </c>
      <c r="R329" s="124" t="s">
        <v>3092</v>
      </c>
      <c r="S329" s="137">
        <v>28078</v>
      </c>
      <c r="T329" s="125">
        <v>101640120948</v>
      </c>
      <c r="U329" s="126" t="s">
        <v>3093</v>
      </c>
      <c r="V329" s="126">
        <v>3714608130</v>
      </c>
      <c r="W329" s="126" t="s">
        <v>3094</v>
      </c>
      <c r="X329" s="126" t="s">
        <v>3095</v>
      </c>
      <c r="Y329" s="167" t="s">
        <v>1852</v>
      </c>
      <c r="Z329" s="126" t="s">
        <v>3096</v>
      </c>
      <c r="AA329" s="167" t="s">
        <v>3097</v>
      </c>
      <c r="AB329" s="167" t="s">
        <v>3097</v>
      </c>
      <c r="AC329" s="164" t="s">
        <v>3087</v>
      </c>
      <c r="AD329" s="140"/>
      <c r="AE329" s="126"/>
      <c r="AF329" s="126"/>
      <c r="AG329" s="168" t="s">
        <v>5385</v>
      </c>
      <c r="AH329" s="126"/>
      <c r="AI329" s="126"/>
      <c r="AJ329" s="136">
        <v>36431</v>
      </c>
      <c r="AK329" s="138"/>
      <c r="AL329" s="139"/>
      <c r="AM329" s="139"/>
    </row>
    <row r="330" spans="1:39" ht="28.5">
      <c r="A330" s="137">
        <f>SUBTOTAL(3,$B$3:B330)</f>
        <v>328</v>
      </c>
      <c r="B330" s="121" t="s">
        <v>4578</v>
      </c>
      <c r="C330" s="165" t="s">
        <v>4261</v>
      </c>
      <c r="D330" s="163" t="s">
        <v>4262</v>
      </c>
      <c r="E330" s="129" t="s">
        <v>263</v>
      </c>
      <c r="F330" s="129" t="s">
        <v>4263</v>
      </c>
      <c r="G330" s="129" t="s">
        <v>2345</v>
      </c>
      <c r="H330" s="129" t="s">
        <v>3406</v>
      </c>
      <c r="I330" s="129" t="s">
        <v>40</v>
      </c>
      <c r="J330" s="188">
        <v>35241</v>
      </c>
      <c r="K330" s="129" t="s">
        <v>280</v>
      </c>
      <c r="L330" s="129" t="s">
        <v>42</v>
      </c>
      <c r="M330" s="163" t="s">
        <v>43</v>
      </c>
      <c r="N330" s="188">
        <v>44866</v>
      </c>
      <c r="O330" s="124" t="s">
        <v>44</v>
      </c>
      <c r="P330" s="129" t="s">
        <v>2347</v>
      </c>
      <c r="Q330" s="129" t="s">
        <v>3676</v>
      </c>
      <c r="R330" s="163" t="s">
        <v>4264</v>
      </c>
      <c r="S330" s="124">
        <f>VLOOKUP(B330,'[1]SN Salary Sheet'!$A$4:$D$207,4,0)</f>
        <v>28961</v>
      </c>
      <c r="T330" s="144">
        <f>VLOOKUP(B330,[4]CLINICAL!$A$4:$B$356,2,0)</f>
        <v>101624578954</v>
      </c>
      <c r="U330" s="145" t="s">
        <v>4265</v>
      </c>
      <c r="V330" s="145" t="s">
        <v>4266</v>
      </c>
      <c r="W330" s="145" t="s">
        <v>4267</v>
      </c>
      <c r="X330" s="145" t="s">
        <v>4268</v>
      </c>
      <c r="Y330" s="149" t="s">
        <v>619</v>
      </c>
      <c r="Z330" s="145" t="s">
        <v>4269</v>
      </c>
      <c r="AA330" s="149" t="s">
        <v>4270</v>
      </c>
      <c r="AB330" s="149" t="s">
        <v>4270</v>
      </c>
      <c r="AC330" s="189" t="s">
        <v>4578</v>
      </c>
      <c r="AD330" s="145"/>
      <c r="AE330" s="145"/>
      <c r="AF330" s="145"/>
      <c r="AG330" s="187" t="s">
        <v>5136</v>
      </c>
      <c r="AH330" s="145"/>
      <c r="AI330" s="145"/>
      <c r="AJ330" s="146"/>
      <c r="AK330" s="128"/>
      <c r="AL330" s="129"/>
      <c r="AM330" s="129"/>
    </row>
    <row r="331" spans="1:39" ht="28.5">
      <c r="A331" s="137">
        <f>SUBTOTAL(3,$B$3:B331)</f>
        <v>329</v>
      </c>
      <c r="B331" s="121" t="s">
        <v>4271</v>
      </c>
      <c r="C331" s="165" t="s">
        <v>4272</v>
      </c>
      <c r="D331" s="163" t="s">
        <v>4272</v>
      </c>
      <c r="E331" s="129" t="s">
        <v>754</v>
      </c>
      <c r="F331" s="129" t="s">
        <v>1212</v>
      </c>
      <c r="G331" s="129" t="s">
        <v>2389</v>
      </c>
      <c r="H331" s="129" t="s">
        <v>4273</v>
      </c>
      <c r="I331" s="129" t="s">
        <v>40</v>
      </c>
      <c r="J331" s="188">
        <v>36320</v>
      </c>
      <c r="K331" s="129" t="s">
        <v>41</v>
      </c>
      <c r="L331" s="129" t="s">
        <v>42</v>
      </c>
      <c r="M331" s="163" t="s">
        <v>43</v>
      </c>
      <c r="N331" s="188">
        <v>44911</v>
      </c>
      <c r="O331" s="124" t="s">
        <v>44</v>
      </c>
      <c r="P331" s="129" t="s">
        <v>2347</v>
      </c>
      <c r="Q331" s="129" t="s">
        <v>3676</v>
      </c>
      <c r="R331" s="163" t="s">
        <v>4274</v>
      </c>
      <c r="S331" s="124">
        <f>VLOOKUP(B331,'[1]SN Salary Sheet'!$A$4:$D$207,4,0)</f>
        <v>28430</v>
      </c>
      <c r="T331" s="144">
        <f>VLOOKUP(B331,[4]CLINICAL!$A$4:$B$356,2,0)</f>
        <v>101844627578</v>
      </c>
      <c r="U331" s="145" t="s">
        <v>4275</v>
      </c>
      <c r="V331" s="145" t="s">
        <v>4276</v>
      </c>
      <c r="W331" s="145" t="s">
        <v>4277</v>
      </c>
      <c r="X331" s="145" t="s">
        <v>4278</v>
      </c>
      <c r="Y331" s="149" t="s">
        <v>146</v>
      </c>
      <c r="Z331" s="145" t="s">
        <v>4279</v>
      </c>
      <c r="AA331" s="149" t="s">
        <v>4280</v>
      </c>
      <c r="AB331" s="149" t="s">
        <v>4280</v>
      </c>
      <c r="AC331" s="189" t="s">
        <v>4271</v>
      </c>
      <c r="AD331" s="145"/>
      <c r="AE331" s="145"/>
      <c r="AF331" s="145"/>
      <c r="AG331" s="187" t="s">
        <v>5129</v>
      </c>
      <c r="AH331" s="145"/>
      <c r="AI331" s="145"/>
      <c r="AJ331" s="146"/>
      <c r="AK331" s="128"/>
      <c r="AL331" s="129"/>
      <c r="AM331" s="129"/>
    </row>
    <row r="332" spans="1:39" ht="28.5">
      <c r="A332" s="137">
        <f>SUBTOTAL(3,$B$3:B332)</f>
        <v>330</v>
      </c>
      <c r="B332" s="190" t="s">
        <v>4811</v>
      </c>
      <c r="C332" s="124" t="s">
        <v>4281</v>
      </c>
      <c r="D332" s="163" t="s">
        <v>4281</v>
      </c>
      <c r="E332" s="129" t="s">
        <v>754</v>
      </c>
      <c r="F332" s="129" t="s">
        <v>4282</v>
      </c>
      <c r="G332" s="129" t="s">
        <v>2345</v>
      </c>
      <c r="H332" s="129" t="s">
        <v>1725</v>
      </c>
      <c r="I332" s="129" t="s">
        <v>40</v>
      </c>
      <c r="J332" s="188">
        <v>36755</v>
      </c>
      <c r="K332" s="129" t="s">
        <v>41</v>
      </c>
      <c r="L332" s="129" t="s">
        <v>42</v>
      </c>
      <c r="M332" s="163" t="s">
        <v>43</v>
      </c>
      <c r="N332" s="188">
        <v>44743</v>
      </c>
      <c r="O332" s="124" t="s">
        <v>44</v>
      </c>
      <c r="P332" s="129" t="s">
        <v>2347</v>
      </c>
      <c r="Q332" s="129" t="s">
        <v>3676</v>
      </c>
      <c r="R332" s="163">
        <v>7203923120</v>
      </c>
      <c r="S332" s="124" t="e">
        <f>VLOOKUP(B332,'[1]SN Salary Sheet'!$A$4:$D$207,4,0)</f>
        <v>#N/A</v>
      </c>
      <c r="T332" s="144" t="s">
        <v>5943</v>
      </c>
      <c r="U332" s="126" t="s">
        <v>6178</v>
      </c>
      <c r="V332" s="147" t="s">
        <v>5946</v>
      </c>
      <c r="W332" s="145" t="s">
        <v>4283</v>
      </c>
      <c r="X332" s="145" t="s">
        <v>4284</v>
      </c>
      <c r="Y332" s="149" t="s">
        <v>146</v>
      </c>
      <c r="Z332" s="145" t="s">
        <v>2352</v>
      </c>
      <c r="AA332" s="149" t="s">
        <v>4285</v>
      </c>
      <c r="AB332" s="149" t="s">
        <v>4285</v>
      </c>
      <c r="AC332" s="189" t="s">
        <v>4811</v>
      </c>
      <c r="AD332" s="145"/>
      <c r="AE332" s="145"/>
      <c r="AF332" s="145"/>
      <c r="AG332" s="187" t="s">
        <v>5446</v>
      </c>
      <c r="AH332" s="145"/>
      <c r="AI332" s="145"/>
      <c r="AJ332" s="146"/>
      <c r="AK332" s="128"/>
      <c r="AL332" s="129"/>
      <c r="AM332" s="129"/>
    </row>
    <row r="333" spans="1:39" ht="28.5">
      <c r="A333" s="137">
        <f>SUBTOTAL(3,$B$3:B333)</f>
        <v>331</v>
      </c>
      <c r="B333" s="190" t="s">
        <v>4286</v>
      </c>
      <c r="C333" s="184" t="s">
        <v>4287</v>
      </c>
      <c r="D333" s="163" t="s">
        <v>4287</v>
      </c>
      <c r="E333" s="129" t="s">
        <v>4288</v>
      </c>
      <c r="F333" s="129" t="s">
        <v>4289</v>
      </c>
      <c r="G333" s="129" t="s">
        <v>2345</v>
      </c>
      <c r="H333" s="129" t="s">
        <v>4290</v>
      </c>
      <c r="I333" s="129" t="s">
        <v>40</v>
      </c>
      <c r="J333" s="188">
        <v>34051</v>
      </c>
      <c r="K333" s="129" t="s">
        <v>280</v>
      </c>
      <c r="L333" s="129" t="s">
        <v>42</v>
      </c>
      <c r="M333" s="163" t="s">
        <v>43</v>
      </c>
      <c r="N333" s="188">
        <v>44907</v>
      </c>
      <c r="O333" s="163" t="s">
        <v>2621</v>
      </c>
      <c r="P333" s="129" t="s">
        <v>2347</v>
      </c>
      <c r="Q333" s="129" t="s">
        <v>3676</v>
      </c>
      <c r="R333" s="163" t="s">
        <v>4291</v>
      </c>
      <c r="S333" s="124" t="e">
        <f>VLOOKUP(B333,'[2]CL SAL SHEET'!$A$4:$D$57,4,0)</f>
        <v>#N/A</v>
      </c>
      <c r="T333" s="144">
        <f>VLOOKUP(B333,[4]CLINICAL!$A$4:$B$356,2,0)</f>
        <v>100746952457</v>
      </c>
      <c r="U333" s="145" t="s">
        <v>4292</v>
      </c>
      <c r="V333" s="147" t="str">
        <f>VLOOKUP(B333,[4]CLINICAL!$A$4:$C$356,3,0)</f>
        <v>3714637991</v>
      </c>
      <c r="W333" s="145" t="s">
        <v>4293</v>
      </c>
      <c r="X333" s="145" t="s">
        <v>4294</v>
      </c>
      <c r="Y333" s="149" t="s">
        <v>65</v>
      </c>
      <c r="Z333" s="145" t="s">
        <v>4295</v>
      </c>
      <c r="AA333" s="149" t="s">
        <v>4296</v>
      </c>
      <c r="AB333" s="149" t="s">
        <v>4296</v>
      </c>
      <c r="AC333" s="189" t="s">
        <v>4286</v>
      </c>
      <c r="AD333" s="145"/>
      <c r="AE333" s="145"/>
      <c r="AF333" s="145"/>
      <c r="AG333" s="187" t="s">
        <v>5172</v>
      </c>
      <c r="AH333" s="145"/>
      <c r="AI333" s="145"/>
      <c r="AJ333" s="146"/>
      <c r="AK333" s="128"/>
      <c r="AL333" s="129"/>
      <c r="AM333" s="129"/>
    </row>
    <row r="334" spans="1:39" ht="57">
      <c r="A334" s="137">
        <f>SUBTOTAL(3,$B$3:B334)</f>
        <v>332</v>
      </c>
      <c r="B334" s="121" t="s">
        <v>4297</v>
      </c>
      <c r="C334" s="165" t="s">
        <v>4298</v>
      </c>
      <c r="D334" s="163" t="s">
        <v>4299</v>
      </c>
      <c r="E334" s="129" t="s">
        <v>4300</v>
      </c>
      <c r="F334" s="129" t="s">
        <v>4301</v>
      </c>
      <c r="G334" s="129" t="s">
        <v>2389</v>
      </c>
      <c r="H334" s="129" t="s">
        <v>1991</v>
      </c>
      <c r="I334" s="129" t="s">
        <v>40</v>
      </c>
      <c r="J334" s="188">
        <v>35913</v>
      </c>
      <c r="K334" s="129" t="s">
        <v>41</v>
      </c>
      <c r="L334" s="129" t="s">
        <v>42</v>
      </c>
      <c r="M334" s="163" t="s">
        <v>6033</v>
      </c>
      <c r="N334" s="188">
        <v>44932</v>
      </c>
      <c r="O334" s="163" t="s">
        <v>4302</v>
      </c>
      <c r="P334" s="129" t="s">
        <v>2347</v>
      </c>
      <c r="Q334" s="129" t="s">
        <v>3676</v>
      </c>
      <c r="R334" s="163" t="s">
        <v>4303</v>
      </c>
      <c r="S334" s="124">
        <f>VLOOKUP(B334,'[3]NCL SAL. SHEET'!$A$4:$D$126,4,0)</f>
        <v>28556</v>
      </c>
      <c r="T334" s="144">
        <f>VLOOKUP(B334,[4]NONCLINICAL!$A$4:$B$170,2,0)</f>
        <v>101909548518</v>
      </c>
      <c r="U334" s="145" t="s">
        <v>4304</v>
      </c>
      <c r="V334" s="145" t="s">
        <v>4705</v>
      </c>
      <c r="W334" s="145" t="s">
        <v>4690</v>
      </c>
      <c r="X334" s="145" t="s">
        <v>4305</v>
      </c>
      <c r="Y334" s="149" t="s">
        <v>51</v>
      </c>
      <c r="Z334" s="145" t="s">
        <v>4306</v>
      </c>
      <c r="AA334" s="149" t="s">
        <v>4307</v>
      </c>
      <c r="AB334" s="149" t="s">
        <v>4307</v>
      </c>
      <c r="AC334" s="189" t="s">
        <v>4297</v>
      </c>
      <c r="AD334" s="145"/>
      <c r="AE334" s="145"/>
      <c r="AF334" s="145"/>
      <c r="AG334" s="187" t="s">
        <v>5176</v>
      </c>
      <c r="AH334" s="145"/>
      <c r="AI334" s="145"/>
      <c r="AJ334" s="146"/>
      <c r="AK334" s="128"/>
      <c r="AL334" s="129"/>
      <c r="AM334" s="129"/>
    </row>
    <row r="335" spans="1:39" ht="28.5">
      <c r="A335" s="137">
        <f>SUBTOTAL(3,$B$3:B335)</f>
        <v>333</v>
      </c>
      <c r="B335" s="121" t="s">
        <v>4308</v>
      </c>
      <c r="C335" s="165" t="s">
        <v>4309</v>
      </c>
      <c r="D335" s="163" t="s">
        <v>4310</v>
      </c>
      <c r="E335" s="129" t="s">
        <v>212</v>
      </c>
      <c r="F335" s="129" t="s">
        <v>2618</v>
      </c>
      <c r="G335" s="129" t="s">
        <v>2345</v>
      </c>
      <c r="H335" s="129" t="s">
        <v>4311</v>
      </c>
      <c r="I335" s="129" t="s">
        <v>40</v>
      </c>
      <c r="J335" s="188">
        <v>36675</v>
      </c>
      <c r="K335" s="129" t="s">
        <v>41</v>
      </c>
      <c r="L335" s="129" t="s">
        <v>42</v>
      </c>
      <c r="M335" s="163" t="s">
        <v>4312</v>
      </c>
      <c r="N335" s="188">
        <v>44904</v>
      </c>
      <c r="O335" s="163" t="s">
        <v>2981</v>
      </c>
      <c r="P335" s="129" t="s">
        <v>2347</v>
      </c>
      <c r="Q335" s="129" t="s">
        <v>3676</v>
      </c>
      <c r="R335" s="163">
        <v>9687424156</v>
      </c>
      <c r="S335" s="124">
        <f>VLOOKUP(B335,'[2]CL SAL SHEET'!$A$4:$D$57,4,0)</f>
        <v>28442</v>
      </c>
      <c r="T335" s="144">
        <f>VLOOKUP(B335,[4]CLINICAL!$A$4:$B$356,2,0)</f>
        <v>101903275100</v>
      </c>
      <c r="U335" s="145" t="s">
        <v>4313</v>
      </c>
      <c r="V335" s="147" t="str">
        <f>VLOOKUP(B335,[4]CLINICAL!$A$4:$C$356,3,0)</f>
        <v>3714637954</v>
      </c>
      <c r="W335" s="145" t="s">
        <v>4314</v>
      </c>
      <c r="X335" s="145" t="s">
        <v>4315</v>
      </c>
      <c r="Y335" s="149" t="s">
        <v>146</v>
      </c>
      <c r="Z335" s="145" t="s">
        <v>4316</v>
      </c>
      <c r="AA335" s="149" t="s">
        <v>4317</v>
      </c>
      <c r="AB335" s="149" t="s">
        <v>4317</v>
      </c>
      <c r="AC335" s="189" t="s">
        <v>4308</v>
      </c>
      <c r="AD335" s="145"/>
      <c r="AE335" s="145"/>
      <c r="AF335" s="145"/>
      <c r="AG335" s="187" t="s">
        <v>5171</v>
      </c>
      <c r="AH335" s="145"/>
      <c r="AI335" s="145"/>
      <c r="AJ335" s="146"/>
      <c r="AK335" s="128"/>
      <c r="AL335" s="129"/>
      <c r="AM335" s="129"/>
    </row>
    <row r="336" spans="1:39" ht="28.5">
      <c r="A336" s="137">
        <f>SUBTOTAL(3,$B$3:B336)</f>
        <v>334</v>
      </c>
      <c r="B336" s="121" t="s">
        <v>4318</v>
      </c>
      <c r="C336" s="165" t="s">
        <v>4319</v>
      </c>
      <c r="D336" s="163" t="s">
        <v>4319</v>
      </c>
      <c r="E336" s="129" t="s">
        <v>4320</v>
      </c>
      <c r="F336" s="129" t="s">
        <v>569</v>
      </c>
      <c r="G336" s="129" t="s">
        <v>2345</v>
      </c>
      <c r="H336" s="129" t="s">
        <v>2859</v>
      </c>
      <c r="I336" s="129" t="s">
        <v>40</v>
      </c>
      <c r="J336" s="188">
        <v>36823</v>
      </c>
      <c r="K336" s="129" t="s">
        <v>41</v>
      </c>
      <c r="L336" s="129" t="s">
        <v>42</v>
      </c>
      <c r="M336" s="163" t="s">
        <v>43</v>
      </c>
      <c r="N336" s="188">
        <v>44929</v>
      </c>
      <c r="O336" s="163" t="s">
        <v>2981</v>
      </c>
      <c r="P336" s="129" t="s">
        <v>2347</v>
      </c>
      <c r="Q336" s="129" t="s">
        <v>3676</v>
      </c>
      <c r="R336" s="163">
        <v>9712589992</v>
      </c>
      <c r="S336" s="124">
        <f>VLOOKUP(B336,'[2]CL SAL SHEET'!$A$4:$D$57,4,0)</f>
        <v>28558</v>
      </c>
      <c r="T336" s="144">
        <f>VLOOKUP(B336,[4]CLINICAL!$A$4:$B$356,2,0)</f>
        <v>101909548539</v>
      </c>
      <c r="U336" s="145" t="s">
        <v>4321</v>
      </c>
      <c r="V336" s="145" t="s">
        <v>4704</v>
      </c>
      <c r="W336" s="145" t="s">
        <v>4322</v>
      </c>
      <c r="X336" s="145" t="s">
        <v>4323</v>
      </c>
      <c r="Y336" s="149" t="s">
        <v>146</v>
      </c>
      <c r="Z336" s="145" t="s">
        <v>4324</v>
      </c>
      <c r="AA336" s="149" t="s">
        <v>4326</v>
      </c>
      <c r="AB336" s="149" t="s">
        <v>4325</v>
      </c>
      <c r="AC336" s="189" t="s">
        <v>4318</v>
      </c>
      <c r="AD336" s="145"/>
      <c r="AE336" s="145"/>
      <c r="AF336" s="145"/>
      <c r="AG336" s="187" t="s">
        <v>5175</v>
      </c>
      <c r="AH336" s="145"/>
      <c r="AI336" s="145"/>
      <c r="AJ336" s="146"/>
      <c r="AK336" s="128"/>
      <c r="AL336" s="129"/>
      <c r="AM336" s="129"/>
    </row>
    <row r="337" spans="1:39" ht="28.5">
      <c r="A337" s="137">
        <f>SUBTOTAL(3,$B$3:B337)</f>
        <v>335</v>
      </c>
      <c r="B337" s="121" t="s">
        <v>4327</v>
      </c>
      <c r="C337" s="165" t="s">
        <v>4328</v>
      </c>
      <c r="D337" s="163" t="s">
        <v>4328</v>
      </c>
      <c r="E337" s="129" t="s">
        <v>4329</v>
      </c>
      <c r="F337" s="129" t="s">
        <v>4330</v>
      </c>
      <c r="G337" s="129" t="s">
        <v>2345</v>
      </c>
      <c r="H337" s="129" t="s">
        <v>1256</v>
      </c>
      <c r="I337" s="129" t="s">
        <v>40</v>
      </c>
      <c r="J337" s="188">
        <v>36428</v>
      </c>
      <c r="K337" s="129" t="s">
        <v>41</v>
      </c>
      <c r="L337" s="129" t="s">
        <v>42</v>
      </c>
      <c r="M337" s="163" t="s">
        <v>3103</v>
      </c>
      <c r="N337" s="188">
        <v>44944</v>
      </c>
      <c r="O337" s="163" t="s">
        <v>2981</v>
      </c>
      <c r="P337" s="129" t="s">
        <v>2347</v>
      </c>
      <c r="Q337" s="129" t="s">
        <v>3676</v>
      </c>
      <c r="R337" s="163">
        <v>9023929062</v>
      </c>
      <c r="S337" s="124">
        <f>VLOOKUP(B337,'[2]CL SAL SHEET'!$A$4:$D$57,4,0)</f>
        <v>28562</v>
      </c>
      <c r="T337" s="144">
        <f>VLOOKUP(B337,[4]CLINICAL!$A$4:$B$356,2,0)</f>
        <v>101784791986</v>
      </c>
      <c r="U337" s="126" t="s">
        <v>6178</v>
      </c>
      <c r="V337" s="147" t="str">
        <f>VLOOKUP(B337,[4]CLINICAL!$A$4:$C$356,3,0)</f>
        <v>3714146626</v>
      </c>
      <c r="W337" s="145" t="s">
        <v>4331</v>
      </c>
      <c r="X337" s="145" t="s">
        <v>4332</v>
      </c>
      <c r="Y337" s="149" t="s">
        <v>146</v>
      </c>
      <c r="Z337" s="145" t="s">
        <v>4333</v>
      </c>
      <c r="AA337" s="149" t="s">
        <v>4334</v>
      </c>
      <c r="AB337" s="149" t="s">
        <v>4334</v>
      </c>
      <c r="AC337" s="189" t="s">
        <v>4327</v>
      </c>
      <c r="AD337" s="145"/>
      <c r="AE337" s="145"/>
      <c r="AF337" s="145"/>
      <c r="AG337" s="187" t="s">
        <v>5202</v>
      </c>
      <c r="AH337" s="145"/>
      <c r="AI337" s="145"/>
      <c r="AJ337" s="146"/>
      <c r="AK337" s="128"/>
      <c r="AL337" s="129"/>
      <c r="AM337" s="129"/>
    </row>
    <row r="338" spans="1:39" ht="28.5">
      <c r="A338" s="137">
        <f>SUBTOTAL(3,$B$3:B338)</f>
        <v>336</v>
      </c>
      <c r="B338" s="121" t="s">
        <v>4335</v>
      </c>
      <c r="C338" s="165" t="s">
        <v>4733</v>
      </c>
      <c r="D338" s="163" t="s">
        <v>4733</v>
      </c>
      <c r="E338" s="129" t="s">
        <v>4336</v>
      </c>
      <c r="F338" s="129" t="s">
        <v>4337</v>
      </c>
      <c r="G338" s="129" t="s">
        <v>2345</v>
      </c>
      <c r="H338" s="129" t="s">
        <v>1899</v>
      </c>
      <c r="I338" s="129" t="s">
        <v>40</v>
      </c>
      <c r="J338" s="188">
        <v>35746</v>
      </c>
      <c r="K338" s="129" t="s">
        <v>41</v>
      </c>
      <c r="L338" s="129" t="s">
        <v>42</v>
      </c>
      <c r="M338" s="163" t="s">
        <v>43</v>
      </c>
      <c r="N338" s="188">
        <v>44947</v>
      </c>
      <c r="O338" s="124" t="s">
        <v>44</v>
      </c>
      <c r="P338" s="129" t="s">
        <v>2347</v>
      </c>
      <c r="Q338" s="129" t="s">
        <v>3676</v>
      </c>
      <c r="R338" s="163" t="s">
        <v>4338</v>
      </c>
      <c r="S338" s="124">
        <f>VLOOKUP(B338,'[1]SN Salary Sheet'!$A$4:$D$207,4,0)</f>
        <v>28575</v>
      </c>
      <c r="T338" s="144">
        <f>VLOOKUP(B338,[4]CLINICAL!$A$4:$B$356,2,0)</f>
        <v>101737040290</v>
      </c>
      <c r="U338" s="145" t="s">
        <v>4339</v>
      </c>
      <c r="V338" s="145" t="s">
        <v>4732</v>
      </c>
      <c r="W338" s="145" t="s">
        <v>4340</v>
      </c>
      <c r="X338" s="145" t="s">
        <v>4341</v>
      </c>
      <c r="Y338" s="149" t="s">
        <v>1852</v>
      </c>
      <c r="Z338" s="145" t="s">
        <v>4342</v>
      </c>
      <c r="AA338" s="149" t="s">
        <v>4344</v>
      </c>
      <c r="AB338" s="149" t="s">
        <v>4343</v>
      </c>
      <c r="AC338" s="189" t="s">
        <v>4335</v>
      </c>
      <c r="AD338" s="145"/>
      <c r="AE338" s="145"/>
      <c r="AF338" s="145"/>
      <c r="AG338" s="187" t="s">
        <v>5142</v>
      </c>
      <c r="AH338" s="145"/>
      <c r="AI338" s="145"/>
      <c r="AJ338" s="146"/>
      <c r="AK338" s="128"/>
      <c r="AL338" s="129"/>
      <c r="AM338" s="129"/>
    </row>
    <row r="339" spans="1:39" ht="42.75">
      <c r="A339" s="137">
        <f>SUBTOTAL(3,$B$3:B339)</f>
        <v>337</v>
      </c>
      <c r="B339" s="190" t="s">
        <v>4351</v>
      </c>
      <c r="C339" s="124" t="s">
        <v>4352</v>
      </c>
      <c r="D339" s="163" t="s">
        <v>4353</v>
      </c>
      <c r="E339" s="129" t="s">
        <v>722</v>
      </c>
      <c r="F339" s="129" t="s">
        <v>3689</v>
      </c>
      <c r="G339" s="129" t="s">
        <v>2345</v>
      </c>
      <c r="H339" s="129" t="s">
        <v>4273</v>
      </c>
      <c r="I339" s="129" t="s">
        <v>40</v>
      </c>
      <c r="J339" s="188">
        <v>33488</v>
      </c>
      <c r="K339" s="129" t="s">
        <v>41</v>
      </c>
      <c r="L339" s="129" t="s">
        <v>42</v>
      </c>
      <c r="M339" s="163" t="s">
        <v>4354</v>
      </c>
      <c r="N339" s="188">
        <v>44922</v>
      </c>
      <c r="O339" s="163" t="s">
        <v>2991</v>
      </c>
      <c r="P339" s="129" t="s">
        <v>2347</v>
      </c>
      <c r="Q339" s="129" t="s">
        <v>3676</v>
      </c>
      <c r="R339" s="163" t="s">
        <v>4355</v>
      </c>
      <c r="S339" s="124" t="e">
        <f>VLOOKUP(B339,'[3]NCL SAL. SHEET'!$A$4:$D$126,4,0)</f>
        <v>#N/A</v>
      </c>
      <c r="T339" s="144">
        <f>VLOOKUP(B339,[4]NONCLINICAL!$A$4:$B$170,2,0)</f>
        <v>101903119940</v>
      </c>
      <c r="U339" s="126" t="s">
        <v>6178</v>
      </c>
      <c r="V339" s="147" t="str">
        <f>VLOOKUP(B339,[4]NONCLINICAL!$A$4:$C$356,3,0)</f>
        <v>3714637074</v>
      </c>
      <c r="W339" s="145" t="s">
        <v>4356</v>
      </c>
      <c r="X339" s="145" t="s">
        <v>4357</v>
      </c>
      <c r="Y339" s="149" t="s">
        <v>619</v>
      </c>
      <c r="Z339" s="145" t="s">
        <v>4269</v>
      </c>
      <c r="AA339" s="149" t="s">
        <v>4358</v>
      </c>
      <c r="AB339" s="149" t="s">
        <v>4358</v>
      </c>
      <c r="AC339" s="189" t="s">
        <v>4351</v>
      </c>
      <c r="AD339" s="145"/>
      <c r="AE339" s="145"/>
      <c r="AF339" s="145"/>
      <c r="AG339" s="187" t="s">
        <v>5135</v>
      </c>
      <c r="AH339" s="145"/>
      <c r="AI339" s="145"/>
      <c r="AJ339" s="146"/>
      <c r="AK339" s="128"/>
      <c r="AL339" s="129"/>
      <c r="AM339" s="129"/>
    </row>
    <row r="340" spans="1:39" ht="28.5">
      <c r="A340" s="137">
        <f>SUBTOTAL(3,$B$3:B340)</f>
        <v>338</v>
      </c>
      <c r="B340" s="121" t="s">
        <v>4809</v>
      </c>
      <c r="C340" s="165" t="s">
        <v>4359</v>
      </c>
      <c r="D340" s="163" t="s">
        <v>4360</v>
      </c>
      <c r="E340" s="129" t="s">
        <v>136</v>
      </c>
      <c r="F340" s="129" t="s">
        <v>4361</v>
      </c>
      <c r="G340" s="129" t="s">
        <v>2345</v>
      </c>
      <c r="H340" s="129" t="s">
        <v>4362</v>
      </c>
      <c r="I340" s="129" t="s">
        <v>40</v>
      </c>
      <c r="J340" s="188">
        <v>36760</v>
      </c>
      <c r="K340" s="129" t="s">
        <v>41</v>
      </c>
      <c r="L340" s="129" t="s">
        <v>42</v>
      </c>
      <c r="M340" s="163" t="s">
        <v>1405</v>
      </c>
      <c r="N340" s="188">
        <v>44894</v>
      </c>
      <c r="O340" s="163" t="s">
        <v>2991</v>
      </c>
      <c r="P340" s="129" t="s">
        <v>2347</v>
      </c>
      <c r="Q340" s="129" t="s">
        <v>3676</v>
      </c>
      <c r="R340" s="163">
        <v>7226802925</v>
      </c>
      <c r="S340" s="124">
        <f>VLOOKUP(B340,'[3]NCL SAL. SHEET'!$A$4:$D$126,4,0)</f>
        <v>28077</v>
      </c>
      <c r="T340" s="144">
        <f>VLOOKUP(B340,[4]NONCLINICAL!$A$4:$B$170,2,0)</f>
        <v>101553490054</v>
      </c>
      <c r="U340" s="145" t="s">
        <v>4363</v>
      </c>
      <c r="V340" s="148">
        <v>3714608398</v>
      </c>
      <c r="W340" s="145" t="s">
        <v>4364</v>
      </c>
      <c r="X340" s="145" t="s">
        <v>4365</v>
      </c>
      <c r="Y340" s="149" t="s">
        <v>326</v>
      </c>
      <c r="Z340" s="145" t="s">
        <v>4366</v>
      </c>
      <c r="AA340" s="149" t="s">
        <v>4367</v>
      </c>
      <c r="AB340" s="149" t="s">
        <v>4367</v>
      </c>
      <c r="AC340" s="189" t="s">
        <v>4809</v>
      </c>
      <c r="AD340" s="145"/>
      <c r="AE340" s="145"/>
      <c r="AF340" s="145"/>
      <c r="AG340" s="187" t="s">
        <v>5115</v>
      </c>
      <c r="AH340" s="145"/>
      <c r="AI340" s="145"/>
      <c r="AJ340" s="146"/>
      <c r="AK340" s="128"/>
      <c r="AL340" s="129"/>
      <c r="AM340" s="129"/>
    </row>
    <row r="341" spans="1:39" ht="28.5">
      <c r="A341" s="137">
        <f>SUBTOTAL(3,$B$3:B341)</f>
        <v>339</v>
      </c>
      <c r="B341" s="190" t="s">
        <v>4368</v>
      </c>
      <c r="C341" s="124" t="s">
        <v>4369</v>
      </c>
      <c r="D341" s="163" t="s">
        <v>4369</v>
      </c>
      <c r="E341" s="129" t="s">
        <v>1889</v>
      </c>
      <c r="F341" s="129" t="s">
        <v>4370</v>
      </c>
      <c r="G341" s="129" t="s">
        <v>2345</v>
      </c>
      <c r="H341" s="129" t="s">
        <v>4371</v>
      </c>
      <c r="I341" s="129" t="s">
        <v>40</v>
      </c>
      <c r="J341" s="188">
        <v>36813</v>
      </c>
      <c r="K341" s="129" t="s">
        <v>41</v>
      </c>
      <c r="L341" s="129" t="s">
        <v>42</v>
      </c>
      <c r="M341" s="163" t="s">
        <v>4016</v>
      </c>
      <c r="N341" s="188">
        <v>44947</v>
      </c>
      <c r="O341" s="163" t="s">
        <v>2981</v>
      </c>
      <c r="P341" s="129" t="s">
        <v>2347</v>
      </c>
      <c r="Q341" s="129" t="s">
        <v>3676</v>
      </c>
      <c r="R341" s="163" t="s">
        <v>4372</v>
      </c>
      <c r="S341" s="124" t="e">
        <f>VLOOKUP(B341,'[2]CL SAL SHEET'!$A$4:$D$57,4,0)</f>
        <v>#N/A</v>
      </c>
      <c r="T341" s="144">
        <f>VLOOKUP(B341,[4]CLINICAL!$A$4:$B$356,2,0)</f>
        <v>101909548502</v>
      </c>
      <c r="U341" s="126" t="s">
        <v>6178</v>
      </c>
      <c r="V341" s="145" t="s">
        <v>4734</v>
      </c>
      <c r="W341" s="145" t="s">
        <v>4373</v>
      </c>
      <c r="X341" s="145" t="s">
        <v>4374</v>
      </c>
      <c r="Y341" s="149" t="s">
        <v>65</v>
      </c>
      <c r="Z341" s="145" t="s">
        <v>91</v>
      </c>
      <c r="AA341" s="149" t="s">
        <v>4375</v>
      </c>
      <c r="AB341" s="149" t="s">
        <v>4375</v>
      </c>
      <c r="AC341" s="189" t="s">
        <v>4368</v>
      </c>
      <c r="AD341" s="145"/>
      <c r="AE341" s="145"/>
      <c r="AF341" s="145"/>
      <c r="AG341" s="187" t="s">
        <v>5178</v>
      </c>
      <c r="AH341" s="145"/>
      <c r="AI341" s="145"/>
      <c r="AJ341" s="146"/>
      <c r="AK341" s="128"/>
      <c r="AL341" s="129"/>
      <c r="AM341" s="129"/>
    </row>
    <row r="342" spans="1:39" ht="28.5">
      <c r="A342" s="137">
        <f>SUBTOTAL(3,$B$3:B342)</f>
        <v>340</v>
      </c>
      <c r="B342" s="121" t="s">
        <v>4376</v>
      </c>
      <c r="C342" s="165" t="s">
        <v>4377</v>
      </c>
      <c r="D342" s="163" t="s">
        <v>4377</v>
      </c>
      <c r="E342" s="129" t="s">
        <v>722</v>
      </c>
      <c r="F342" s="129" t="s">
        <v>3077</v>
      </c>
      <c r="G342" s="129" t="s">
        <v>2345</v>
      </c>
      <c r="H342" s="129" t="s">
        <v>124</v>
      </c>
      <c r="I342" s="129" t="s">
        <v>40</v>
      </c>
      <c r="J342" s="188">
        <v>35459</v>
      </c>
      <c r="K342" s="129" t="s">
        <v>280</v>
      </c>
      <c r="L342" s="129" t="s">
        <v>42</v>
      </c>
      <c r="M342" s="163" t="s">
        <v>1880</v>
      </c>
      <c r="N342" s="188">
        <v>44893</v>
      </c>
      <c r="O342" s="163" t="s">
        <v>2981</v>
      </c>
      <c r="P342" s="129" t="s">
        <v>2347</v>
      </c>
      <c r="Q342" s="129" t="s">
        <v>3676</v>
      </c>
      <c r="R342" s="163" t="s">
        <v>4378</v>
      </c>
      <c r="S342" s="124">
        <f>VLOOKUP(B342,'[2]CL SAL SHEET'!$A$4:$D$57,4,0)</f>
        <v>28106</v>
      </c>
      <c r="T342" s="144">
        <f>VLOOKUP(B342,[4]CLINICAL!$A$4:$B$356,2,0)</f>
        <v>101544533513</v>
      </c>
      <c r="U342" s="145" t="s">
        <v>4379</v>
      </c>
      <c r="V342" s="145" t="s">
        <v>6603</v>
      </c>
      <c r="W342" s="145" t="s">
        <v>4380</v>
      </c>
      <c r="X342" s="145" t="s">
        <v>4381</v>
      </c>
      <c r="Y342" s="149" t="s">
        <v>51</v>
      </c>
      <c r="Z342" s="145" t="s">
        <v>50</v>
      </c>
      <c r="AA342" s="149" t="s">
        <v>4382</v>
      </c>
      <c r="AB342" s="149" t="s">
        <v>4382</v>
      </c>
      <c r="AC342" s="189" t="s">
        <v>4376</v>
      </c>
      <c r="AD342" s="145"/>
      <c r="AE342" s="145"/>
      <c r="AF342" s="145"/>
      <c r="AG342" s="187" t="s">
        <v>5169</v>
      </c>
      <c r="AH342" s="145"/>
      <c r="AI342" s="145"/>
      <c r="AJ342" s="146"/>
      <c r="AK342" s="128"/>
      <c r="AL342" s="129"/>
      <c r="AM342" s="129"/>
    </row>
    <row r="343" spans="1:39" ht="42.75">
      <c r="A343" s="137">
        <f>SUBTOTAL(3,$B$3:B343)</f>
        <v>341</v>
      </c>
      <c r="B343" s="190" t="s">
        <v>4383</v>
      </c>
      <c r="C343" s="165" t="s">
        <v>4384</v>
      </c>
      <c r="D343" s="163" t="s">
        <v>4385</v>
      </c>
      <c r="E343" s="129" t="s">
        <v>379</v>
      </c>
      <c r="F343" s="129" t="s">
        <v>3689</v>
      </c>
      <c r="G343" s="129" t="s">
        <v>2389</v>
      </c>
      <c r="H343" s="129" t="s">
        <v>1322</v>
      </c>
      <c r="I343" s="129" t="s">
        <v>40</v>
      </c>
      <c r="J343" s="188">
        <v>33351</v>
      </c>
      <c r="K343" s="129" t="s">
        <v>41</v>
      </c>
      <c r="L343" s="129" t="s">
        <v>42</v>
      </c>
      <c r="M343" s="163" t="s">
        <v>6032</v>
      </c>
      <c r="N343" s="188">
        <v>44943</v>
      </c>
      <c r="O343" s="124" t="s">
        <v>2193</v>
      </c>
      <c r="P343" s="137" t="s">
        <v>3048</v>
      </c>
      <c r="Q343" s="129" t="s">
        <v>3676</v>
      </c>
      <c r="R343" s="163">
        <v>8866113551</v>
      </c>
      <c r="S343" s="124" t="e">
        <f>VLOOKUP(B343,'[3]NCL SAL. SHEET'!$A$4:$D$126,4,0)</f>
        <v>#N/A</v>
      </c>
      <c r="T343" s="144">
        <f>VLOOKUP(B343,[4]NONCLINICAL!$A$4:$B$170,2,0)</f>
        <v>101486598579</v>
      </c>
      <c r="U343" s="145" t="s">
        <v>4386</v>
      </c>
      <c r="V343" s="145" t="s">
        <v>4387</v>
      </c>
      <c r="W343" s="145" t="s">
        <v>4388</v>
      </c>
      <c r="X343" s="145" t="s">
        <v>4389</v>
      </c>
      <c r="Y343" s="149" t="s">
        <v>4390</v>
      </c>
      <c r="Z343" s="145" t="s">
        <v>4391</v>
      </c>
      <c r="AA343" s="149" t="s">
        <v>4392</v>
      </c>
      <c r="AB343" s="149" t="s">
        <v>4392</v>
      </c>
      <c r="AC343" s="189" t="s">
        <v>4383</v>
      </c>
      <c r="AD343" s="145"/>
      <c r="AE343" s="145"/>
      <c r="AF343" s="145"/>
      <c r="AG343" s="187" t="s">
        <v>5178</v>
      </c>
      <c r="AH343" s="145"/>
      <c r="AI343" s="145"/>
      <c r="AJ343" s="146"/>
      <c r="AK343" s="128"/>
      <c r="AL343" s="129"/>
      <c r="AM343" s="129"/>
    </row>
    <row r="344" spans="1:39" ht="42.75">
      <c r="A344" s="137">
        <f>SUBTOTAL(3,$B$3:B344)</f>
        <v>342</v>
      </c>
      <c r="B344" s="121" t="s">
        <v>4393</v>
      </c>
      <c r="C344" s="165" t="s">
        <v>4394</v>
      </c>
      <c r="D344" s="163" t="s">
        <v>4395</v>
      </c>
      <c r="E344" s="129" t="s">
        <v>754</v>
      </c>
      <c r="F344" s="129" t="s">
        <v>2607</v>
      </c>
      <c r="G344" s="129" t="s">
        <v>2345</v>
      </c>
      <c r="H344" s="129" t="s">
        <v>4396</v>
      </c>
      <c r="I344" s="129" t="s">
        <v>40</v>
      </c>
      <c r="J344" s="188">
        <v>35796</v>
      </c>
      <c r="K344" s="129" t="s">
        <v>41</v>
      </c>
      <c r="L344" s="129" t="s">
        <v>42</v>
      </c>
      <c r="M344" s="163" t="s">
        <v>4397</v>
      </c>
      <c r="N344" s="188">
        <v>44914</v>
      </c>
      <c r="O344" s="124" t="s">
        <v>5956</v>
      </c>
      <c r="P344" s="129" t="s">
        <v>2347</v>
      </c>
      <c r="Q344" s="129" t="s">
        <v>3676</v>
      </c>
      <c r="R344" s="163">
        <v>9825561816</v>
      </c>
      <c r="S344" s="124">
        <f>VLOOKUP(B344,'[3]NCL SAL. SHEET'!$A$4:$D$126,4,0)</f>
        <v>28426</v>
      </c>
      <c r="T344" s="144">
        <f>VLOOKUP(B344,[4]NONCLINICAL!$A$4:$B$170,2,0)</f>
        <v>101895222458</v>
      </c>
      <c r="U344" s="145" t="s">
        <v>4398</v>
      </c>
      <c r="V344" s="147" t="str">
        <f>VLOOKUP(B344,[4]NONCLINICAL!$A$4:$C$356,3,0)</f>
        <v>3714637065</v>
      </c>
      <c r="W344" s="145" t="s">
        <v>4399</v>
      </c>
      <c r="X344" s="145" t="s">
        <v>4400</v>
      </c>
      <c r="Y344" s="149" t="s">
        <v>4390</v>
      </c>
      <c r="Z344" s="145" t="s">
        <v>4401</v>
      </c>
      <c r="AA344" s="149" t="s">
        <v>4402</v>
      </c>
      <c r="AB344" s="149" t="s">
        <v>4402</v>
      </c>
      <c r="AC344" s="189" t="s">
        <v>4393</v>
      </c>
      <c r="AD344" s="145"/>
      <c r="AE344" s="145"/>
      <c r="AF344" s="145"/>
      <c r="AG344" s="187" t="s">
        <v>5174</v>
      </c>
      <c r="AH344" s="145"/>
      <c r="AI344" s="145"/>
      <c r="AJ344" s="146"/>
      <c r="AK344" s="128"/>
      <c r="AL344" s="129"/>
      <c r="AM344" s="129"/>
    </row>
    <row r="345" spans="1:39" ht="42.75">
      <c r="A345" s="137">
        <f>SUBTOTAL(3,$B$3:B345)</f>
        <v>343</v>
      </c>
      <c r="B345" s="190" t="s">
        <v>4403</v>
      </c>
      <c r="C345" s="124" t="s">
        <v>4404</v>
      </c>
      <c r="D345" s="163" t="s">
        <v>4405</v>
      </c>
      <c r="E345" s="129" t="s">
        <v>4406</v>
      </c>
      <c r="F345" s="129" t="s">
        <v>4407</v>
      </c>
      <c r="G345" s="129" t="s">
        <v>2345</v>
      </c>
      <c r="H345" s="129" t="s">
        <v>4408</v>
      </c>
      <c r="I345" s="129" t="s">
        <v>40</v>
      </c>
      <c r="J345" s="188">
        <v>37263</v>
      </c>
      <c r="K345" s="129" t="s">
        <v>41</v>
      </c>
      <c r="L345" s="129" t="s">
        <v>42</v>
      </c>
      <c r="M345" s="163" t="s">
        <v>6030</v>
      </c>
      <c r="N345" s="188">
        <v>44911</v>
      </c>
      <c r="O345" s="124" t="s">
        <v>3037</v>
      </c>
      <c r="P345" s="137" t="s">
        <v>3048</v>
      </c>
      <c r="Q345" s="129" t="s">
        <v>3676</v>
      </c>
      <c r="R345" s="163">
        <v>8849949894</v>
      </c>
      <c r="S345" s="124" t="e">
        <f>VLOOKUP(B345,'[2]CL SAL SHEET'!$A$4:$D$57,4,0)</f>
        <v>#N/A</v>
      </c>
      <c r="T345" s="144">
        <f>VLOOKUP(B345,[4]CLINICAL!$A$4:$B$356,2,0)</f>
        <v>101903275116</v>
      </c>
      <c r="U345" s="126" t="s">
        <v>6178</v>
      </c>
      <c r="V345" s="147" t="str">
        <f>VLOOKUP(B345,[4]CLINICAL!$A$4:$C$356,3,0)</f>
        <v>3714637975</v>
      </c>
      <c r="W345" s="145" t="s">
        <v>4409</v>
      </c>
      <c r="X345" s="145" t="s">
        <v>4410</v>
      </c>
      <c r="Y345" s="149" t="s">
        <v>146</v>
      </c>
      <c r="Z345" s="145" t="s">
        <v>2994</v>
      </c>
      <c r="AA345" s="149" t="s">
        <v>4411</v>
      </c>
      <c r="AB345" s="149" t="s">
        <v>4411</v>
      </c>
      <c r="AC345" s="189" t="s">
        <v>4403</v>
      </c>
      <c r="AD345" s="145"/>
      <c r="AE345" s="145"/>
      <c r="AF345" s="145"/>
      <c r="AG345" s="187" t="s">
        <v>5173</v>
      </c>
      <c r="AH345" s="145"/>
      <c r="AI345" s="145"/>
      <c r="AJ345" s="146"/>
      <c r="AK345" s="128"/>
      <c r="AL345" s="129"/>
      <c r="AM345" s="129"/>
    </row>
    <row r="346" spans="1:39" ht="28.5">
      <c r="A346" s="137">
        <f>SUBTOTAL(3,$B$3:B346)</f>
        <v>344</v>
      </c>
      <c r="B346" s="190" t="s">
        <v>4412</v>
      </c>
      <c r="C346" s="124" t="s">
        <v>4413</v>
      </c>
      <c r="D346" s="163" t="s">
        <v>4414</v>
      </c>
      <c r="E346" s="129" t="s">
        <v>136</v>
      </c>
      <c r="F346" s="129" t="s">
        <v>3232</v>
      </c>
      <c r="G346" s="129" t="s">
        <v>2345</v>
      </c>
      <c r="H346" s="129" t="s">
        <v>4415</v>
      </c>
      <c r="I346" s="129" t="s">
        <v>40</v>
      </c>
      <c r="J346" s="188">
        <v>36763</v>
      </c>
      <c r="K346" s="129" t="s">
        <v>41</v>
      </c>
      <c r="L346" s="129" t="s">
        <v>42</v>
      </c>
      <c r="M346" s="163" t="s">
        <v>4416</v>
      </c>
      <c r="N346" s="188">
        <v>44934</v>
      </c>
      <c r="O346" s="163" t="s">
        <v>4417</v>
      </c>
      <c r="P346" s="129" t="s">
        <v>2347</v>
      </c>
      <c r="Q346" s="129" t="s">
        <v>3676</v>
      </c>
      <c r="R346" s="163">
        <v>8141062868</v>
      </c>
      <c r="S346" s="124" t="e">
        <f>VLOOKUP(B346,'[3]NCL SAL. SHEET'!$A$4:$D$126,4,0)</f>
        <v>#N/A</v>
      </c>
      <c r="T346" s="144">
        <f>VLOOKUP(B346,[4]NONCLINICAL!$A$4:$B$170,2,0)</f>
        <v>101909548525</v>
      </c>
      <c r="U346" s="145" t="s">
        <v>4418</v>
      </c>
      <c r="V346" s="145" t="s">
        <v>4706</v>
      </c>
      <c r="W346" s="145" t="s">
        <v>4419</v>
      </c>
      <c r="X346" s="145" t="s">
        <v>4420</v>
      </c>
      <c r="Y346" s="149" t="s">
        <v>146</v>
      </c>
      <c r="Z346" s="145" t="s">
        <v>2352</v>
      </c>
      <c r="AA346" s="149" t="s">
        <v>4421</v>
      </c>
      <c r="AB346" s="149" t="s">
        <v>4421</v>
      </c>
      <c r="AC346" s="189" t="s">
        <v>4412</v>
      </c>
      <c r="AD346" s="145"/>
      <c r="AE346" s="145"/>
      <c r="AF346" s="145"/>
      <c r="AG346" s="187" t="s">
        <v>5177</v>
      </c>
      <c r="AH346" s="145"/>
      <c r="AI346" s="145"/>
      <c r="AJ346" s="146"/>
      <c r="AK346" s="128"/>
      <c r="AL346" s="129"/>
      <c r="AM346" s="129"/>
    </row>
    <row r="347" spans="1:39" ht="28.5">
      <c r="A347" s="137">
        <f>SUBTOTAL(3,$B$3:B347)</f>
        <v>345</v>
      </c>
      <c r="B347" s="190" t="s">
        <v>4422</v>
      </c>
      <c r="C347" s="124" t="s">
        <v>4423</v>
      </c>
      <c r="D347" s="163" t="s">
        <v>4423</v>
      </c>
      <c r="E347" s="129" t="s">
        <v>3242</v>
      </c>
      <c r="F347" s="129" t="s">
        <v>4424</v>
      </c>
      <c r="G347" s="129" t="s">
        <v>2345</v>
      </c>
      <c r="H347" s="129" t="s">
        <v>2506</v>
      </c>
      <c r="I347" s="129" t="s">
        <v>40</v>
      </c>
      <c r="J347" s="188">
        <v>35825</v>
      </c>
      <c r="K347" s="129" t="s">
        <v>41</v>
      </c>
      <c r="L347" s="129" t="s">
        <v>42</v>
      </c>
      <c r="M347" s="163" t="s">
        <v>4016</v>
      </c>
      <c r="N347" s="188">
        <v>44942</v>
      </c>
      <c r="O347" s="124" t="s">
        <v>44</v>
      </c>
      <c r="P347" s="129" t="s">
        <v>2347</v>
      </c>
      <c r="Q347" s="129" t="s">
        <v>3676</v>
      </c>
      <c r="R347" s="163" t="s">
        <v>4425</v>
      </c>
      <c r="S347" s="124" t="e">
        <f>VLOOKUP(B347,'[1]SN Salary Sheet'!$A$4:$D$207,4,0)</f>
        <v>#N/A</v>
      </c>
      <c r="T347" s="144">
        <f>VLOOKUP(B347,[4]CLINICAL!$A$4:$B$356,2,0)</f>
        <v>101416017429</v>
      </c>
      <c r="U347" s="145" t="s">
        <v>4426</v>
      </c>
      <c r="V347" s="145" t="s">
        <v>4717</v>
      </c>
      <c r="W347" s="145" t="s">
        <v>4427</v>
      </c>
      <c r="X347" s="145" t="s">
        <v>4745</v>
      </c>
      <c r="Y347" s="149" t="s">
        <v>146</v>
      </c>
      <c r="Z347" s="145" t="s">
        <v>4428</v>
      </c>
      <c r="AA347" s="149" t="s">
        <v>4429</v>
      </c>
      <c r="AB347" s="149" t="s">
        <v>4429</v>
      </c>
      <c r="AC347" s="189" t="s">
        <v>4422</v>
      </c>
      <c r="AD347" s="145"/>
      <c r="AE347" s="145"/>
      <c r="AF347" s="145"/>
      <c r="AG347" s="189" t="s">
        <v>4812</v>
      </c>
      <c r="AH347" s="145"/>
      <c r="AI347" s="145"/>
      <c r="AJ347" s="146"/>
      <c r="AK347" s="128"/>
      <c r="AL347" s="129"/>
      <c r="AM347" s="129"/>
    </row>
    <row r="348" spans="1:39" ht="28.5">
      <c r="A348" s="137">
        <f>SUBTOTAL(3,$B$3:B348)</f>
        <v>346</v>
      </c>
      <c r="B348" s="190" t="s">
        <v>4430</v>
      </c>
      <c r="C348" s="124" t="s">
        <v>4746</v>
      </c>
      <c r="D348" s="163" t="s">
        <v>4431</v>
      </c>
      <c r="E348" s="129" t="s">
        <v>4432</v>
      </c>
      <c r="F348" s="129" t="s">
        <v>4433</v>
      </c>
      <c r="G348" s="129" t="s">
        <v>2345</v>
      </c>
      <c r="H348" s="129" t="s">
        <v>4434</v>
      </c>
      <c r="I348" s="129" t="s">
        <v>40</v>
      </c>
      <c r="J348" s="188">
        <v>35141</v>
      </c>
      <c r="K348" s="129" t="s">
        <v>41</v>
      </c>
      <c r="L348" s="129" t="s">
        <v>42</v>
      </c>
      <c r="M348" s="163" t="s">
        <v>4016</v>
      </c>
      <c r="N348" s="188">
        <v>44938</v>
      </c>
      <c r="O348" s="124" t="s">
        <v>44</v>
      </c>
      <c r="P348" s="129" t="s">
        <v>2347</v>
      </c>
      <c r="Q348" s="129" t="s">
        <v>3676</v>
      </c>
      <c r="R348" s="163" t="s">
        <v>4435</v>
      </c>
      <c r="S348" s="124" t="e">
        <f>VLOOKUP(B348,'[1]SN Salary Sheet'!$A$4:$D$207,4,0)</f>
        <v>#N/A</v>
      </c>
      <c r="T348" s="144">
        <f>VLOOKUP(B348,[4]CLINICAL!$A$4:$B$356,2,0)</f>
        <v>101250828388</v>
      </c>
      <c r="U348" s="145" t="s">
        <v>4436</v>
      </c>
      <c r="V348" s="145" t="s">
        <v>4719</v>
      </c>
      <c r="W348" s="145" t="s">
        <v>4437</v>
      </c>
      <c r="X348" s="145" t="s">
        <v>4438</v>
      </c>
      <c r="Y348" s="149" t="s">
        <v>65</v>
      </c>
      <c r="Z348" s="149" t="s">
        <v>91</v>
      </c>
      <c r="AA348" s="149" t="s">
        <v>4439</v>
      </c>
      <c r="AB348" s="149" t="s">
        <v>4440</v>
      </c>
      <c r="AC348" s="189" t="s">
        <v>4430</v>
      </c>
      <c r="AD348" s="145"/>
      <c r="AE348" s="145"/>
      <c r="AF348" s="145"/>
      <c r="AG348" s="187" t="s">
        <v>5141</v>
      </c>
      <c r="AH348" s="145"/>
      <c r="AI348" s="145"/>
      <c r="AJ348" s="146"/>
      <c r="AK348" s="128"/>
      <c r="AL348" s="129"/>
      <c r="AM348" s="129"/>
    </row>
    <row r="349" spans="1:39" ht="28.5">
      <c r="A349" s="137">
        <f>SUBTOTAL(3,$B$3:B349)</f>
        <v>347</v>
      </c>
      <c r="B349" s="121" t="s">
        <v>4441</v>
      </c>
      <c r="C349" s="165" t="s">
        <v>4442</v>
      </c>
      <c r="D349" s="163" t="s">
        <v>4442</v>
      </c>
      <c r="E349" s="129" t="s">
        <v>4443</v>
      </c>
      <c r="F349" s="129" t="s">
        <v>4444</v>
      </c>
      <c r="G349" s="129" t="s">
        <v>2389</v>
      </c>
      <c r="H349" s="129" t="s">
        <v>4445</v>
      </c>
      <c r="I349" s="129" t="s">
        <v>40</v>
      </c>
      <c r="J349" s="188">
        <v>36648</v>
      </c>
      <c r="K349" s="129" t="s">
        <v>41</v>
      </c>
      <c r="L349" s="129" t="s">
        <v>42</v>
      </c>
      <c r="M349" s="163" t="s">
        <v>4016</v>
      </c>
      <c r="N349" s="188">
        <v>44938</v>
      </c>
      <c r="O349" s="124" t="s">
        <v>44</v>
      </c>
      <c r="P349" s="129" t="s">
        <v>2347</v>
      </c>
      <c r="Q349" s="129" t="s">
        <v>3676</v>
      </c>
      <c r="R349" s="163">
        <v>9664960830</v>
      </c>
      <c r="S349" s="124">
        <f>VLOOKUP(B349,'[1]SN Salary Sheet'!$A$4:$D$207,4,0)</f>
        <v>28573</v>
      </c>
      <c r="T349" s="144">
        <f>VLOOKUP(B349,[4]CLINICAL!$A$4:$B$356,2,0)</f>
        <v>101804338173</v>
      </c>
      <c r="U349" s="126" t="s">
        <v>6178</v>
      </c>
      <c r="V349" s="145" t="s">
        <v>4716</v>
      </c>
      <c r="W349" s="191" t="s">
        <v>4446</v>
      </c>
      <c r="X349" s="145" t="s">
        <v>4447</v>
      </c>
      <c r="Y349" s="149" t="s">
        <v>65</v>
      </c>
      <c r="Z349" s="145" t="s">
        <v>4448</v>
      </c>
      <c r="AA349" s="149" t="s">
        <v>4449</v>
      </c>
      <c r="AB349" s="149" t="s">
        <v>4449</v>
      </c>
      <c r="AC349" s="189" t="s">
        <v>4441</v>
      </c>
      <c r="AD349" s="145"/>
      <c r="AE349" s="145"/>
      <c r="AF349" s="145"/>
      <c r="AG349" s="187" t="s">
        <v>5140</v>
      </c>
      <c r="AH349" s="145"/>
      <c r="AI349" s="145"/>
      <c r="AJ349" s="146"/>
      <c r="AK349" s="128"/>
      <c r="AL349" s="129"/>
      <c r="AM349" s="129"/>
    </row>
    <row r="350" spans="1:39" ht="28.5">
      <c r="A350" s="137">
        <f>SUBTOTAL(3,$B$3:B350)</f>
        <v>348</v>
      </c>
      <c r="B350" s="190" t="s">
        <v>4450</v>
      </c>
      <c r="C350" s="124" t="s">
        <v>4451</v>
      </c>
      <c r="D350" s="163" t="s">
        <v>4452</v>
      </c>
      <c r="E350" s="129" t="s">
        <v>4453</v>
      </c>
      <c r="F350" s="129" t="s">
        <v>4454</v>
      </c>
      <c r="G350" s="129" t="s">
        <v>2389</v>
      </c>
      <c r="H350" s="129" t="s">
        <v>4455</v>
      </c>
      <c r="I350" s="129" t="s">
        <v>40</v>
      </c>
      <c r="J350" s="188">
        <v>36147</v>
      </c>
      <c r="K350" s="129" t="s">
        <v>41</v>
      </c>
      <c r="L350" s="129" t="s">
        <v>42</v>
      </c>
      <c r="M350" s="163" t="s">
        <v>4016</v>
      </c>
      <c r="N350" s="188">
        <v>44936</v>
      </c>
      <c r="O350" s="124" t="s">
        <v>44</v>
      </c>
      <c r="P350" s="129" t="s">
        <v>2347</v>
      </c>
      <c r="Q350" s="129" t="s">
        <v>3676</v>
      </c>
      <c r="R350" s="163">
        <v>9316264729</v>
      </c>
      <c r="S350" s="124" t="e">
        <f>VLOOKUP(B350,'[1]SN Salary Sheet'!$A$4:$D$207,4,0)</f>
        <v>#N/A</v>
      </c>
      <c r="T350" s="144">
        <f>VLOOKUP(B350,[4]CLINICAL!$A$4:$B$356,2,0)</f>
        <v>101597289596</v>
      </c>
      <c r="U350" s="145" t="s">
        <v>4456</v>
      </c>
      <c r="V350" s="145" t="s">
        <v>4715</v>
      </c>
      <c r="W350" s="145" t="s">
        <v>4457</v>
      </c>
      <c r="X350" s="145" t="s">
        <v>4458</v>
      </c>
      <c r="Y350" s="149" t="s">
        <v>132</v>
      </c>
      <c r="Z350" s="145" t="s">
        <v>4459</v>
      </c>
      <c r="AA350" s="149" t="s">
        <v>4460</v>
      </c>
      <c r="AB350" s="149" t="s">
        <v>4460</v>
      </c>
      <c r="AC350" s="189" t="s">
        <v>4450</v>
      </c>
      <c r="AD350" s="145"/>
      <c r="AE350" s="145"/>
      <c r="AF350" s="145"/>
      <c r="AG350" s="187" t="s">
        <v>5139</v>
      </c>
      <c r="AH350" s="145"/>
      <c r="AI350" s="145"/>
      <c r="AJ350" s="146"/>
      <c r="AK350" s="128"/>
      <c r="AL350" s="129"/>
      <c r="AM350" s="129"/>
    </row>
    <row r="351" spans="1:39" ht="28.5">
      <c r="A351" s="137">
        <f>SUBTOTAL(3,$B$3:B351)</f>
        <v>349</v>
      </c>
      <c r="B351" s="121" t="s">
        <v>4461</v>
      </c>
      <c r="C351" s="165" t="s">
        <v>4462</v>
      </c>
      <c r="D351" s="163" t="s">
        <v>4463</v>
      </c>
      <c r="E351" s="129" t="s">
        <v>4464</v>
      </c>
      <c r="F351" s="129" t="s">
        <v>4465</v>
      </c>
      <c r="G351" s="129" t="s">
        <v>2345</v>
      </c>
      <c r="H351" s="129" t="s">
        <v>479</v>
      </c>
      <c r="I351" s="129" t="s">
        <v>40</v>
      </c>
      <c r="J351" s="188">
        <v>36618</v>
      </c>
      <c r="K351" s="129" t="s">
        <v>41</v>
      </c>
      <c r="L351" s="129" t="s">
        <v>42</v>
      </c>
      <c r="M351" s="163" t="s">
        <v>1405</v>
      </c>
      <c r="N351" s="188">
        <v>44915</v>
      </c>
      <c r="O351" s="163" t="s">
        <v>2991</v>
      </c>
      <c r="P351" s="129" t="s">
        <v>2347</v>
      </c>
      <c r="Q351" s="129" t="s">
        <v>3676</v>
      </c>
      <c r="R351" s="163">
        <v>9512625801</v>
      </c>
      <c r="S351" s="124">
        <f>VLOOKUP(B351,'[3]NCL SAL. SHEET'!$A$4:$D$126,4,0)</f>
        <v>28427</v>
      </c>
      <c r="T351" s="144">
        <f>VLOOKUP(B351,[4]NONCLINICAL!$A$4:$B$170,2,0)</f>
        <v>101664714166</v>
      </c>
      <c r="U351" s="126" t="s">
        <v>6178</v>
      </c>
      <c r="V351" s="147" t="str">
        <f>VLOOKUP(B351,[4]NONCLINICAL!$A$4:$C$356,3,0)</f>
        <v>3714637050</v>
      </c>
      <c r="W351" s="145" t="s">
        <v>4466</v>
      </c>
      <c r="X351" s="145" t="s">
        <v>4467</v>
      </c>
      <c r="Y351" s="149" t="s">
        <v>146</v>
      </c>
      <c r="Z351" s="145" t="s">
        <v>2352</v>
      </c>
      <c r="AA351" s="149" t="s">
        <v>4468</v>
      </c>
      <c r="AB351" s="149" t="s">
        <v>4468</v>
      </c>
      <c r="AC351" s="189" t="s">
        <v>4461</v>
      </c>
      <c r="AD351" s="145"/>
      <c r="AE351" s="145"/>
      <c r="AF351" s="145"/>
      <c r="AG351" s="187" t="s">
        <v>5133</v>
      </c>
      <c r="AH351" s="145"/>
      <c r="AI351" s="145"/>
      <c r="AJ351" s="146"/>
      <c r="AK351" s="128"/>
      <c r="AL351" s="129"/>
      <c r="AM351" s="129"/>
    </row>
    <row r="352" spans="1:39" ht="42.75">
      <c r="A352" s="137">
        <f>SUBTOTAL(3,$B$3:B352)</f>
        <v>350</v>
      </c>
      <c r="B352" s="121" t="s">
        <v>4810</v>
      </c>
      <c r="C352" s="165" t="s">
        <v>4469</v>
      </c>
      <c r="D352" s="163" t="s">
        <v>4469</v>
      </c>
      <c r="E352" s="129" t="s">
        <v>1308</v>
      </c>
      <c r="F352" s="129" t="s">
        <v>4470</v>
      </c>
      <c r="G352" s="129" t="s">
        <v>2389</v>
      </c>
      <c r="H352" s="129" t="s">
        <v>1781</v>
      </c>
      <c r="I352" s="129" t="s">
        <v>40</v>
      </c>
      <c r="J352" s="188">
        <v>32385</v>
      </c>
      <c r="K352" s="129" t="s">
        <v>280</v>
      </c>
      <c r="L352" s="129" t="s">
        <v>42</v>
      </c>
      <c r="M352" s="163" t="s">
        <v>4471</v>
      </c>
      <c r="N352" s="188">
        <v>44869</v>
      </c>
      <c r="O352" s="163" t="s">
        <v>2991</v>
      </c>
      <c r="P352" s="129" t="s">
        <v>2347</v>
      </c>
      <c r="Q352" s="129" t="s">
        <v>3676</v>
      </c>
      <c r="R352" s="163">
        <v>8511084788</v>
      </c>
      <c r="S352" s="124">
        <f>VLOOKUP(B352,'[3]NCL SAL. SHEET'!$A$4:$D$126,4,0)</f>
        <v>28213</v>
      </c>
      <c r="T352" s="144">
        <f>VLOOKUP(B352,[4]NONCLINICAL!$A$4:$B$170,2,0)</f>
        <v>101810558345</v>
      </c>
      <c r="U352" s="145" t="s">
        <v>4472</v>
      </c>
      <c r="V352" s="149" t="s">
        <v>7656</v>
      </c>
      <c r="W352" s="145" t="s">
        <v>4473</v>
      </c>
      <c r="X352" s="145" t="s">
        <v>4474</v>
      </c>
      <c r="Y352" s="149" t="s">
        <v>65</v>
      </c>
      <c r="Z352" s="145" t="s">
        <v>4475</v>
      </c>
      <c r="AA352" s="149" t="s">
        <v>4476</v>
      </c>
      <c r="AB352" s="149" t="s">
        <v>4477</v>
      </c>
      <c r="AC352" s="189" t="s">
        <v>4810</v>
      </c>
      <c r="AD352" s="145"/>
      <c r="AE352" s="145"/>
      <c r="AF352" s="145"/>
      <c r="AG352" s="187" t="s">
        <v>5235</v>
      </c>
      <c r="AH352" s="145"/>
      <c r="AI352" s="145"/>
      <c r="AJ352" s="146"/>
      <c r="AK352" s="128"/>
      <c r="AL352" s="129"/>
      <c r="AM352" s="129"/>
    </row>
    <row r="353" spans="1:39" ht="28.5">
      <c r="A353" s="137">
        <f>SUBTOTAL(3,$B$3:B353)</f>
        <v>351</v>
      </c>
      <c r="B353" s="190" t="s">
        <v>4478</v>
      </c>
      <c r="C353" s="124" t="s">
        <v>4479</v>
      </c>
      <c r="D353" s="163" t="s">
        <v>4480</v>
      </c>
      <c r="E353" s="129" t="s">
        <v>4481</v>
      </c>
      <c r="F353" s="129" t="s">
        <v>4482</v>
      </c>
      <c r="G353" s="129" t="s">
        <v>2389</v>
      </c>
      <c r="H353" s="129" t="s">
        <v>1899</v>
      </c>
      <c r="I353" s="129" t="s">
        <v>40</v>
      </c>
      <c r="J353" s="188">
        <v>36725</v>
      </c>
      <c r="K353" s="129" t="s">
        <v>41</v>
      </c>
      <c r="L353" s="129" t="s">
        <v>42</v>
      </c>
      <c r="M353" s="163" t="s">
        <v>1405</v>
      </c>
      <c r="N353" s="188">
        <v>44916</v>
      </c>
      <c r="O353" s="163" t="s">
        <v>2991</v>
      </c>
      <c r="P353" s="129" t="s">
        <v>2347</v>
      </c>
      <c r="Q353" s="129" t="s">
        <v>3676</v>
      </c>
      <c r="R353" s="163">
        <v>9099587488</v>
      </c>
      <c r="S353" s="124" t="e">
        <f>VLOOKUP(B353,'[3]NCL SAL. SHEET'!$A$4:$D$126,4,0)</f>
        <v>#N/A</v>
      </c>
      <c r="T353" s="144">
        <f>VLOOKUP(B353,[4]NONCLINICAL!$A$4:$B$170,2,0)</f>
        <v>101560523692</v>
      </c>
      <c r="U353" s="145" t="s">
        <v>4483</v>
      </c>
      <c r="V353" s="144">
        <f>VLOOKUP(B353,[4]NONCLINICAL!$A$4:$C$356,3,0)</f>
        <v>3714637059</v>
      </c>
      <c r="W353" s="145" t="s">
        <v>4484</v>
      </c>
      <c r="X353" s="145" t="s">
        <v>4485</v>
      </c>
      <c r="Y353" s="149" t="s">
        <v>65</v>
      </c>
      <c r="Z353" s="145" t="s">
        <v>1453</v>
      </c>
      <c r="AA353" s="149" t="s">
        <v>4486</v>
      </c>
      <c r="AB353" s="149" t="s">
        <v>4486</v>
      </c>
      <c r="AC353" s="189" t="s">
        <v>4478</v>
      </c>
      <c r="AD353" s="145"/>
      <c r="AE353" s="145"/>
      <c r="AF353" s="145"/>
      <c r="AG353" s="187" t="s">
        <v>5134</v>
      </c>
      <c r="AH353" s="145"/>
      <c r="AI353" s="145"/>
      <c r="AJ353" s="146"/>
      <c r="AK353" s="128"/>
      <c r="AL353" s="129"/>
      <c r="AM353" s="129"/>
    </row>
    <row r="354" spans="1:39" ht="28.5">
      <c r="A354" s="137">
        <f>SUBTOTAL(3,$B$3:B354)</f>
        <v>352</v>
      </c>
      <c r="B354" s="190" t="s">
        <v>4487</v>
      </c>
      <c r="C354" s="124" t="s">
        <v>4488</v>
      </c>
      <c r="D354" s="163" t="s">
        <v>4489</v>
      </c>
      <c r="E354" s="129" t="s">
        <v>4490</v>
      </c>
      <c r="F354" s="129" t="s">
        <v>4491</v>
      </c>
      <c r="G354" s="129" t="s">
        <v>2345</v>
      </c>
      <c r="H354" s="129" t="s">
        <v>4492</v>
      </c>
      <c r="I354" s="129" t="s">
        <v>40</v>
      </c>
      <c r="J354" s="188">
        <v>37014</v>
      </c>
      <c r="K354" s="129" t="s">
        <v>41</v>
      </c>
      <c r="L354" s="129" t="s">
        <v>42</v>
      </c>
      <c r="M354" s="163" t="s">
        <v>4016</v>
      </c>
      <c r="N354" s="129" t="s">
        <v>4812</v>
      </c>
      <c r="O354" s="124" t="s">
        <v>44</v>
      </c>
      <c r="P354" s="129" t="s">
        <v>2347</v>
      </c>
      <c r="Q354" s="129" t="s">
        <v>3676</v>
      </c>
      <c r="R354" s="163">
        <v>6351855156</v>
      </c>
      <c r="S354" s="124" t="e">
        <f>VLOOKUP(B354,'[1]SN Salary Sheet'!$A$4:$D$207,4,0)</f>
        <v>#N/A</v>
      </c>
      <c r="T354" s="144">
        <f>VLOOKUP(B354,[4]CLINICAL!$A$4:$B$356,2,0)</f>
        <v>0</v>
      </c>
      <c r="U354" s="145" t="s">
        <v>4493</v>
      </c>
      <c r="V354" s="144">
        <f>VLOOKUP(B354,[4]CLINICAL!$A$4:$C$356,3,0)</f>
        <v>0</v>
      </c>
      <c r="W354" s="145" t="s">
        <v>4494</v>
      </c>
      <c r="X354" s="145" t="s">
        <v>4495</v>
      </c>
      <c r="Y354" s="149" t="s">
        <v>132</v>
      </c>
      <c r="Z354" s="145" t="s">
        <v>4496</v>
      </c>
      <c r="AA354" s="149" t="s">
        <v>4497</v>
      </c>
      <c r="AB354" s="149" t="s">
        <v>4497</v>
      </c>
      <c r="AC354" s="189" t="s">
        <v>4487</v>
      </c>
      <c r="AD354" s="145"/>
      <c r="AE354" s="145"/>
      <c r="AF354" s="145"/>
      <c r="AG354" s="187" t="s">
        <v>5114</v>
      </c>
      <c r="AH354" s="145"/>
      <c r="AI354" s="145"/>
      <c r="AJ354" s="146"/>
      <c r="AK354" s="128"/>
      <c r="AL354" s="129"/>
      <c r="AM354" s="129"/>
    </row>
    <row r="355" spans="1:39" ht="28.5">
      <c r="A355" s="137">
        <f>SUBTOTAL(3,$B$3:B355)</f>
        <v>353</v>
      </c>
      <c r="B355" s="190" t="s">
        <v>4498</v>
      </c>
      <c r="C355" s="184" t="s">
        <v>4499</v>
      </c>
      <c r="D355" s="163" t="s">
        <v>4500</v>
      </c>
      <c r="E355" s="129" t="s">
        <v>4501</v>
      </c>
      <c r="F355" s="129" t="s">
        <v>4502</v>
      </c>
      <c r="G355" s="129" t="s">
        <v>2345</v>
      </c>
      <c r="H355" s="129" t="s">
        <v>1780</v>
      </c>
      <c r="I355" s="129" t="s">
        <v>702</v>
      </c>
      <c r="J355" s="188">
        <v>35867</v>
      </c>
      <c r="K355" s="129" t="s">
        <v>280</v>
      </c>
      <c r="L355" s="129" t="s">
        <v>42</v>
      </c>
      <c r="M355" s="163" t="s">
        <v>4016</v>
      </c>
      <c r="N355" s="188">
        <v>44866</v>
      </c>
      <c r="O355" s="124" t="s">
        <v>44</v>
      </c>
      <c r="P355" s="129" t="s">
        <v>2347</v>
      </c>
      <c r="Q355" s="129" t="s">
        <v>3676</v>
      </c>
      <c r="R355" s="163">
        <v>9099902797</v>
      </c>
      <c r="S355" s="124" t="e">
        <f>VLOOKUP(B355,'[1]SN Salary Sheet'!$A$4:$D$207,4,0)</f>
        <v>#N/A</v>
      </c>
      <c r="T355" s="144" t="s">
        <v>5942</v>
      </c>
      <c r="U355" s="145" t="s">
        <v>4503</v>
      </c>
      <c r="V355" s="144">
        <v>3714194831</v>
      </c>
      <c r="W355" s="145" t="s">
        <v>4504</v>
      </c>
      <c r="X355" s="145" t="s">
        <v>4505</v>
      </c>
      <c r="Y355" s="149" t="s">
        <v>65</v>
      </c>
      <c r="Z355" s="145" t="s">
        <v>352</v>
      </c>
      <c r="AA355" s="149" t="s">
        <v>4506</v>
      </c>
      <c r="AB355" s="149" t="s">
        <v>4506</v>
      </c>
      <c r="AC355" s="189" t="s">
        <v>4498</v>
      </c>
      <c r="AD355" s="145"/>
      <c r="AE355" s="145"/>
      <c r="AF355" s="145"/>
      <c r="AG355" s="187" t="s">
        <v>5107</v>
      </c>
      <c r="AH355" s="145"/>
      <c r="AI355" s="145"/>
      <c r="AJ355" s="146"/>
      <c r="AK355" s="128"/>
      <c r="AL355" s="129"/>
      <c r="AM355" s="129"/>
    </row>
    <row r="356" spans="1:39" ht="28.5">
      <c r="A356" s="137">
        <f>SUBTOTAL(3,$B$3:B356)</f>
        <v>354</v>
      </c>
      <c r="B356" s="190" t="s">
        <v>4507</v>
      </c>
      <c r="C356" s="124" t="s">
        <v>4508</v>
      </c>
      <c r="D356" s="163" t="s">
        <v>4509</v>
      </c>
      <c r="E356" s="129" t="s">
        <v>136</v>
      </c>
      <c r="F356" s="129" t="s">
        <v>4510</v>
      </c>
      <c r="G356" s="129" t="s">
        <v>2389</v>
      </c>
      <c r="H356" s="129" t="s">
        <v>4511</v>
      </c>
      <c r="I356" s="129" t="s">
        <v>40</v>
      </c>
      <c r="J356" s="188">
        <v>37091</v>
      </c>
      <c r="K356" s="129" t="s">
        <v>41</v>
      </c>
      <c r="L356" s="129" t="s">
        <v>42</v>
      </c>
      <c r="M356" s="163" t="s">
        <v>4016</v>
      </c>
      <c r="N356" s="188">
        <v>44911</v>
      </c>
      <c r="O356" s="124" t="s">
        <v>44</v>
      </c>
      <c r="P356" s="129" t="s">
        <v>2347</v>
      </c>
      <c r="Q356" s="129" t="s">
        <v>3676</v>
      </c>
      <c r="R356" s="163">
        <v>7434963528</v>
      </c>
      <c r="S356" s="124" t="e">
        <f>VLOOKUP(B356,'[1]SN Salary Sheet'!$A$4:$D$207,4,0)</f>
        <v>#N/A</v>
      </c>
      <c r="T356" s="144">
        <v>101903213673</v>
      </c>
      <c r="U356" s="145" t="s">
        <v>4512</v>
      </c>
      <c r="V356" s="147" t="s">
        <v>5947</v>
      </c>
      <c r="W356" s="145" t="s">
        <v>4513</v>
      </c>
      <c r="X356" s="145" t="s">
        <v>4514</v>
      </c>
      <c r="Y356" s="149" t="s">
        <v>65</v>
      </c>
      <c r="Z356" s="145" t="s">
        <v>4515</v>
      </c>
      <c r="AA356" s="149" t="s">
        <v>4516</v>
      </c>
      <c r="AB356" s="149" t="s">
        <v>4516</v>
      </c>
      <c r="AC356" s="189" t="s">
        <v>4507</v>
      </c>
      <c r="AD356" s="145"/>
      <c r="AE356" s="145"/>
      <c r="AF356" s="145"/>
      <c r="AG356" s="187" t="s">
        <v>5132</v>
      </c>
      <c r="AH356" s="145"/>
      <c r="AI356" s="145"/>
      <c r="AJ356" s="146"/>
      <c r="AK356" s="128"/>
      <c r="AL356" s="129"/>
      <c r="AM356" s="129"/>
    </row>
    <row r="357" spans="1:39" ht="28.5">
      <c r="A357" s="137">
        <f>SUBTOTAL(3,$B$3:B357)</f>
        <v>355</v>
      </c>
      <c r="B357" s="190" t="s">
        <v>4517</v>
      </c>
      <c r="C357" s="124" t="s">
        <v>4518</v>
      </c>
      <c r="D357" s="163" t="s">
        <v>4519</v>
      </c>
      <c r="E357" s="129" t="s">
        <v>754</v>
      </c>
      <c r="F357" s="129" t="s">
        <v>4520</v>
      </c>
      <c r="G357" s="129" t="s">
        <v>2345</v>
      </c>
      <c r="H357" s="129" t="s">
        <v>190</v>
      </c>
      <c r="I357" s="129" t="s">
        <v>40</v>
      </c>
      <c r="J357" s="188">
        <v>35651</v>
      </c>
      <c r="K357" s="129" t="s">
        <v>280</v>
      </c>
      <c r="L357" s="129" t="s">
        <v>42</v>
      </c>
      <c r="M357" s="163" t="s">
        <v>4016</v>
      </c>
      <c r="N357" s="188">
        <v>44911</v>
      </c>
      <c r="O357" s="124" t="s">
        <v>44</v>
      </c>
      <c r="P357" s="129" t="s">
        <v>2347</v>
      </c>
      <c r="Q357" s="129" t="s">
        <v>3676</v>
      </c>
      <c r="R357" s="163">
        <v>8200840610</v>
      </c>
      <c r="S357" s="124" t="e">
        <f>VLOOKUP(B357,'[1]SN Salary Sheet'!$A$4:$D$207,4,0)</f>
        <v>#N/A</v>
      </c>
      <c r="T357" s="144">
        <f>VLOOKUP(B357,[4]CLINICAL!$A$4:$B$356,2,0)</f>
        <v>101903213660</v>
      </c>
      <c r="U357" s="145" t="s">
        <v>4521</v>
      </c>
      <c r="V357" s="147" t="str">
        <f>VLOOKUP(B357,[4]CLINICAL!$A$4:$C$356,3,0)</f>
        <v>3714638250</v>
      </c>
      <c r="W357" s="145" t="s">
        <v>4522</v>
      </c>
      <c r="X357" s="145" t="s">
        <v>4523</v>
      </c>
      <c r="Y357" s="149" t="s">
        <v>4524</v>
      </c>
      <c r="Z357" s="145" t="s">
        <v>4525</v>
      </c>
      <c r="AA357" s="149" t="s">
        <v>4526</v>
      </c>
      <c r="AB357" s="149" t="s">
        <v>4526</v>
      </c>
      <c r="AC357" s="189" t="s">
        <v>4517</v>
      </c>
      <c r="AD357" s="145"/>
      <c r="AE357" s="145"/>
      <c r="AF357" s="145"/>
      <c r="AG357" s="187" t="s">
        <v>5128</v>
      </c>
      <c r="AH357" s="145"/>
      <c r="AI357" s="145"/>
      <c r="AJ357" s="146"/>
      <c r="AK357" s="128"/>
      <c r="AL357" s="129"/>
      <c r="AM357" s="129"/>
    </row>
    <row r="358" spans="1:39" ht="28.5">
      <c r="A358" s="137">
        <f>SUBTOTAL(3,$B$3:B358)</f>
        <v>356</v>
      </c>
      <c r="B358" s="190" t="s">
        <v>4527</v>
      </c>
      <c r="C358" s="124" t="s">
        <v>4528</v>
      </c>
      <c r="D358" s="163" t="s">
        <v>4528</v>
      </c>
      <c r="E358" s="129" t="s">
        <v>2720</v>
      </c>
      <c r="F358" s="129" t="s">
        <v>4529</v>
      </c>
      <c r="G358" s="129" t="s">
        <v>2345</v>
      </c>
      <c r="H358" s="129" t="s">
        <v>4530</v>
      </c>
      <c r="I358" s="129" t="s">
        <v>40</v>
      </c>
      <c r="J358" s="188">
        <v>37118</v>
      </c>
      <c r="K358" s="129" t="s">
        <v>41</v>
      </c>
      <c r="L358" s="129" t="s">
        <v>42</v>
      </c>
      <c r="M358" s="163" t="s">
        <v>4016</v>
      </c>
      <c r="N358" s="188">
        <v>44907</v>
      </c>
      <c r="O358" s="124" t="s">
        <v>44</v>
      </c>
      <c r="P358" s="129" t="s">
        <v>2347</v>
      </c>
      <c r="Q358" s="129" t="s">
        <v>3676</v>
      </c>
      <c r="R358" s="163">
        <v>9316819029</v>
      </c>
      <c r="S358" s="124" t="e">
        <f>VLOOKUP(B358,'[1]SN Salary Sheet'!$A$4:$D$207,4,0)</f>
        <v>#N/A</v>
      </c>
      <c r="T358" s="144">
        <f>VLOOKUP(B358,[4]CLINICAL!$A$4:$B$356,2,0)</f>
        <v>101829176803</v>
      </c>
      <c r="U358" s="126" t="s">
        <v>6178</v>
      </c>
      <c r="V358" s="147" t="str">
        <f>VLOOKUP(B358,[4]CLINICAL!$A$4:$C$356,3,0)</f>
        <v>3714638216</v>
      </c>
      <c r="W358" s="145" t="s">
        <v>4531</v>
      </c>
      <c r="X358" s="145" t="s">
        <v>4532</v>
      </c>
      <c r="Y358" s="149" t="s">
        <v>65</v>
      </c>
      <c r="Z358" s="145" t="s">
        <v>5952</v>
      </c>
      <c r="AA358" s="149" t="s">
        <v>4533</v>
      </c>
      <c r="AB358" s="149" t="s">
        <v>4533</v>
      </c>
      <c r="AC358" s="189" t="s">
        <v>4527</v>
      </c>
      <c r="AD358" s="145"/>
      <c r="AE358" s="145"/>
      <c r="AF358" s="145"/>
      <c r="AG358" s="187" t="s">
        <v>5124</v>
      </c>
      <c r="AH358" s="145"/>
      <c r="AI358" s="145"/>
      <c r="AJ358" s="146"/>
      <c r="AK358" s="128"/>
      <c r="AL358" s="129"/>
      <c r="AM358" s="129"/>
    </row>
    <row r="359" spans="1:39" ht="28.5">
      <c r="A359" s="137">
        <f>SUBTOTAL(3,$B$3:B359)</f>
        <v>357</v>
      </c>
      <c r="B359" s="121" t="s">
        <v>4534</v>
      </c>
      <c r="C359" s="165" t="s">
        <v>4535</v>
      </c>
      <c r="D359" s="163" t="s">
        <v>4536</v>
      </c>
      <c r="E359" s="129" t="s">
        <v>1028</v>
      </c>
      <c r="F359" s="129" t="s">
        <v>4537</v>
      </c>
      <c r="G359" s="129" t="s">
        <v>2345</v>
      </c>
      <c r="H359" s="129" t="s">
        <v>694</v>
      </c>
      <c r="I359" s="129" t="s">
        <v>40</v>
      </c>
      <c r="J359" s="188">
        <v>37021</v>
      </c>
      <c r="K359" s="129" t="s">
        <v>41</v>
      </c>
      <c r="L359" s="129" t="s">
        <v>42</v>
      </c>
      <c r="M359" s="163" t="s">
        <v>4016</v>
      </c>
      <c r="N359" s="188">
        <v>44907</v>
      </c>
      <c r="O359" s="124" t="s">
        <v>44</v>
      </c>
      <c r="P359" s="129" t="s">
        <v>2347</v>
      </c>
      <c r="Q359" s="129" t="s">
        <v>3676</v>
      </c>
      <c r="R359" s="163">
        <v>9712646371</v>
      </c>
      <c r="S359" s="124">
        <f>VLOOKUP(B359,'[1]SN Salary Sheet'!$A$4:$D$207,4,0)</f>
        <v>28441</v>
      </c>
      <c r="T359" s="144">
        <f>VLOOKUP(B359,[4]CLINICAL!$A$4:$B$356,2,0)</f>
        <v>101903229837</v>
      </c>
      <c r="U359" s="126" t="s">
        <v>6178</v>
      </c>
      <c r="V359" s="147" t="str">
        <f>VLOOKUP(B359,[4]CLINICAL!$A$4:$C$356,3,0)</f>
        <v>3714638171</v>
      </c>
      <c r="W359" s="145" t="s">
        <v>6490</v>
      </c>
      <c r="X359" s="145" t="s">
        <v>4538</v>
      </c>
      <c r="Y359" s="149" t="s">
        <v>65</v>
      </c>
      <c r="Z359" s="145" t="s">
        <v>2553</v>
      </c>
      <c r="AA359" s="149" t="s">
        <v>4539</v>
      </c>
      <c r="AB359" s="149" t="s">
        <v>4539</v>
      </c>
      <c r="AC359" s="189" t="s">
        <v>4534</v>
      </c>
      <c r="AD359" s="145"/>
      <c r="AE359" s="145"/>
      <c r="AF359" s="145"/>
      <c r="AG359" s="187" t="s">
        <v>5125</v>
      </c>
      <c r="AH359" s="145"/>
      <c r="AI359" s="145"/>
      <c r="AJ359" s="146"/>
      <c r="AK359" s="128"/>
      <c r="AL359" s="129"/>
      <c r="AM359" s="129"/>
    </row>
    <row r="360" spans="1:39" ht="28.5">
      <c r="A360" s="137">
        <f>SUBTOTAL(3,$B$3:B360)</f>
        <v>358</v>
      </c>
      <c r="B360" s="121" t="s">
        <v>4540</v>
      </c>
      <c r="C360" s="165" t="s">
        <v>4541</v>
      </c>
      <c r="D360" s="163" t="s">
        <v>4541</v>
      </c>
      <c r="E360" s="129" t="s">
        <v>2782</v>
      </c>
      <c r="F360" s="129" t="s">
        <v>4542</v>
      </c>
      <c r="G360" s="129" t="s">
        <v>2345</v>
      </c>
      <c r="H360" s="129" t="s">
        <v>4543</v>
      </c>
      <c r="I360" s="129" t="s">
        <v>40</v>
      </c>
      <c r="J360" s="188">
        <v>36312</v>
      </c>
      <c r="K360" s="129" t="s">
        <v>41</v>
      </c>
      <c r="L360" s="129" t="s">
        <v>42</v>
      </c>
      <c r="M360" s="163" t="s">
        <v>4016</v>
      </c>
      <c r="N360" s="188">
        <v>44907</v>
      </c>
      <c r="O360" s="124" t="s">
        <v>44</v>
      </c>
      <c r="P360" s="129" t="s">
        <v>2347</v>
      </c>
      <c r="Q360" s="129" t="s">
        <v>3676</v>
      </c>
      <c r="R360" s="163">
        <v>9016220674</v>
      </c>
      <c r="S360" s="124">
        <f>VLOOKUP(B360,'[1]SN Salary Sheet'!$A$4:$D$207,4,0)</f>
        <v>28440</v>
      </c>
      <c r="T360" s="144">
        <f>VLOOKUP(B360,[4]CLINICAL!$A$4:$B$356,2,0)</f>
        <v>101650449964</v>
      </c>
      <c r="U360" s="145" t="s">
        <v>4544</v>
      </c>
      <c r="V360" s="147" t="str">
        <f>VLOOKUP(B360,[4]CLINICAL!$A$4:$C$356,3,0)</f>
        <v>3714638142</v>
      </c>
      <c r="W360" s="145" t="s">
        <v>4545</v>
      </c>
      <c r="X360" s="145" t="s">
        <v>4546</v>
      </c>
      <c r="Y360" s="149" t="s">
        <v>65</v>
      </c>
      <c r="Z360" s="145" t="s">
        <v>4547</v>
      </c>
      <c r="AA360" s="149" t="s">
        <v>4548</v>
      </c>
      <c r="AB360" s="149" t="s">
        <v>4548</v>
      </c>
      <c r="AC360" s="189" t="s">
        <v>4540</v>
      </c>
      <c r="AD360" s="145"/>
      <c r="AE360" s="145"/>
      <c r="AF360" s="145"/>
      <c r="AG360" s="187" t="s">
        <v>5126</v>
      </c>
      <c r="AH360" s="145"/>
      <c r="AI360" s="145"/>
      <c r="AJ360" s="146"/>
      <c r="AK360" s="128"/>
      <c r="AL360" s="129"/>
      <c r="AM360" s="129"/>
    </row>
    <row r="361" spans="1:39" ht="28.5">
      <c r="A361" s="137">
        <f>SUBTOTAL(3,$B$3:B361)</f>
        <v>359</v>
      </c>
      <c r="B361" s="121" t="s">
        <v>4549</v>
      </c>
      <c r="C361" s="165" t="s">
        <v>4550</v>
      </c>
      <c r="D361" s="163" t="s">
        <v>4550</v>
      </c>
      <c r="E361" s="129" t="s">
        <v>4551</v>
      </c>
      <c r="F361" s="129" t="s">
        <v>4552</v>
      </c>
      <c r="G361" s="129" t="s">
        <v>2389</v>
      </c>
      <c r="H361" s="129" t="s">
        <v>4553</v>
      </c>
      <c r="I361" s="129" t="s">
        <v>40</v>
      </c>
      <c r="J361" s="188">
        <v>36241</v>
      </c>
      <c r="K361" s="129" t="s">
        <v>41</v>
      </c>
      <c r="L361" s="129" t="s">
        <v>42</v>
      </c>
      <c r="M361" s="163" t="s">
        <v>4016</v>
      </c>
      <c r="N361" s="188">
        <v>44911</v>
      </c>
      <c r="O361" s="124" t="s">
        <v>44</v>
      </c>
      <c r="P361" s="129" t="s">
        <v>2347</v>
      </c>
      <c r="Q361" s="129" t="s">
        <v>3676</v>
      </c>
      <c r="R361" s="163">
        <v>6354146110</v>
      </c>
      <c r="S361" s="124">
        <f>VLOOKUP(B361,'[1]SN Salary Sheet'!$A$4:$D$207,4,0)</f>
        <v>28432</v>
      </c>
      <c r="T361" s="144">
        <f>VLOOKUP(B361,[4]CLINICAL!$A$4:$B$356,2,0)</f>
        <v>101843640203</v>
      </c>
      <c r="U361" s="145" t="s">
        <v>4554</v>
      </c>
      <c r="V361" s="147" t="str">
        <f>VLOOKUP(B361,[4]CLINICAL!$A$4:$C$356,3,0)</f>
        <v>3714385625</v>
      </c>
      <c r="W361" s="145" t="s">
        <v>4555</v>
      </c>
      <c r="X361" s="145" t="s">
        <v>4556</v>
      </c>
      <c r="Y361" s="149" t="s">
        <v>65</v>
      </c>
      <c r="Z361" s="145" t="s">
        <v>4557</v>
      </c>
      <c r="AA361" s="149" t="s">
        <v>4558</v>
      </c>
      <c r="AB361" s="149" t="s">
        <v>4559</v>
      </c>
      <c r="AC361" s="189" t="s">
        <v>4549</v>
      </c>
      <c r="AD361" s="145"/>
      <c r="AE361" s="145"/>
      <c r="AF361" s="145"/>
      <c r="AG361" s="187" t="s">
        <v>5130</v>
      </c>
      <c r="AH361" s="145"/>
      <c r="AI361" s="145"/>
      <c r="AJ361" s="146"/>
      <c r="AK361" s="128"/>
      <c r="AL361" s="129"/>
      <c r="AM361" s="129"/>
    </row>
    <row r="362" spans="1:39" ht="28.5">
      <c r="A362" s="137">
        <f>SUBTOTAL(3,$B$3:B362)</f>
        <v>360</v>
      </c>
      <c r="B362" s="121" t="s">
        <v>4560</v>
      </c>
      <c r="C362" s="165" t="s">
        <v>4561</v>
      </c>
      <c r="D362" s="163" t="s">
        <v>4562</v>
      </c>
      <c r="E362" s="129" t="s">
        <v>4563</v>
      </c>
      <c r="F362" s="129" t="s">
        <v>4564</v>
      </c>
      <c r="G362" s="129" t="s">
        <v>2389</v>
      </c>
      <c r="H362" s="129" t="s">
        <v>4273</v>
      </c>
      <c r="I362" s="129" t="s">
        <v>40</v>
      </c>
      <c r="J362" s="188">
        <v>36416</v>
      </c>
      <c r="K362" s="129" t="s">
        <v>41</v>
      </c>
      <c r="L362" s="129" t="s">
        <v>42</v>
      </c>
      <c r="M362" s="163" t="s">
        <v>4312</v>
      </c>
      <c r="N362" s="188">
        <v>44911</v>
      </c>
      <c r="O362" s="124" t="s">
        <v>44</v>
      </c>
      <c r="P362" s="129" t="s">
        <v>2347</v>
      </c>
      <c r="Q362" s="129" t="s">
        <v>3676</v>
      </c>
      <c r="R362" s="163" t="s">
        <v>4565</v>
      </c>
      <c r="S362" s="124">
        <f>VLOOKUP(B362,'[1]SN Salary Sheet'!$A$4:$D$207,4,0)</f>
        <v>28436</v>
      </c>
      <c r="T362" s="144">
        <f>VLOOKUP(B362,[4]CLINICAL!$A$4:$B$356,2,0)</f>
        <v>101320500467</v>
      </c>
      <c r="U362" s="145" t="s">
        <v>4566</v>
      </c>
      <c r="V362" s="147" t="str">
        <f>VLOOKUP(B362,[4]CLINICAL!$A$4:$C$356,3,0)</f>
        <v>3714638309</v>
      </c>
      <c r="W362" s="145" t="s">
        <v>4567</v>
      </c>
      <c r="X362" s="145" t="s">
        <v>4568</v>
      </c>
      <c r="Y362" s="149" t="s">
        <v>65</v>
      </c>
      <c r="Z362" s="145" t="s">
        <v>398</v>
      </c>
      <c r="AA362" s="149" t="s">
        <v>4569</v>
      </c>
      <c r="AB362" s="149" t="s">
        <v>4569</v>
      </c>
      <c r="AC362" s="189" t="s">
        <v>4560</v>
      </c>
      <c r="AD362" s="145"/>
      <c r="AE362" s="145"/>
      <c r="AF362" s="145"/>
      <c r="AG362" s="187" t="s">
        <v>5131</v>
      </c>
      <c r="AH362" s="145"/>
      <c r="AI362" s="145"/>
      <c r="AJ362" s="146"/>
      <c r="AK362" s="128"/>
      <c r="AL362" s="129"/>
      <c r="AM362" s="129"/>
    </row>
    <row r="363" spans="1:39" ht="35.25" customHeight="1">
      <c r="A363" s="137">
        <f>SUBTOTAL(3,$B$3:B363)</f>
        <v>361</v>
      </c>
      <c r="B363" s="121" t="s">
        <v>4570</v>
      </c>
      <c r="C363" s="165" t="s">
        <v>4571</v>
      </c>
      <c r="D363" s="163" t="s">
        <v>4571</v>
      </c>
      <c r="E363" s="129" t="s">
        <v>3416</v>
      </c>
      <c r="F363" s="129" t="s">
        <v>887</v>
      </c>
      <c r="G363" s="129" t="s">
        <v>2345</v>
      </c>
      <c r="H363" s="129" t="s">
        <v>4572</v>
      </c>
      <c r="I363" s="129" t="s">
        <v>40</v>
      </c>
      <c r="J363" s="188">
        <v>36338</v>
      </c>
      <c r="K363" s="129" t="s">
        <v>41</v>
      </c>
      <c r="L363" s="129" t="s">
        <v>42</v>
      </c>
      <c r="M363" s="163" t="s">
        <v>4016</v>
      </c>
      <c r="N363" s="188">
        <v>44910</v>
      </c>
      <c r="O363" s="124" t="s">
        <v>44</v>
      </c>
      <c r="P363" s="129" t="s">
        <v>2347</v>
      </c>
      <c r="Q363" s="129" t="s">
        <v>3676</v>
      </c>
      <c r="R363" s="163">
        <v>6355192700</v>
      </c>
      <c r="S363" s="124">
        <f>VLOOKUP(B363,'[1]SN Salary Sheet'!$A$4:$D$207,4,0)</f>
        <v>28433</v>
      </c>
      <c r="T363" s="144">
        <f>VLOOKUP(B363,[4]CLINICAL!$A$4:$B$356,2,0)</f>
        <v>101903213656</v>
      </c>
      <c r="U363" s="145" t="s">
        <v>4573</v>
      </c>
      <c r="V363" s="147" t="str">
        <f>VLOOKUP(B363,[4]CLINICAL!$A$4:$C$356,3,0)</f>
        <v>3714638292</v>
      </c>
      <c r="W363" s="145" t="s">
        <v>4574</v>
      </c>
      <c r="X363" s="145" t="s">
        <v>4575</v>
      </c>
      <c r="Y363" s="149" t="s">
        <v>65</v>
      </c>
      <c r="Z363" s="145" t="s">
        <v>91</v>
      </c>
      <c r="AA363" s="149" t="s">
        <v>4576</v>
      </c>
      <c r="AB363" s="149" t="s">
        <v>4577</v>
      </c>
      <c r="AC363" s="189" t="s">
        <v>4570</v>
      </c>
      <c r="AD363" s="145"/>
      <c r="AE363" s="145"/>
      <c r="AF363" s="145"/>
      <c r="AG363" s="187" t="s">
        <v>5127</v>
      </c>
      <c r="AH363" s="145"/>
      <c r="AI363" s="145"/>
      <c r="AJ363" s="146"/>
      <c r="AK363" s="128"/>
      <c r="AL363" s="129"/>
      <c r="AM363" s="129"/>
    </row>
    <row r="364" spans="1:39" ht="42.75">
      <c r="A364" s="137">
        <f>SUBTOTAL(3,$B$3:B364)</f>
        <v>362</v>
      </c>
      <c r="B364" s="121" t="s">
        <v>4579</v>
      </c>
      <c r="C364" s="124" t="s">
        <v>4580</v>
      </c>
      <c r="D364" s="163" t="s">
        <v>4581</v>
      </c>
      <c r="E364" s="129" t="s">
        <v>4582</v>
      </c>
      <c r="F364" s="129" t="s">
        <v>971</v>
      </c>
      <c r="G364" s="129" t="s">
        <v>2345</v>
      </c>
      <c r="H364" s="129" t="s">
        <v>4583</v>
      </c>
      <c r="I364" s="129" t="s">
        <v>40</v>
      </c>
      <c r="J364" s="188">
        <v>36270</v>
      </c>
      <c r="K364" s="129" t="s">
        <v>41</v>
      </c>
      <c r="L364" s="129" t="s">
        <v>42</v>
      </c>
      <c r="M364" s="163" t="s">
        <v>4016</v>
      </c>
      <c r="N364" s="188">
        <v>44949</v>
      </c>
      <c r="O364" s="124" t="s">
        <v>44</v>
      </c>
      <c r="P364" s="129" t="s">
        <v>2347</v>
      </c>
      <c r="Q364" s="129" t="s">
        <v>3676</v>
      </c>
      <c r="R364" s="163" t="s">
        <v>4584</v>
      </c>
      <c r="S364" s="124" t="e">
        <f>VLOOKUP(B364,'[1]SN Salary Sheet'!$A$4:$D$207,4,0)</f>
        <v>#N/A</v>
      </c>
      <c r="T364" s="144">
        <f>VLOOKUP(B364,[4]CLINICAL!$A$4:$B$356,2,0)</f>
        <v>101558544674</v>
      </c>
      <c r="U364" s="145" t="s">
        <v>4585</v>
      </c>
      <c r="V364" s="147" t="str">
        <f>VLOOKUP(B364,[4]CLINICAL!$A$4:$C$356,3,0)</f>
        <v>3714690890</v>
      </c>
      <c r="W364" s="145" t="s">
        <v>4586</v>
      </c>
      <c r="X364" s="145" t="s">
        <v>4587</v>
      </c>
      <c r="Y364" s="149" t="s">
        <v>65</v>
      </c>
      <c r="Z364" s="145" t="s">
        <v>4588</v>
      </c>
      <c r="AA364" s="149" t="s">
        <v>4589</v>
      </c>
      <c r="AB364" s="149" t="s">
        <v>4589</v>
      </c>
      <c r="AC364" s="189" t="s">
        <v>4579</v>
      </c>
      <c r="AD364" s="145"/>
      <c r="AE364" s="145"/>
      <c r="AF364" s="145"/>
      <c r="AG364" s="187" t="s">
        <v>5445</v>
      </c>
      <c r="AH364" s="145"/>
      <c r="AI364" s="145"/>
      <c r="AJ364" s="146"/>
      <c r="AK364" s="128"/>
      <c r="AL364" s="129"/>
      <c r="AM364" s="129"/>
    </row>
    <row r="365" spans="1:39" ht="28.5">
      <c r="A365" s="137">
        <f>SUBTOTAL(3,$B$3:B365)</f>
        <v>363</v>
      </c>
      <c r="B365" s="121" t="s">
        <v>4590</v>
      </c>
      <c r="C365" s="165" t="s">
        <v>4591</v>
      </c>
      <c r="D365" s="163" t="s">
        <v>4591</v>
      </c>
      <c r="E365" s="129" t="s">
        <v>136</v>
      </c>
      <c r="F365" s="129" t="s">
        <v>4592</v>
      </c>
      <c r="G365" s="129" t="s">
        <v>2345</v>
      </c>
      <c r="H365" s="129" t="s">
        <v>4593</v>
      </c>
      <c r="I365" s="129" t="s">
        <v>702</v>
      </c>
      <c r="J365" s="188">
        <v>35659</v>
      </c>
      <c r="K365" s="129" t="s">
        <v>280</v>
      </c>
      <c r="L365" s="129" t="s">
        <v>42</v>
      </c>
      <c r="M365" s="163" t="s">
        <v>1405</v>
      </c>
      <c r="N365" s="188">
        <v>44928</v>
      </c>
      <c r="O365" s="163" t="s">
        <v>2991</v>
      </c>
      <c r="P365" s="129" t="s">
        <v>2347</v>
      </c>
      <c r="Q365" s="129" t="s">
        <v>3676</v>
      </c>
      <c r="R365" s="163" t="s">
        <v>4594</v>
      </c>
      <c r="S365" s="124">
        <f>VLOOKUP(B365,'[3]NCL SAL. SHEET'!$A$4:$D$126,4,0)</f>
        <v>28553</v>
      </c>
      <c r="T365" s="144">
        <f>VLOOKUP(B365,[4]NONCLINICAL!$A$4:$B$170,2,0)</f>
        <v>101909548491</v>
      </c>
      <c r="U365" s="126" t="s">
        <v>6178</v>
      </c>
      <c r="V365" s="145" t="s">
        <v>4703</v>
      </c>
      <c r="W365" s="145" t="s">
        <v>4595</v>
      </c>
      <c r="X365" s="145" t="s">
        <v>4596</v>
      </c>
      <c r="Y365" s="149" t="s">
        <v>146</v>
      </c>
      <c r="Z365" s="145" t="s">
        <v>4597</v>
      </c>
      <c r="AA365" s="149" t="s">
        <v>4598</v>
      </c>
      <c r="AB365" s="149" t="s">
        <v>4599</v>
      </c>
      <c r="AC365" s="189" t="s">
        <v>4590</v>
      </c>
      <c r="AD365" s="145"/>
      <c r="AE365" s="145"/>
      <c r="AF365" s="145"/>
      <c r="AG365" s="187" t="s">
        <v>5138</v>
      </c>
      <c r="AH365" s="145"/>
      <c r="AI365" s="145"/>
      <c r="AJ365" s="146"/>
      <c r="AK365" s="128"/>
      <c r="AL365" s="129"/>
      <c r="AM365" s="129"/>
    </row>
    <row r="366" spans="1:39" ht="28.5">
      <c r="A366" s="137">
        <f>SUBTOTAL(3,$B$3:B366)</f>
        <v>364</v>
      </c>
      <c r="B366" s="121" t="s">
        <v>4600</v>
      </c>
      <c r="C366" s="165" t="s">
        <v>4601</v>
      </c>
      <c r="D366" s="163" t="s">
        <v>4601</v>
      </c>
      <c r="E366" s="129" t="s">
        <v>70</v>
      </c>
      <c r="F366" s="129" t="s">
        <v>4602</v>
      </c>
      <c r="G366" s="129" t="s">
        <v>2389</v>
      </c>
      <c r="H366" s="129" t="s">
        <v>1899</v>
      </c>
      <c r="I366" s="129" t="s">
        <v>40</v>
      </c>
      <c r="J366" s="188">
        <v>35696</v>
      </c>
      <c r="K366" s="129" t="s">
        <v>41</v>
      </c>
      <c r="L366" s="129" t="s">
        <v>42</v>
      </c>
      <c r="M366" s="163" t="s">
        <v>4603</v>
      </c>
      <c r="N366" s="188">
        <v>44928</v>
      </c>
      <c r="O366" s="163" t="s">
        <v>2991</v>
      </c>
      <c r="P366" s="129" t="s">
        <v>2347</v>
      </c>
      <c r="Q366" s="129" t="s">
        <v>3676</v>
      </c>
      <c r="R366" s="163">
        <v>7574916996</v>
      </c>
      <c r="S366" s="124">
        <f>VLOOKUP(B366,'[3]NCL SAL. SHEET'!$A$4:$D$126,4,0)</f>
        <v>28560</v>
      </c>
      <c r="T366" s="144">
        <f>VLOOKUP(B366,[4]NONCLINICAL!$A$4:$B$170,2,0)</f>
        <v>101671188919</v>
      </c>
      <c r="U366" s="145" t="s">
        <v>4604</v>
      </c>
      <c r="V366" s="145" t="s">
        <v>4702</v>
      </c>
      <c r="W366" s="145" t="s">
        <v>4605</v>
      </c>
      <c r="X366" s="145" t="s">
        <v>4988</v>
      </c>
      <c r="Y366" s="149" t="s">
        <v>51</v>
      </c>
      <c r="Z366" s="145" t="s">
        <v>50</v>
      </c>
      <c r="AA366" s="149" t="s">
        <v>4606</v>
      </c>
      <c r="AB366" s="149" t="s">
        <v>4606</v>
      </c>
      <c r="AC366" s="189" t="s">
        <v>4600</v>
      </c>
      <c r="AD366" s="145"/>
      <c r="AE366" s="145"/>
      <c r="AF366" s="145"/>
      <c r="AG366" s="187" t="s">
        <v>5137</v>
      </c>
      <c r="AH366" s="145"/>
      <c r="AI366" s="145"/>
      <c r="AJ366" s="146"/>
      <c r="AK366" s="128"/>
      <c r="AL366" s="129"/>
      <c r="AM366" s="129"/>
    </row>
    <row r="367" spans="1:39" ht="28.5">
      <c r="A367" s="137">
        <f>SUBTOTAL(3,$B$3:B367)</f>
        <v>365</v>
      </c>
      <c r="B367" s="121" t="s">
        <v>4607</v>
      </c>
      <c r="C367" s="165" t="s">
        <v>4608</v>
      </c>
      <c r="D367" s="163" t="s">
        <v>4608</v>
      </c>
      <c r="E367" s="129" t="s">
        <v>4609</v>
      </c>
      <c r="F367" s="129" t="s">
        <v>2967</v>
      </c>
      <c r="G367" s="129" t="s">
        <v>2389</v>
      </c>
      <c r="H367" s="129" t="s">
        <v>4610</v>
      </c>
      <c r="I367" s="129" t="s">
        <v>40</v>
      </c>
      <c r="J367" s="188">
        <v>37067</v>
      </c>
      <c r="K367" s="129" t="s">
        <v>41</v>
      </c>
      <c r="L367" s="129" t="s">
        <v>42</v>
      </c>
      <c r="M367" s="163" t="s">
        <v>4016</v>
      </c>
      <c r="N367" s="188">
        <v>44943</v>
      </c>
      <c r="O367" s="124" t="s">
        <v>44</v>
      </c>
      <c r="P367" s="129" t="s">
        <v>2347</v>
      </c>
      <c r="Q367" s="129" t="s">
        <v>3676</v>
      </c>
      <c r="R367" s="163" t="s">
        <v>4611</v>
      </c>
      <c r="S367" s="124">
        <f>VLOOKUP(B367,'[1]SN Salary Sheet'!$A$4:$D$207,4,0)</f>
        <v>28566</v>
      </c>
      <c r="T367" s="144">
        <f>VLOOKUP(B367,[4]CLINICAL!$A$4:$B$356,2,0)</f>
        <v>101901303209</v>
      </c>
      <c r="U367" s="145" t="s">
        <v>4612</v>
      </c>
      <c r="V367" s="145" t="s">
        <v>4720</v>
      </c>
      <c r="W367" s="145" t="s">
        <v>4613</v>
      </c>
      <c r="X367" s="145" t="s">
        <v>4614</v>
      </c>
      <c r="Y367" s="149" t="s">
        <v>65</v>
      </c>
      <c r="Z367" s="145" t="s">
        <v>4547</v>
      </c>
      <c r="AA367" s="149" t="s">
        <v>4615</v>
      </c>
      <c r="AB367" s="149" t="s">
        <v>4615</v>
      </c>
      <c r="AC367" s="189" t="s">
        <v>4607</v>
      </c>
      <c r="AD367" s="145"/>
      <c r="AE367" s="145"/>
      <c r="AF367" s="145"/>
      <c r="AG367" s="187" t="s">
        <v>5303</v>
      </c>
      <c r="AH367" s="145"/>
      <c r="AI367" s="145"/>
      <c r="AJ367" s="146"/>
      <c r="AK367" s="128"/>
      <c r="AL367" s="129"/>
      <c r="AM367" s="129"/>
    </row>
    <row r="368" spans="1:39" ht="28.5">
      <c r="A368" s="137">
        <f>SUBTOTAL(3,$B$3:B368)</f>
        <v>366</v>
      </c>
      <c r="B368" s="121" t="s">
        <v>4616</v>
      </c>
      <c r="C368" s="165" t="s">
        <v>4691</v>
      </c>
      <c r="D368" s="163" t="s">
        <v>4691</v>
      </c>
      <c r="E368" s="129" t="s">
        <v>544</v>
      </c>
      <c r="F368" s="129" t="s">
        <v>4617</v>
      </c>
      <c r="G368" s="129" t="s">
        <v>2345</v>
      </c>
      <c r="H368" s="129" t="s">
        <v>1646</v>
      </c>
      <c r="I368" s="129" t="s">
        <v>40</v>
      </c>
      <c r="J368" s="188">
        <v>36396</v>
      </c>
      <c r="K368" s="129" t="s">
        <v>41</v>
      </c>
      <c r="L368" s="129" t="s">
        <v>42</v>
      </c>
      <c r="M368" s="163" t="s">
        <v>4016</v>
      </c>
      <c r="N368" s="188">
        <v>44949</v>
      </c>
      <c r="O368" s="124" t="s">
        <v>44</v>
      </c>
      <c r="P368" s="129" t="s">
        <v>2347</v>
      </c>
      <c r="Q368" s="129" t="s">
        <v>3676</v>
      </c>
      <c r="R368" s="163">
        <v>9316012511</v>
      </c>
      <c r="S368" s="124">
        <f>VLOOKUP(B368,'[1]SN Salary Sheet'!$A$4:$D$207,4,0)</f>
        <v>28563</v>
      </c>
      <c r="T368" s="144">
        <f>VLOOKUP(B368,[4]CLINICAL!$A$4:$B$356,2,0)</f>
        <v>101909548541</v>
      </c>
      <c r="U368" s="126" t="s">
        <v>6178</v>
      </c>
      <c r="V368" s="145" t="s">
        <v>4735</v>
      </c>
      <c r="W368" s="145" t="s">
        <v>4618</v>
      </c>
      <c r="X368" s="145" t="s">
        <v>4619</v>
      </c>
      <c r="Y368" s="149" t="s">
        <v>65</v>
      </c>
      <c r="Z368" s="145" t="s">
        <v>4151</v>
      </c>
      <c r="AA368" s="149" t="s">
        <v>4620</v>
      </c>
      <c r="AB368" s="149" t="s">
        <v>4621</v>
      </c>
      <c r="AC368" s="189" t="s">
        <v>4616</v>
      </c>
      <c r="AD368" s="145"/>
      <c r="AE368" s="145"/>
      <c r="AF368" s="145"/>
      <c r="AG368" s="187" t="s">
        <v>5448</v>
      </c>
      <c r="AH368" s="145"/>
      <c r="AI368" s="145"/>
      <c r="AJ368" s="146"/>
      <c r="AK368" s="128"/>
      <c r="AL368" s="129"/>
      <c r="AM368" s="129"/>
    </row>
    <row r="369" spans="1:39" ht="28.5">
      <c r="A369" s="137">
        <f>SUBTOTAL(3,$B$3:B369)</f>
        <v>367</v>
      </c>
      <c r="B369" s="121" t="s">
        <v>4622</v>
      </c>
      <c r="C369" s="165" t="s">
        <v>4623</v>
      </c>
      <c r="D369" s="163" t="s">
        <v>4623</v>
      </c>
      <c r="E369" s="129" t="s">
        <v>544</v>
      </c>
      <c r="F369" s="129" t="s">
        <v>4624</v>
      </c>
      <c r="G369" s="129" t="s">
        <v>2345</v>
      </c>
      <c r="H369" s="129" t="s">
        <v>768</v>
      </c>
      <c r="I369" s="129" t="s">
        <v>40</v>
      </c>
      <c r="J369" s="188">
        <v>36459</v>
      </c>
      <c r="K369" s="129" t="s">
        <v>41</v>
      </c>
      <c r="L369" s="129" t="s">
        <v>42</v>
      </c>
      <c r="M369" s="163" t="s">
        <v>4016</v>
      </c>
      <c r="N369" s="188">
        <v>44948</v>
      </c>
      <c r="O369" s="124" t="s">
        <v>44</v>
      </c>
      <c r="P369" s="129" t="s">
        <v>2347</v>
      </c>
      <c r="Q369" s="129" t="s">
        <v>3676</v>
      </c>
      <c r="R369" s="163">
        <v>7435921926</v>
      </c>
      <c r="S369" s="124">
        <f>VLOOKUP(B369,'[1]SN Salary Sheet'!$A$4:$D$207,4,0)</f>
        <v>28564</v>
      </c>
      <c r="T369" s="144">
        <f>VLOOKUP(B369,[4]CLINICAL!$A$4:$B$356,2,0)</f>
        <v>101545045231</v>
      </c>
      <c r="U369" s="126" t="s">
        <v>6494</v>
      </c>
      <c r="V369" s="145" t="s">
        <v>4737</v>
      </c>
      <c r="W369" s="176" t="s">
        <v>4625</v>
      </c>
      <c r="X369" s="145" t="s">
        <v>4626</v>
      </c>
      <c r="Y369" s="149" t="s">
        <v>146</v>
      </c>
      <c r="Z369" s="145" t="s">
        <v>2403</v>
      </c>
      <c r="AA369" s="149" t="s">
        <v>4627</v>
      </c>
      <c r="AB369" s="149" t="s">
        <v>4627</v>
      </c>
      <c r="AC369" s="189" t="s">
        <v>4622</v>
      </c>
      <c r="AD369" s="145"/>
      <c r="AE369" s="145"/>
      <c r="AF369" s="145"/>
      <c r="AG369" s="187" t="s">
        <v>5305</v>
      </c>
      <c r="AH369" s="145"/>
      <c r="AI369" s="145"/>
      <c r="AJ369" s="146"/>
      <c r="AK369" s="128"/>
      <c r="AL369" s="129"/>
      <c r="AM369" s="129"/>
    </row>
    <row r="370" spans="1:39" ht="28.5">
      <c r="A370" s="137">
        <f>SUBTOTAL(3,$B$3:B370)</f>
        <v>368</v>
      </c>
      <c r="B370" s="121" t="s">
        <v>4628</v>
      </c>
      <c r="C370" s="165" t="s">
        <v>4629</v>
      </c>
      <c r="D370" s="163" t="s">
        <v>4629</v>
      </c>
      <c r="E370" s="129" t="s">
        <v>3781</v>
      </c>
      <c r="F370" s="129" t="s">
        <v>4630</v>
      </c>
      <c r="G370" s="129" t="s">
        <v>2345</v>
      </c>
      <c r="H370" s="129" t="s">
        <v>4631</v>
      </c>
      <c r="I370" s="129" t="s">
        <v>40</v>
      </c>
      <c r="J370" s="188">
        <v>36420</v>
      </c>
      <c r="K370" s="129" t="s">
        <v>280</v>
      </c>
      <c r="L370" s="129" t="s">
        <v>42</v>
      </c>
      <c r="M370" s="183" t="s">
        <v>9053</v>
      </c>
      <c r="N370" s="188">
        <v>44949</v>
      </c>
      <c r="O370" s="124" t="s">
        <v>2159</v>
      </c>
      <c r="P370" s="129" t="s">
        <v>2347</v>
      </c>
      <c r="Q370" s="129" t="s">
        <v>3676</v>
      </c>
      <c r="R370" s="163">
        <v>7874990169</v>
      </c>
      <c r="S370" s="124">
        <f>VLOOKUP(B370,'[3]NCL SAL. SHEET'!$A$4:$D$126,4,0)</f>
        <v>28571</v>
      </c>
      <c r="T370" s="144">
        <f>VLOOKUP(B370,[4]NONCLINICAL!$A$4:$B$170,2,0)</f>
        <v>101909548587</v>
      </c>
      <c r="U370" s="126" t="s">
        <v>6178</v>
      </c>
      <c r="V370" s="145" t="s">
        <v>4738</v>
      </c>
      <c r="W370" s="145" t="s">
        <v>4632</v>
      </c>
      <c r="X370" s="145" t="s">
        <v>4633</v>
      </c>
      <c r="Y370" s="149" t="s">
        <v>65</v>
      </c>
      <c r="Z370" s="145" t="s">
        <v>4634</v>
      </c>
      <c r="AA370" s="149" t="s">
        <v>4635</v>
      </c>
      <c r="AB370" s="149" t="s">
        <v>4635</v>
      </c>
      <c r="AC370" s="189" t="s">
        <v>4628</v>
      </c>
      <c r="AD370" s="145"/>
      <c r="AE370" s="145"/>
      <c r="AF370" s="145"/>
      <c r="AG370" s="187" t="s">
        <v>5408</v>
      </c>
      <c r="AH370" s="145"/>
      <c r="AI370" s="145"/>
      <c r="AJ370" s="146"/>
      <c r="AK370" s="128"/>
      <c r="AL370" s="129"/>
      <c r="AM370" s="129"/>
    </row>
    <row r="371" spans="1:39" ht="28.5">
      <c r="A371" s="137">
        <f>SUBTOTAL(3,$B$3:B371)</f>
        <v>369</v>
      </c>
      <c r="B371" s="121" t="s">
        <v>4636</v>
      </c>
      <c r="C371" s="165" t="s">
        <v>4637</v>
      </c>
      <c r="D371" s="163" t="s">
        <v>4638</v>
      </c>
      <c r="E371" s="129" t="s">
        <v>263</v>
      </c>
      <c r="F371" s="129" t="s">
        <v>4639</v>
      </c>
      <c r="G371" s="129" t="s">
        <v>2345</v>
      </c>
      <c r="H371" s="129" t="s">
        <v>2277</v>
      </c>
      <c r="I371" s="129" t="s">
        <v>40</v>
      </c>
      <c r="J371" s="188">
        <v>36186</v>
      </c>
      <c r="K371" s="129" t="s">
        <v>41</v>
      </c>
      <c r="L371" s="129" t="s">
        <v>42</v>
      </c>
      <c r="M371" s="163" t="s">
        <v>4640</v>
      </c>
      <c r="N371" s="188">
        <v>44949</v>
      </c>
      <c r="O371" s="163" t="s">
        <v>2991</v>
      </c>
      <c r="P371" s="129" t="s">
        <v>2347</v>
      </c>
      <c r="Q371" s="129" t="s">
        <v>3676</v>
      </c>
      <c r="R371" s="163">
        <v>7046816209</v>
      </c>
      <c r="S371" s="124">
        <f>VLOOKUP(B371,'[3]NCL SAL. SHEET'!$A$4:$D$126,4,0)</f>
        <v>28568</v>
      </c>
      <c r="T371" s="144">
        <f>VLOOKUP(B371,[4]NONCLINICAL!$A$4:$B$170,2,0)</f>
        <v>101909548560</v>
      </c>
      <c r="U371" s="145" t="s">
        <v>4641</v>
      </c>
      <c r="V371" s="145" t="s">
        <v>4739</v>
      </c>
      <c r="W371" s="145" t="s">
        <v>4642</v>
      </c>
      <c r="X371" s="145" t="s">
        <v>4643</v>
      </c>
      <c r="Y371" s="149" t="s">
        <v>146</v>
      </c>
      <c r="Z371" s="145" t="s">
        <v>4644</v>
      </c>
      <c r="AA371" s="149" t="s">
        <v>4645</v>
      </c>
      <c r="AB371" s="149" t="s">
        <v>4645</v>
      </c>
      <c r="AC371" s="189" t="s">
        <v>4636</v>
      </c>
      <c r="AD371" s="145"/>
      <c r="AE371" s="145"/>
      <c r="AF371" s="145"/>
      <c r="AG371" s="187" t="s">
        <v>5143</v>
      </c>
      <c r="AH371" s="145"/>
      <c r="AI371" s="145"/>
      <c r="AJ371" s="146"/>
      <c r="AK371" s="128"/>
      <c r="AL371" s="129"/>
      <c r="AM371" s="129"/>
    </row>
    <row r="372" spans="1:39" ht="28.5">
      <c r="A372" s="137">
        <f>SUBTOTAL(3,$B$3:B372)</f>
        <v>370</v>
      </c>
      <c r="B372" s="121" t="s">
        <v>4646</v>
      </c>
      <c r="C372" s="165" t="s">
        <v>4647</v>
      </c>
      <c r="D372" s="163" t="s">
        <v>4648</v>
      </c>
      <c r="E372" s="129" t="s">
        <v>2770</v>
      </c>
      <c r="F372" s="129" t="s">
        <v>403</v>
      </c>
      <c r="G372" s="129" t="s">
        <v>2345</v>
      </c>
      <c r="H372" s="129" t="s">
        <v>4649</v>
      </c>
      <c r="I372" s="129" t="s">
        <v>40</v>
      </c>
      <c r="J372" s="188">
        <v>34124</v>
      </c>
      <c r="K372" s="129" t="s">
        <v>280</v>
      </c>
      <c r="L372" s="129" t="s">
        <v>42</v>
      </c>
      <c r="M372" s="163" t="s">
        <v>4016</v>
      </c>
      <c r="N372" s="188">
        <v>44949</v>
      </c>
      <c r="O372" s="124" t="s">
        <v>44</v>
      </c>
      <c r="P372" s="129" t="s">
        <v>2347</v>
      </c>
      <c r="Q372" s="129" t="s">
        <v>3676</v>
      </c>
      <c r="R372" s="163" t="s">
        <v>4650</v>
      </c>
      <c r="S372" s="124">
        <f>VLOOKUP(B372,'[1]SN Salary Sheet'!$A$4:$D$207,4,0)</f>
        <v>28696</v>
      </c>
      <c r="T372" s="144">
        <f>VLOOKUP(B372,[4]CLINICAL!$A$4:$B$356,2,0)</f>
        <v>101913466565</v>
      </c>
      <c r="U372" s="126" t="s">
        <v>6178</v>
      </c>
      <c r="V372" s="145" t="s">
        <v>4718</v>
      </c>
      <c r="W372" s="145" t="s">
        <v>4651</v>
      </c>
      <c r="X372" s="145" t="s">
        <v>4652</v>
      </c>
      <c r="Y372" s="149" t="s">
        <v>146</v>
      </c>
      <c r="Z372" s="145" t="s">
        <v>5953</v>
      </c>
      <c r="AA372" s="149" t="s">
        <v>4653</v>
      </c>
      <c r="AB372" s="149" t="s">
        <v>4654</v>
      </c>
      <c r="AC372" s="189" t="s">
        <v>4646</v>
      </c>
      <c r="AD372" s="145"/>
      <c r="AE372" s="145"/>
      <c r="AF372" s="145"/>
      <c r="AG372" s="187" t="s">
        <v>5302</v>
      </c>
      <c r="AH372" s="145"/>
      <c r="AI372" s="145"/>
      <c r="AJ372" s="146"/>
      <c r="AK372" s="128"/>
      <c r="AL372" s="129"/>
      <c r="AM372" s="129"/>
    </row>
    <row r="373" spans="1:39" ht="28.5">
      <c r="A373" s="137">
        <f>SUBTOTAL(3,$B$3:B373)</f>
        <v>371</v>
      </c>
      <c r="B373" s="190" t="s">
        <v>4655</v>
      </c>
      <c r="C373" s="184" t="s">
        <v>4656</v>
      </c>
      <c r="D373" s="163" t="s">
        <v>4657</v>
      </c>
      <c r="E373" s="129" t="s">
        <v>4658</v>
      </c>
      <c r="F373" s="129" t="s">
        <v>971</v>
      </c>
      <c r="G373" s="129" t="s">
        <v>2345</v>
      </c>
      <c r="H373" s="129" t="s">
        <v>4659</v>
      </c>
      <c r="I373" s="129" t="s">
        <v>40</v>
      </c>
      <c r="J373" s="188">
        <v>36776</v>
      </c>
      <c r="K373" s="129" t="s">
        <v>41</v>
      </c>
      <c r="L373" s="129" t="s">
        <v>42</v>
      </c>
      <c r="M373" s="163" t="s">
        <v>4016</v>
      </c>
      <c r="N373" s="188">
        <v>44948</v>
      </c>
      <c r="O373" s="124" t="s">
        <v>44</v>
      </c>
      <c r="P373" s="129" t="s">
        <v>2347</v>
      </c>
      <c r="Q373" s="129" t="s">
        <v>3676</v>
      </c>
      <c r="R373" s="163" t="s">
        <v>4660</v>
      </c>
      <c r="S373" s="124" t="e">
        <f>VLOOKUP(B373,'[1]SN Salary Sheet'!$A$4:$D$207,4,0)</f>
        <v>#N/A</v>
      </c>
      <c r="T373" s="144">
        <f>VLOOKUP(B373,[4]CLINICAL!$A$4:$B$356,2,0)</f>
        <v>101795609282</v>
      </c>
      <c r="U373" s="126" t="s">
        <v>6178</v>
      </c>
      <c r="V373" s="145" t="s">
        <v>4736</v>
      </c>
      <c r="W373" s="145" t="s">
        <v>4661</v>
      </c>
      <c r="X373" s="145" t="s">
        <v>4662</v>
      </c>
      <c r="Y373" s="149" t="s">
        <v>146</v>
      </c>
      <c r="Z373" s="145" t="s">
        <v>2352</v>
      </c>
      <c r="AA373" s="149" t="s">
        <v>4663</v>
      </c>
      <c r="AB373" s="149" t="s">
        <v>4663</v>
      </c>
      <c r="AC373" s="189" t="s">
        <v>4655</v>
      </c>
      <c r="AD373" s="145"/>
      <c r="AE373" s="145"/>
      <c r="AF373" s="145"/>
      <c r="AG373" s="187" t="s">
        <v>5304</v>
      </c>
      <c r="AH373" s="145"/>
      <c r="AI373" s="145"/>
      <c r="AJ373" s="146"/>
      <c r="AK373" s="128"/>
      <c r="AL373" s="129"/>
      <c r="AM373" s="129"/>
    </row>
    <row r="374" spans="1:39" ht="28.5">
      <c r="A374" s="137">
        <f>SUBTOTAL(3,$B$3:B374)</f>
        <v>372</v>
      </c>
      <c r="B374" s="121" t="s">
        <v>4664</v>
      </c>
      <c r="C374" s="165" t="s">
        <v>4665</v>
      </c>
      <c r="D374" s="163" t="s">
        <v>4665</v>
      </c>
      <c r="E374" s="129" t="s">
        <v>4666</v>
      </c>
      <c r="F374" s="129" t="s">
        <v>4667</v>
      </c>
      <c r="G374" s="129" t="s">
        <v>2345</v>
      </c>
      <c r="H374" s="129" t="s">
        <v>4668</v>
      </c>
      <c r="I374" s="129" t="s">
        <v>40</v>
      </c>
      <c r="J374" s="188">
        <v>37033</v>
      </c>
      <c r="K374" s="129" t="s">
        <v>41</v>
      </c>
      <c r="L374" s="129" t="s">
        <v>42</v>
      </c>
      <c r="M374" s="163" t="s">
        <v>3136</v>
      </c>
      <c r="N374" s="188">
        <v>44950</v>
      </c>
      <c r="O374" s="163" t="s">
        <v>2621</v>
      </c>
      <c r="P374" s="129" t="s">
        <v>2347</v>
      </c>
      <c r="Q374" s="129" t="s">
        <v>3676</v>
      </c>
      <c r="R374" s="163">
        <v>7405180255</v>
      </c>
      <c r="S374" s="124">
        <f>VLOOKUP(B374,'[2]CL SAL SHEET'!$A$4:$D$57,4,0)</f>
        <v>28569</v>
      </c>
      <c r="T374" s="144">
        <f>VLOOKUP(B374,[4]CLINICAL!$A$4:$B$356,2,0)</f>
        <v>101909548573</v>
      </c>
      <c r="U374" s="145" t="s">
        <v>4669</v>
      </c>
      <c r="V374" s="145" t="s">
        <v>4740</v>
      </c>
      <c r="W374" s="145" t="s">
        <v>4670</v>
      </c>
      <c r="X374" s="145" t="s">
        <v>4671</v>
      </c>
      <c r="Y374" s="149" t="s">
        <v>65</v>
      </c>
      <c r="Z374" s="145" t="s">
        <v>4672</v>
      </c>
      <c r="AA374" s="149" t="s">
        <v>4673</v>
      </c>
      <c r="AB374" s="149" t="s">
        <v>4673</v>
      </c>
      <c r="AC374" s="189" t="s">
        <v>4664</v>
      </c>
      <c r="AD374" s="145"/>
      <c r="AE374" s="145"/>
      <c r="AF374" s="145"/>
      <c r="AG374" s="187" t="s">
        <v>5457</v>
      </c>
      <c r="AH374" s="145"/>
      <c r="AI374" s="145"/>
      <c r="AJ374" s="146"/>
      <c r="AK374" s="128"/>
      <c r="AL374" s="129"/>
      <c r="AM374" s="129"/>
    </row>
    <row r="375" spans="1:39" ht="28.5">
      <c r="A375" s="137">
        <f>SUBTOTAL(3,$B$3:B375)</f>
        <v>373</v>
      </c>
      <c r="B375" s="190" t="s">
        <v>4674</v>
      </c>
      <c r="C375" s="124" t="s">
        <v>4675</v>
      </c>
      <c r="D375" s="163" t="s">
        <v>4676</v>
      </c>
      <c r="E375" s="129" t="s">
        <v>754</v>
      </c>
      <c r="F375" s="129" t="s">
        <v>4208</v>
      </c>
      <c r="G375" s="129" t="s">
        <v>2389</v>
      </c>
      <c r="H375" s="129" t="s">
        <v>381</v>
      </c>
      <c r="I375" s="129" t="s">
        <v>40</v>
      </c>
      <c r="J375" s="188">
        <v>35072</v>
      </c>
      <c r="K375" s="129" t="s">
        <v>41</v>
      </c>
      <c r="L375" s="129" t="s">
        <v>42</v>
      </c>
      <c r="M375" s="163" t="s">
        <v>4312</v>
      </c>
      <c r="N375" s="188">
        <v>44950</v>
      </c>
      <c r="O375" s="163" t="s">
        <v>2991</v>
      </c>
      <c r="P375" s="129" t="s">
        <v>2347</v>
      </c>
      <c r="Q375" s="129" t="s">
        <v>3676</v>
      </c>
      <c r="R375" s="163">
        <v>9725262191</v>
      </c>
      <c r="S375" s="124" t="e">
        <f>VLOOKUP(B375,'[3]NCL SAL. SHEET'!$A$4:$D$126,4,0)</f>
        <v>#N/A</v>
      </c>
      <c r="T375" s="144">
        <f>VLOOKUP(B375,[4]NONCLINICAL!$A$4:$B$170,2,0)</f>
        <v>101466250785</v>
      </c>
      <c r="U375" s="145" t="s">
        <v>4677</v>
      </c>
      <c r="V375" s="145" t="s">
        <v>4741</v>
      </c>
      <c r="W375" s="145" t="s">
        <v>4679</v>
      </c>
      <c r="X375" s="145" t="s">
        <v>4678</v>
      </c>
      <c r="Y375" s="149" t="s">
        <v>65</v>
      </c>
      <c r="Z375" s="145" t="s">
        <v>4680</v>
      </c>
      <c r="AA375" s="149" t="s">
        <v>4681</v>
      </c>
      <c r="AB375" s="149" t="s">
        <v>4681</v>
      </c>
      <c r="AC375" s="189" t="s">
        <v>4674</v>
      </c>
      <c r="AD375" s="145"/>
      <c r="AE375" s="145"/>
      <c r="AF375" s="145"/>
      <c r="AG375" s="187" t="s">
        <v>5144</v>
      </c>
      <c r="AH375" s="145"/>
      <c r="AI375" s="145"/>
      <c r="AJ375" s="146"/>
      <c r="AK375" s="128"/>
      <c r="AL375" s="129"/>
      <c r="AM375" s="129"/>
    </row>
    <row r="376" spans="1:39" ht="28.5">
      <c r="A376" s="137">
        <f>SUBTOTAL(3,$B$3:B376)</f>
        <v>374</v>
      </c>
      <c r="B376" s="190" t="s">
        <v>4682</v>
      </c>
      <c r="C376" s="124" t="s">
        <v>4683</v>
      </c>
      <c r="D376" s="163" t="s">
        <v>4744</v>
      </c>
      <c r="E376" s="129" t="s">
        <v>415</v>
      </c>
      <c r="F376" s="129" t="s">
        <v>4684</v>
      </c>
      <c r="G376" s="129" t="s">
        <v>2389</v>
      </c>
      <c r="H376" s="129" t="s">
        <v>441</v>
      </c>
      <c r="I376" s="129" t="s">
        <v>40</v>
      </c>
      <c r="J376" s="188">
        <v>37476</v>
      </c>
      <c r="K376" s="129" t="s">
        <v>41</v>
      </c>
      <c r="L376" s="129" t="s">
        <v>42</v>
      </c>
      <c r="M376" s="163" t="s">
        <v>1175</v>
      </c>
      <c r="N376" s="188">
        <v>44950</v>
      </c>
      <c r="O376" s="163" t="s">
        <v>2991</v>
      </c>
      <c r="P376" s="129" t="s">
        <v>2347</v>
      </c>
      <c r="Q376" s="129" t="s">
        <v>3676</v>
      </c>
      <c r="R376" s="163">
        <v>7046621835</v>
      </c>
      <c r="S376" s="124" t="e">
        <f>VLOOKUP(B376,'[3]NCL SAL. SHEET'!$A$4:$D$126,4,0)</f>
        <v>#N/A</v>
      </c>
      <c r="T376" s="144">
        <f>VLOOKUP(B376,[4]NONCLINICAL!$A$4:$B$170,2,0)</f>
        <v>101909548556</v>
      </c>
      <c r="U376" s="145" t="s">
        <v>4685</v>
      </c>
      <c r="V376" s="145" t="s">
        <v>4742</v>
      </c>
      <c r="W376" s="145" t="s">
        <v>4686</v>
      </c>
      <c r="X376" s="145" t="s">
        <v>4687</v>
      </c>
      <c r="Y376" s="149" t="s">
        <v>4688</v>
      </c>
      <c r="Z376" s="145" t="s">
        <v>4689</v>
      </c>
      <c r="AA376" s="149" t="s">
        <v>5067</v>
      </c>
      <c r="AB376" s="149" t="s">
        <v>5067</v>
      </c>
      <c r="AC376" s="189" t="s">
        <v>4682</v>
      </c>
      <c r="AD376" s="145"/>
      <c r="AE376" s="145"/>
      <c r="AF376" s="145"/>
      <c r="AG376" s="187" t="s">
        <v>5220</v>
      </c>
      <c r="AH376" s="145"/>
      <c r="AI376" s="145"/>
      <c r="AJ376" s="146"/>
      <c r="AK376" s="128"/>
      <c r="AL376" s="129"/>
      <c r="AM376" s="129"/>
    </row>
    <row r="377" spans="1:39" ht="28.5">
      <c r="A377" s="137">
        <f>SUBTOTAL(3,$B$3:B377)</f>
        <v>375</v>
      </c>
      <c r="B377" s="121" t="s">
        <v>4692</v>
      </c>
      <c r="C377" s="165" t="s">
        <v>4693</v>
      </c>
      <c r="D377" s="163" t="s">
        <v>4693</v>
      </c>
      <c r="E377" s="129" t="s">
        <v>4694</v>
      </c>
      <c r="F377" s="129" t="s">
        <v>4695</v>
      </c>
      <c r="G377" s="129" t="s">
        <v>2389</v>
      </c>
      <c r="H377" s="129" t="s">
        <v>1681</v>
      </c>
      <c r="I377" s="129" t="s">
        <v>40</v>
      </c>
      <c r="J377" s="188">
        <v>36526</v>
      </c>
      <c r="K377" s="129" t="s">
        <v>41</v>
      </c>
      <c r="L377" s="129" t="s">
        <v>42</v>
      </c>
      <c r="M377" s="163" t="s">
        <v>4016</v>
      </c>
      <c r="N377" s="188">
        <v>44951</v>
      </c>
      <c r="O377" s="124" t="s">
        <v>44</v>
      </c>
      <c r="P377" s="129" t="s">
        <v>2347</v>
      </c>
      <c r="Q377" s="129" t="s">
        <v>3676</v>
      </c>
      <c r="R377" s="163" t="s">
        <v>4696</v>
      </c>
      <c r="S377" s="124">
        <f>VLOOKUP(B377,'[1]SN Salary Sheet'!$A$4:$D$207,4,0)</f>
        <v>28552</v>
      </c>
      <c r="T377" s="144">
        <f>VLOOKUP(B377,[4]CLINICAL!$A$4:$B$356,2,0)</f>
        <v>101727217770</v>
      </c>
      <c r="U377" s="126" t="s">
        <v>6178</v>
      </c>
      <c r="V377" s="145" t="s">
        <v>4743</v>
      </c>
      <c r="W377" s="145" t="s">
        <v>4697</v>
      </c>
      <c r="X377" s="145" t="s">
        <v>4698</v>
      </c>
      <c r="Y377" s="149" t="s">
        <v>4699</v>
      </c>
      <c r="Z377" s="145" t="s">
        <v>4700</v>
      </c>
      <c r="AA377" s="149" t="s">
        <v>4701</v>
      </c>
      <c r="AB377" s="149" t="s">
        <v>4701</v>
      </c>
      <c r="AC377" s="189" t="s">
        <v>4692</v>
      </c>
      <c r="AD377" s="145"/>
      <c r="AE377" s="145"/>
      <c r="AF377" s="145"/>
      <c r="AG377" s="187" t="s">
        <v>5306</v>
      </c>
      <c r="AH377" s="145"/>
      <c r="AI377" s="145"/>
      <c r="AJ377" s="146"/>
      <c r="AK377" s="128"/>
      <c r="AL377" s="129"/>
      <c r="AM377" s="129"/>
    </row>
    <row r="378" spans="1:39" ht="42.75">
      <c r="A378" s="137">
        <f>SUBTOTAL(3,$B$3:B378)</f>
        <v>376</v>
      </c>
      <c r="B378" s="121" t="s">
        <v>4707</v>
      </c>
      <c r="C378" s="165" t="s">
        <v>4708</v>
      </c>
      <c r="D378" s="163" t="s">
        <v>4708</v>
      </c>
      <c r="E378" s="129" t="s">
        <v>754</v>
      </c>
      <c r="F378" s="129" t="s">
        <v>4709</v>
      </c>
      <c r="G378" s="129" t="s">
        <v>2389</v>
      </c>
      <c r="H378" s="129" t="s">
        <v>1322</v>
      </c>
      <c r="I378" s="129" t="s">
        <v>40</v>
      </c>
      <c r="J378" s="188">
        <v>32325</v>
      </c>
      <c r="K378" s="129" t="s">
        <v>41</v>
      </c>
      <c r="L378" s="129" t="s">
        <v>42</v>
      </c>
      <c r="M378" s="163" t="s">
        <v>4710</v>
      </c>
      <c r="N378" s="188">
        <v>44935</v>
      </c>
      <c r="O378" s="163" t="s">
        <v>4417</v>
      </c>
      <c r="P378" s="129" t="s">
        <v>2347</v>
      </c>
      <c r="Q378" s="129" t="s">
        <v>3676</v>
      </c>
      <c r="R378" s="163">
        <v>8758637909</v>
      </c>
      <c r="S378" s="124">
        <f>VLOOKUP(B378,'[3]NCL SAL. SHEET'!$A$4:$D$126,4,0)</f>
        <v>28576</v>
      </c>
      <c r="T378" s="144">
        <f>VLOOKUP(B378,[4]NONCLINICAL!$A$4:$B$170,2,0)</f>
        <v>101092765380</v>
      </c>
      <c r="U378" s="145" t="s">
        <v>4711</v>
      </c>
      <c r="V378" s="145">
        <v>3712873967</v>
      </c>
      <c r="W378" s="145" t="s">
        <v>4712</v>
      </c>
      <c r="X378" s="145" t="s">
        <v>4713</v>
      </c>
      <c r="Y378" s="149" t="s">
        <v>146</v>
      </c>
      <c r="Z378" s="145" t="s">
        <v>2352</v>
      </c>
      <c r="AA378" s="149" t="s">
        <v>4714</v>
      </c>
      <c r="AB378" s="149" t="s">
        <v>6520</v>
      </c>
      <c r="AC378" s="189" t="s">
        <v>4707</v>
      </c>
      <c r="AD378" s="145"/>
      <c r="AE378" s="145"/>
      <c r="AF378" s="145"/>
      <c r="AG378" s="187" t="s">
        <v>5577</v>
      </c>
      <c r="AH378" s="145"/>
      <c r="AI378" s="145"/>
      <c r="AJ378" s="146"/>
      <c r="AK378" s="128"/>
      <c r="AL378" s="129"/>
      <c r="AM378" s="129"/>
    </row>
    <row r="379" spans="1:39" ht="42.75">
      <c r="A379" s="137">
        <f>SUBTOTAL(3,$B$3:B379)</f>
        <v>377</v>
      </c>
      <c r="B379" s="121" t="s">
        <v>4721</v>
      </c>
      <c r="C379" s="165" t="s">
        <v>4722</v>
      </c>
      <c r="D379" s="163" t="s">
        <v>4722</v>
      </c>
      <c r="E379" s="129" t="s">
        <v>4723</v>
      </c>
      <c r="F379" s="129" t="s">
        <v>2133</v>
      </c>
      <c r="G379" s="129" t="s">
        <v>2389</v>
      </c>
      <c r="H379" s="129" t="s">
        <v>4724</v>
      </c>
      <c r="I379" s="129" t="s">
        <v>40</v>
      </c>
      <c r="J379" s="188">
        <v>36336</v>
      </c>
      <c r="K379" s="129" t="s">
        <v>280</v>
      </c>
      <c r="L379" s="129" t="s">
        <v>42</v>
      </c>
      <c r="M379" s="163" t="s">
        <v>4725</v>
      </c>
      <c r="N379" s="188">
        <v>44944</v>
      </c>
      <c r="O379" s="124" t="s">
        <v>2193</v>
      </c>
      <c r="P379" s="137" t="s">
        <v>3048</v>
      </c>
      <c r="Q379" s="129" t="s">
        <v>3676</v>
      </c>
      <c r="R379" s="163">
        <v>9054781682</v>
      </c>
      <c r="S379" s="124">
        <f>VLOOKUP(B379,'[3]NCL SAL. SHEET'!$A$4:$D$126,4,0)</f>
        <v>28574</v>
      </c>
      <c r="T379" s="145" t="s">
        <v>4730</v>
      </c>
      <c r="U379" s="145" t="s">
        <v>4726</v>
      </c>
      <c r="V379" s="145" t="s">
        <v>4731</v>
      </c>
      <c r="W379" s="145" t="s">
        <v>4727</v>
      </c>
      <c r="X379" s="145" t="s">
        <v>4728</v>
      </c>
      <c r="Y379" s="149" t="s">
        <v>65</v>
      </c>
      <c r="Z379" s="145" t="s">
        <v>1361</v>
      </c>
      <c r="AA379" s="149" t="s">
        <v>4729</v>
      </c>
      <c r="AB379" s="149" t="s">
        <v>4729</v>
      </c>
      <c r="AC379" s="189" t="s">
        <v>4721</v>
      </c>
      <c r="AD379" s="145"/>
      <c r="AE379" s="145"/>
      <c r="AF379" s="145"/>
      <c r="AG379" s="187" t="s">
        <v>5456</v>
      </c>
      <c r="AH379" s="145"/>
      <c r="AI379" s="145"/>
      <c r="AJ379" s="146"/>
      <c r="AK379" s="128"/>
      <c r="AL379" s="129"/>
      <c r="AM379" s="129"/>
    </row>
    <row r="380" spans="1:39" ht="28.5">
      <c r="A380" s="137">
        <f>SUBTOTAL(3,$B$3:B380)</f>
        <v>378</v>
      </c>
      <c r="B380" s="190" t="s">
        <v>4747</v>
      </c>
      <c r="C380" s="124" t="s">
        <v>4748</v>
      </c>
      <c r="D380" s="163" t="s">
        <v>4749</v>
      </c>
      <c r="E380" s="129" t="s">
        <v>4750</v>
      </c>
      <c r="F380" s="129" t="s">
        <v>1309</v>
      </c>
      <c r="G380" s="129" t="s">
        <v>2389</v>
      </c>
      <c r="H380" s="129" t="s">
        <v>4751</v>
      </c>
      <c r="I380" s="129" t="s">
        <v>40</v>
      </c>
      <c r="J380" s="188">
        <v>36179</v>
      </c>
      <c r="K380" s="129" t="s">
        <v>41</v>
      </c>
      <c r="L380" s="129" t="s">
        <v>42</v>
      </c>
      <c r="M380" s="163" t="s">
        <v>1175</v>
      </c>
      <c r="N380" s="188">
        <v>44956</v>
      </c>
      <c r="O380" s="163" t="s">
        <v>2991</v>
      </c>
      <c r="P380" s="129" t="s">
        <v>2347</v>
      </c>
      <c r="Q380" s="129" t="s">
        <v>3676</v>
      </c>
      <c r="R380" s="163">
        <v>9925594160</v>
      </c>
      <c r="S380" s="124" t="e">
        <f>VLOOKUP(B380,'[3]NCL SAL. SHEET'!$A$4:$D$126,4,0)</f>
        <v>#N/A</v>
      </c>
      <c r="T380" s="144">
        <f>VLOOKUP(B380,[4]NONCLINICAL!$A$4:$B$170,2,0)</f>
        <v>101438876721</v>
      </c>
      <c r="U380" s="126" t="s">
        <v>6178</v>
      </c>
      <c r="V380" s="150">
        <v>3911287151</v>
      </c>
      <c r="W380" s="145" t="s">
        <v>4752</v>
      </c>
      <c r="X380" s="145" t="s">
        <v>4753</v>
      </c>
      <c r="Y380" s="149" t="s">
        <v>619</v>
      </c>
      <c r="Z380" s="145" t="s">
        <v>4754</v>
      </c>
      <c r="AA380" s="149" t="s">
        <v>4755</v>
      </c>
      <c r="AB380" s="149" t="s">
        <v>4755</v>
      </c>
      <c r="AC380" s="189" t="s">
        <v>4747</v>
      </c>
      <c r="AD380" s="145"/>
      <c r="AE380" s="145"/>
      <c r="AF380" s="145"/>
      <c r="AG380" s="187" t="s">
        <v>5146</v>
      </c>
      <c r="AH380" s="145"/>
      <c r="AI380" s="145"/>
      <c r="AJ380" s="146"/>
      <c r="AK380" s="128"/>
      <c r="AL380" s="129"/>
      <c r="AM380" s="129"/>
    </row>
    <row r="381" spans="1:39" ht="42.75">
      <c r="A381" s="137">
        <f>SUBTOTAL(3,$B$3:B381)</f>
        <v>379</v>
      </c>
      <c r="B381" s="121" t="s">
        <v>4756</v>
      </c>
      <c r="C381" s="165" t="s">
        <v>4757</v>
      </c>
      <c r="D381" s="163" t="s">
        <v>4758</v>
      </c>
      <c r="E381" s="129" t="s">
        <v>136</v>
      </c>
      <c r="F381" s="129" t="s">
        <v>4759</v>
      </c>
      <c r="G381" s="129" t="s">
        <v>2345</v>
      </c>
      <c r="H381" s="129" t="s">
        <v>1702</v>
      </c>
      <c r="I381" s="129" t="s">
        <v>40</v>
      </c>
      <c r="J381" s="188">
        <v>36367</v>
      </c>
      <c r="K381" s="129" t="s">
        <v>41</v>
      </c>
      <c r="L381" s="129" t="s">
        <v>42</v>
      </c>
      <c r="M381" s="163" t="s">
        <v>4760</v>
      </c>
      <c r="N381" s="188">
        <v>44956</v>
      </c>
      <c r="O381" s="163" t="s">
        <v>2991</v>
      </c>
      <c r="P381" s="129" t="s">
        <v>2347</v>
      </c>
      <c r="Q381" s="129" t="s">
        <v>3676</v>
      </c>
      <c r="R381" s="163">
        <v>8849407833</v>
      </c>
      <c r="S381" s="124">
        <f>VLOOKUP(B381,'[3]NCL SAL. SHEET'!$A$4:$D$126,4,0)</f>
        <v>28592</v>
      </c>
      <c r="T381" s="144">
        <f>VLOOKUP(B381,[4]NONCLINICAL!$A$4:$B$170,2,0)</f>
        <v>101910638925</v>
      </c>
      <c r="U381" s="145" t="s">
        <v>4761</v>
      </c>
      <c r="V381" s="145" t="s">
        <v>4762</v>
      </c>
      <c r="W381" s="145" t="s">
        <v>4763</v>
      </c>
      <c r="X381" s="145" t="s">
        <v>4764</v>
      </c>
      <c r="Y381" s="149" t="s">
        <v>619</v>
      </c>
      <c r="Z381" s="145" t="s">
        <v>751</v>
      </c>
      <c r="AA381" s="149" t="s">
        <v>4765</v>
      </c>
      <c r="AB381" s="149" t="s">
        <v>4765</v>
      </c>
      <c r="AC381" s="189" t="s">
        <v>4756</v>
      </c>
      <c r="AD381" s="145"/>
      <c r="AE381" s="145"/>
      <c r="AF381" s="145"/>
      <c r="AG381" s="187" t="s">
        <v>5145</v>
      </c>
      <c r="AH381" s="145"/>
      <c r="AI381" s="145"/>
      <c r="AJ381" s="146"/>
      <c r="AK381" s="128"/>
      <c r="AL381" s="129"/>
      <c r="AM381" s="129"/>
    </row>
    <row r="382" spans="1:39" ht="28.5">
      <c r="A382" s="137">
        <f>SUBTOTAL(3,$B$3:B382)</f>
        <v>380</v>
      </c>
      <c r="B382" s="121" t="s">
        <v>4766</v>
      </c>
      <c r="C382" s="165" t="s">
        <v>4767</v>
      </c>
      <c r="D382" s="163" t="s">
        <v>4767</v>
      </c>
      <c r="E382" s="129" t="s">
        <v>4768</v>
      </c>
      <c r="F382" s="129" t="s">
        <v>4769</v>
      </c>
      <c r="G382" s="129" t="s">
        <v>2345</v>
      </c>
      <c r="H382" s="129" t="s">
        <v>2880</v>
      </c>
      <c r="I382" s="129" t="s">
        <v>40</v>
      </c>
      <c r="J382" s="188">
        <v>36778</v>
      </c>
      <c r="K382" s="129" t="s">
        <v>41</v>
      </c>
      <c r="L382" s="129" t="s">
        <v>42</v>
      </c>
      <c r="M382" s="163" t="s">
        <v>4770</v>
      </c>
      <c r="N382" s="188">
        <v>44956</v>
      </c>
      <c r="O382" s="124" t="s">
        <v>44</v>
      </c>
      <c r="P382" s="129" t="s">
        <v>2347</v>
      </c>
      <c r="Q382" s="129" t="s">
        <v>3676</v>
      </c>
      <c r="R382" s="163" t="s">
        <v>4771</v>
      </c>
      <c r="S382" s="124">
        <f>VLOOKUP(B382,'[1]SN Salary Sheet'!$A$4:$D$207,4,0)</f>
        <v>28589</v>
      </c>
      <c r="T382" s="144">
        <f>VLOOKUP(B382,[4]CLINICAL!$A$4:$B$356,2,0)</f>
        <v>101643399269</v>
      </c>
      <c r="U382" s="145" t="s">
        <v>4774</v>
      </c>
      <c r="V382" s="150" t="s">
        <v>4772</v>
      </c>
      <c r="W382" s="145" t="s">
        <v>4773</v>
      </c>
      <c r="X382" s="145" t="s">
        <v>4775</v>
      </c>
      <c r="Y382" s="149" t="s">
        <v>472</v>
      </c>
      <c r="Z382" s="145" t="s">
        <v>4776</v>
      </c>
      <c r="AA382" s="149" t="s">
        <v>4921</v>
      </c>
      <c r="AB382" s="149" t="s">
        <v>4921</v>
      </c>
      <c r="AC382" s="189" t="s">
        <v>4766</v>
      </c>
      <c r="AD382" s="145"/>
      <c r="AE382" s="145"/>
      <c r="AF382" s="145"/>
      <c r="AG382" s="187" t="s">
        <v>5308</v>
      </c>
      <c r="AH382" s="145"/>
      <c r="AI382" s="145"/>
      <c r="AJ382" s="146"/>
      <c r="AK382" s="128"/>
      <c r="AL382" s="129"/>
      <c r="AM382" s="129"/>
    </row>
    <row r="383" spans="1:39" ht="42.75">
      <c r="A383" s="137">
        <f>SUBTOTAL(3,$B$3:B383)</f>
        <v>381</v>
      </c>
      <c r="B383" s="121" t="s">
        <v>4777</v>
      </c>
      <c r="C383" s="165" t="s">
        <v>4778</v>
      </c>
      <c r="D383" s="163" t="s">
        <v>4779</v>
      </c>
      <c r="E383" s="129" t="s">
        <v>1428</v>
      </c>
      <c r="F383" s="129" t="s">
        <v>4780</v>
      </c>
      <c r="G383" s="129" t="s">
        <v>2345</v>
      </c>
      <c r="H383" s="129" t="s">
        <v>3656</v>
      </c>
      <c r="I383" s="129" t="s">
        <v>40</v>
      </c>
      <c r="J383" s="188">
        <v>36714</v>
      </c>
      <c r="K383" s="129" t="s">
        <v>41</v>
      </c>
      <c r="L383" s="129" t="s">
        <v>42</v>
      </c>
      <c r="M383" s="163" t="s">
        <v>4016</v>
      </c>
      <c r="N383" s="188">
        <v>44956</v>
      </c>
      <c r="O383" s="124" t="s">
        <v>44</v>
      </c>
      <c r="P383" s="129" t="s">
        <v>2347</v>
      </c>
      <c r="Q383" s="129" t="s">
        <v>3676</v>
      </c>
      <c r="R383" s="163" t="s">
        <v>4781</v>
      </c>
      <c r="S383" s="124">
        <f>VLOOKUP(B383,'[1]SN Salary Sheet'!$A$4:$D$207,4,0)</f>
        <v>28587</v>
      </c>
      <c r="T383" s="144">
        <f>VLOOKUP(B383,[4]CLINICAL!$A$4:$B$356,2,0)</f>
        <v>101682079696</v>
      </c>
      <c r="U383" s="126" t="s">
        <v>6178</v>
      </c>
      <c r="V383" s="150" t="s">
        <v>4782</v>
      </c>
      <c r="W383" s="145" t="s">
        <v>4783</v>
      </c>
      <c r="X383" s="145" t="s">
        <v>4784</v>
      </c>
      <c r="Y383" s="149" t="s">
        <v>65</v>
      </c>
      <c r="Z383" s="145" t="s">
        <v>4672</v>
      </c>
      <c r="AA383" s="149" t="s">
        <v>4785</v>
      </c>
      <c r="AB383" s="149" t="s">
        <v>4785</v>
      </c>
      <c r="AC383" s="189" t="s">
        <v>4777</v>
      </c>
      <c r="AD383" s="145"/>
      <c r="AE383" s="145"/>
      <c r="AF383" s="145"/>
      <c r="AG383" s="187" t="s">
        <v>5307</v>
      </c>
      <c r="AH383" s="145"/>
      <c r="AI383" s="145"/>
      <c r="AJ383" s="146"/>
      <c r="AK383" s="128"/>
      <c r="AL383" s="129"/>
      <c r="AM383" s="129"/>
    </row>
    <row r="384" spans="1:39" ht="42.75">
      <c r="A384" s="137">
        <f>SUBTOTAL(3,$B$3:B384)</f>
        <v>382</v>
      </c>
      <c r="B384" s="121" t="s">
        <v>4786</v>
      </c>
      <c r="C384" s="165" t="s">
        <v>4787</v>
      </c>
      <c r="D384" s="163" t="s">
        <v>4787</v>
      </c>
      <c r="E384" s="129" t="s">
        <v>4788</v>
      </c>
      <c r="F384" s="129" t="s">
        <v>4789</v>
      </c>
      <c r="G384" s="129" t="s">
        <v>2345</v>
      </c>
      <c r="H384" s="129" t="s">
        <v>4790</v>
      </c>
      <c r="I384" s="129" t="s">
        <v>702</v>
      </c>
      <c r="J384" s="188">
        <v>37001</v>
      </c>
      <c r="K384" s="129" t="s">
        <v>280</v>
      </c>
      <c r="L384" s="129" t="s">
        <v>42</v>
      </c>
      <c r="M384" s="163" t="s">
        <v>4791</v>
      </c>
      <c r="N384" s="188">
        <v>44954</v>
      </c>
      <c r="O384" s="163" t="s">
        <v>2981</v>
      </c>
      <c r="P384" s="129" t="s">
        <v>2347</v>
      </c>
      <c r="Q384" s="129" t="s">
        <v>3676</v>
      </c>
      <c r="R384" s="163">
        <v>9328313162</v>
      </c>
      <c r="S384" s="124">
        <f>VLOOKUP(B384,'[2]CL SAL SHEET'!$A$4:$D$57,4,0)</f>
        <v>28590</v>
      </c>
      <c r="T384" s="144">
        <f>VLOOKUP(B384,[4]CLINICAL!$A$4:$B$356,2,0)</f>
        <v>101910638918</v>
      </c>
      <c r="U384" s="145" t="s">
        <v>4792</v>
      </c>
      <c r="V384" s="150" t="s">
        <v>4793</v>
      </c>
      <c r="W384" s="145" t="s">
        <v>4794</v>
      </c>
      <c r="X384" s="145" t="s">
        <v>4795</v>
      </c>
      <c r="Y384" s="149" t="s">
        <v>1289</v>
      </c>
      <c r="Z384" s="145" t="s">
        <v>4796</v>
      </c>
      <c r="AA384" s="149" t="s">
        <v>4797</v>
      </c>
      <c r="AB384" s="149" t="s">
        <v>4797</v>
      </c>
      <c r="AC384" s="189" t="s">
        <v>4786</v>
      </c>
      <c r="AD384" s="145"/>
      <c r="AE384" s="145"/>
      <c r="AF384" s="145"/>
      <c r="AG384" s="187" t="s">
        <v>5179</v>
      </c>
      <c r="AH384" s="145"/>
      <c r="AI384" s="145"/>
      <c r="AJ384" s="146"/>
      <c r="AK384" s="128"/>
      <c r="AL384" s="129"/>
      <c r="AM384" s="129"/>
    </row>
    <row r="385" spans="1:39" ht="28.5">
      <c r="A385" s="137">
        <f>SUBTOTAL(3,$B$3:B385)</f>
        <v>383</v>
      </c>
      <c r="B385" s="190" t="s">
        <v>4798</v>
      </c>
      <c r="C385" s="124" t="s">
        <v>4799</v>
      </c>
      <c r="D385" s="163" t="s">
        <v>4800</v>
      </c>
      <c r="E385" s="129" t="s">
        <v>754</v>
      </c>
      <c r="F385" s="129" t="s">
        <v>971</v>
      </c>
      <c r="G385" s="129" t="s">
        <v>2345</v>
      </c>
      <c r="H385" s="129" t="s">
        <v>1702</v>
      </c>
      <c r="I385" s="129" t="s">
        <v>40</v>
      </c>
      <c r="J385" s="188">
        <v>35384</v>
      </c>
      <c r="K385" s="129" t="s">
        <v>41</v>
      </c>
      <c r="L385" s="129" t="s">
        <v>42</v>
      </c>
      <c r="M385" s="163" t="s">
        <v>4801</v>
      </c>
      <c r="N385" s="188">
        <v>44951</v>
      </c>
      <c r="O385" s="163" t="s">
        <v>2981</v>
      </c>
      <c r="P385" s="129" t="s">
        <v>2347</v>
      </c>
      <c r="Q385" s="129" t="s">
        <v>3676</v>
      </c>
      <c r="R385" s="163">
        <v>9974904919</v>
      </c>
      <c r="S385" s="124" t="e">
        <f>VLOOKUP(B385,'[2]CL SAL SHEET'!$A$4:$D$57,4,0)</f>
        <v>#N/A</v>
      </c>
      <c r="T385" s="144">
        <f>VLOOKUP(B385,[4]CLINICAL!$A$4:$B$356,2,0)</f>
        <v>101503402035</v>
      </c>
      <c r="U385" s="145" t="s">
        <v>4802</v>
      </c>
      <c r="V385" s="150" t="s">
        <v>4803</v>
      </c>
      <c r="W385" s="145" t="s">
        <v>4804</v>
      </c>
      <c r="X385" s="145" t="s">
        <v>4805</v>
      </c>
      <c r="Y385" s="149" t="s">
        <v>4808</v>
      </c>
      <c r="Z385" s="145" t="s">
        <v>4806</v>
      </c>
      <c r="AA385" s="149" t="s">
        <v>4807</v>
      </c>
      <c r="AB385" s="149" t="s">
        <v>4807</v>
      </c>
      <c r="AC385" s="189" t="s">
        <v>4798</v>
      </c>
      <c r="AD385" s="145"/>
      <c r="AE385" s="145"/>
      <c r="AF385" s="145"/>
      <c r="AG385" s="187" t="s">
        <v>5203</v>
      </c>
      <c r="AH385" s="145"/>
      <c r="AI385" s="145"/>
      <c r="AJ385" s="146"/>
      <c r="AK385" s="128"/>
      <c r="AL385" s="129"/>
      <c r="AM385" s="129"/>
    </row>
    <row r="386" spans="1:39" ht="28.5">
      <c r="A386" s="137">
        <f>SUBTOTAL(3,$B$3:B386)</f>
        <v>384</v>
      </c>
      <c r="B386" s="190" t="s">
        <v>4814</v>
      </c>
      <c r="C386" s="124" t="s">
        <v>4815</v>
      </c>
      <c r="D386" s="163" t="s">
        <v>4816</v>
      </c>
      <c r="E386" s="129" t="s">
        <v>110</v>
      </c>
      <c r="F386" s="129" t="s">
        <v>4817</v>
      </c>
      <c r="G386" s="129" t="s">
        <v>2389</v>
      </c>
      <c r="H386" s="129" t="s">
        <v>4818</v>
      </c>
      <c r="I386" s="129" t="s">
        <v>40</v>
      </c>
      <c r="J386" s="188">
        <v>34387</v>
      </c>
      <c r="K386" s="129" t="s">
        <v>41</v>
      </c>
      <c r="L386" s="129" t="s">
        <v>42</v>
      </c>
      <c r="M386" s="163" t="s">
        <v>4016</v>
      </c>
      <c r="N386" s="188">
        <v>44866</v>
      </c>
      <c r="O386" s="124" t="s">
        <v>44</v>
      </c>
      <c r="P386" s="129" t="s">
        <v>2347</v>
      </c>
      <c r="Q386" s="129" t="s">
        <v>3676</v>
      </c>
      <c r="R386" s="163" t="s">
        <v>4819</v>
      </c>
      <c r="S386" s="124" t="e">
        <f>VLOOKUP(B386,'[1]SN Salary Sheet'!$A$4:$D$207,4,0)</f>
        <v>#N/A</v>
      </c>
      <c r="T386" s="144">
        <f>VLOOKUP(B386,[4]CLINICAL!$A$4:$B$356,2,0)</f>
        <v>101434539040</v>
      </c>
      <c r="U386" s="145" t="s">
        <v>4820</v>
      </c>
      <c r="V386" s="145" t="s">
        <v>5945</v>
      </c>
      <c r="W386" s="145" t="s">
        <v>4821</v>
      </c>
      <c r="X386" s="145" t="s">
        <v>4822</v>
      </c>
      <c r="Y386" s="149" t="s">
        <v>1289</v>
      </c>
      <c r="Z386" s="145" t="s">
        <v>4823</v>
      </c>
      <c r="AA386" s="149" t="s">
        <v>4824</v>
      </c>
      <c r="AB386" s="149" t="s">
        <v>4824</v>
      </c>
      <c r="AC386" s="189" t="s">
        <v>4814</v>
      </c>
      <c r="AD386" s="145"/>
      <c r="AE386" s="145"/>
      <c r="AF386" s="145"/>
      <c r="AG386" s="187" t="s">
        <v>5438</v>
      </c>
      <c r="AH386" s="145"/>
      <c r="AI386" s="145"/>
      <c r="AJ386" s="146"/>
      <c r="AK386" s="128"/>
      <c r="AL386" s="129"/>
      <c r="AM386" s="129"/>
    </row>
    <row r="387" spans="1:39" ht="42.75">
      <c r="A387" s="137">
        <f>SUBTOTAL(3,$B$3:B387)</f>
        <v>385</v>
      </c>
      <c r="B387" s="121" t="s">
        <v>4825</v>
      </c>
      <c r="C387" s="165" t="s">
        <v>4826</v>
      </c>
      <c r="D387" s="163" t="s">
        <v>4827</v>
      </c>
      <c r="E387" s="129" t="s">
        <v>518</v>
      </c>
      <c r="F387" s="129" t="s">
        <v>4828</v>
      </c>
      <c r="G387" s="129" t="s">
        <v>2389</v>
      </c>
      <c r="H387" s="129" t="s">
        <v>810</v>
      </c>
      <c r="I387" s="129" t="s">
        <v>40</v>
      </c>
      <c r="J387" s="188">
        <v>37177</v>
      </c>
      <c r="K387" s="129" t="s">
        <v>41</v>
      </c>
      <c r="L387" s="129" t="s">
        <v>42</v>
      </c>
      <c r="M387" s="163" t="s">
        <v>1044</v>
      </c>
      <c r="N387" s="188">
        <v>44958</v>
      </c>
      <c r="O387" s="163" t="s">
        <v>2991</v>
      </c>
      <c r="P387" s="129" t="s">
        <v>2347</v>
      </c>
      <c r="Q387" s="129" t="s">
        <v>3676</v>
      </c>
      <c r="R387" s="163" t="s">
        <v>4829</v>
      </c>
      <c r="S387" s="124">
        <f>VLOOKUP(B387,'[3]NCL SAL. SHEET'!$A$4:$D$126,4,0)</f>
        <v>28731</v>
      </c>
      <c r="T387" s="144">
        <f>VLOOKUP(B387,[4]NONCLINICAL!$A$4:$B$170,2,0)</f>
        <v>101801058499</v>
      </c>
      <c r="U387" s="145" t="s">
        <v>4830</v>
      </c>
      <c r="V387" s="147" t="str">
        <f>VLOOKUP(B387,[4]NONCLINICAL!$A$4:$C$356,3,0)</f>
        <v>3714703957</v>
      </c>
      <c r="W387" s="145" t="s">
        <v>4831</v>
      </c>
      <c r="X387" s="145" t="s">
        <v>4832</v>
      </c>
      <c r="Y387" s="149" t="s">
        <v>146</v>
      </c>
      <c r="Z387" s="145" t="s">
        <v>4833</v>
      </c>
      <c r="AA387" s="149" t="s">
        <v>4834</v>
      </c>
      <c r="AB387" s="149" t="s">
        <v>4834</v>
      </c>
      <c r="AC387" s="189" t="s">
        <v>4825</v>
      </c>
      <c r="AD387" s="145"/>
      <c r="AE387" s="145"/>
      <c r="AF387" s="145"/>
      <c r="AG387" s="187" t="s">
        <v>5149</v>
      </c>
      <c r="AH387" s="145"/>
      <c r="AI387" s="145"/>
      <c r="AJ387" s="146"/>
      <c r="AK387" s="128"/>
      <c r="AL387" s="129"/>
      <c r="AM387" s="129"/>
    </row>
    <row r="388" spans="1:39" ht="28.5">
      <c r="A388" s="137">
        <f>SUBTOTAL(3,$B$3:B388)</f>
        <v>386</v>
      </c>
      <c r="B388" s="121" t="s">
        <v>4835</v>
      </c>
      <c r="C388" s="165" t="s">
        <v>4836</v>
      </c>
      <c r="D388" s="163" t="s">
        <v>4836</v>
      </c>
      <c r="E388" s="129" t="s">
        <v>1428</v>
      </c>
      <c r="F388" s="129" t="s">
        <v>1878</v>
      </c>
      <c r="G388" s="129" t="s">
        <v>2345</v>
      </c>
      <c r="H388" s="129" t="s">
        <v>2619</v>
      </c>
      <c r="I388" s="129" t="s">
        <v>40</v>
      </c>
      <c r="J388" s="188">
        <v>35683</v>
      </c>
      <c r="K388" s="129" t="s">
        <v>41</v>
      </c>
      <c r="L388" s="129" t="s">
        <v>42</v>
      </c>
      <c r="M388" s="163" t="s">
        <v>4770</v>
      </c>
      <c r="N388" s="188">
        <v>44957</v>
      </c>
      <c r="O388" s="124" t="s">
        <v>44</v>
      </c>
      <c r="P388" s="129" t="s">
        <v>2347</v>
      </c>
      <c r="Q388" s="129" t="s">
        <v>3676</v>
      </c>
      <c r="R388" s="163" t="s">
        <v>4837</v>
      </c>
      <c r="S388" s="124">
        <f>VLOOKUP(B388,'[1]SN Salary Sheet'!$A$4:$D$207,4,0)</f>
        <v>28706</v>
      </c>
      <c r="T388" s="144">
        <f>VLOOKUP(B388,[4]CLINICAL!$A$4:$B$356,2,0)</f>
        <v>101587163528</v>
      </c>
      <c r="U388" s="191" t="s">
        <v>4838</v>
      </c>
      <c r="V388" s="145" t="s">
        <v>5948</v>
      </c>
      <c r="W388" s="145" t="s">
        <v>4839</v>
      </c>
      <c r="X388" s="145" t="s">
        <v>4840</v>
      </c>
      <c r="Y388" s="149" t="s">
        <v>4841</v>
      </c>
      <c r="Z388" s="145" t="s">
        <v>4842</v>
      </c>
      <c r="AA388" s="149" t="s">
        <v>4843</v>
      </c>
      <c r="AB388" s="149" t="s">
        <v>4843</v>
      </c>
      <c r="AC388" s="189" t="s">
        <v>4835</v>
      </c>
      <c r="AD388" s="145"/>
      <c r="AE388" s="145"/>
      <c r="AF388" s="145"/>
      <c r="AG388" s="187" t="s">
        <v>5111</v>
      </c>
      <c r="AH388" s="145"/>
      <c r="AI388" s="145"/>
      <c r="AJ388" s="146"/>
      <c r="AK388" s="128"/>
      <c r="AL388" s="129"/>
      <c r="AM388" s="129"/>
    </row>
    <row r="389" spans="1:39" ht="42.75">
      <c r="A389" s="137">
        <f>SUBTOTAL(3,$B$3:B389)</f>
        <v>387</v>
      </c>
      <c r="B389" s="121" t="s">
        <v>4844</v>
      </c>
      <c r="C389" s="165" t="s">
        <v>4845</v>
      </c>
      <c r="D389" s="163" t="s">
        <v>4846</v>
      </c>
      <c r="E389" s="129" t="s">
        <v>4847</v>
      </c>
      <c r="F389" s="129" t="s">
        <v>4848</v>
      </c>
      <c r="G389" s="129" t="s">
        <v>2345</v>
      </c>
      <c r="H389" s="129" t="s">
        <v>4849</v>
      </c>
      <c r="I389" s="129" t="s">
        <v>40</v>
      </c>
      <c r="J389" s="188">
        <v>35301</v>
      </c>
      <c r="K389" s="129" t="s">
        <v>280</v>
      </c>
      <c r="L389" s="129" t="s">
        <v>42</v>
      </c>
      <c r="M389" s="163" t="s">
        <v>43</v>
      </c>
      <c r="N389" s="188">
        <v>44957</v>
      </c>
      <c r="O389" s="124" t="s">
        <v>44</v>
      </c>
      <c r="P389" s="129" t="s">
        <v>2347</v>
      </c>
      <c r="Q389" s="129" t="s">
        <v>3676</v>
      </c>
      <c r="R389" s="163" t="s">
        <v>4850</v>
      </c>
      <c r="S389" s="124">
        <f>VLOOKUP(B389,'[1]SN Salary Sheet'!$A$4:$D$207,4,0)</f>
        <v>28785</v>
      </c>
      <c r="T389" s="144">
        <f>VLOOKUP(B389,[4]CLINICAL!$A$4:$B$356,2,0)</f>
        <v>101276933982</v>
      </c>
      <c r="U389" s="145" t="s">
        <v>4851</v>
      </c>
      <c r="V389" s="145" t="s">
        <v>4852</v>
      </c>
      <c r="W389" s="145" t="s">
        <v>4853</v>
      </c>
      <c r="X389" s="145" t="s">
        <v>4854</v>
      </c>
      <c r="Y389" s="149" t="s">
        <v>65</v>
      </c>
      <c r="Z389" s="145" t="s">
        <v>707</v>
      </c>
      <c r="AA389" s="149" t="s">
        <v>4855</v>
      </c>
      <c r="AB389" s="149" t="s">
        <v>4855</v>
      </c>
      <c r="AC389" s="189" t="s">
        <v>4844</v>
      </c>
      <c r="AD389" s="145"/>
      <c r="AE389" s="145"/>
      <c r="AF389" s="145"/>
      <c r="AG389" s="187" t="s">
        <v>5309</v>
      </c>
      <c r="AH389" s="145"/>
      <c r="AI389" s="145"/>
      <c r="AJ389" s="146"/>
      <c r="AK389" s="128"/>
      <c r="AL389" s="129"/>
      <c r="AM389" s="129"/>
    </row>
    <row r="390" spans="1:39" ht="28.5">
      <c r="A390" s="137">
        <f>SUBTOTAL(3,$B$3:B390)</f>
        <v>388</v>
      </c>
      <c r="B390" s="121" t="s">
        <v>4856</v>
      </c>
      <c r="C390" s="165" t="s">
        <v>4858</v>
      </c>
      <c r="D390" s="163" t="s">
        <v>4857</v>
      </c>
      <c r="E390" s="129" t="s">
        <v>948</v>
      </c>
      <c r="F390" s="129" t="s">
        <v>4859</v>
      </c>
      <c r="G390" s="129" t="s">
        <v>2345</v>
      </c>
      <c r="H390" s="129" t="s">
        <v>1212</v>
      </c>
      <c r="I390" s="129" t="s">
        <v>40</v>
      </c>
      <c r="J390" s="188">
        <v>35714</v>
      </c>
      <c r="K390" s="129" t="s">
        <v>41</v>
      </c>
      <c r="L390" s="129" t="s">
        <v>42</v>
      </c>
      <c r="M390" s="163" t="s">
        <v>43</v>
      </c>
      <c r="N390" s="188">
        <v>44958</v>
      </c>
      <c r="O390" s="124" t="s">
        <v>44</v>
      </c>
      <c r="P390" s="129" t="s">
        <v>2347</v>
      </c>
      <c r="Q390" s="129" t="s">
        <v>3676</v>
      </c>
      <c r="R390" s="163">
        <v>9687744281</v>
      </c>
      <c r="S390" s="124">
        <f>VLOOKUP(B390,'[1]SN Salary Sheet'!$A$4:$D$207,4,0)</f>
        <v>28743</v>
      </c>
      <c r="T390" s="144">
        <f>VLOOKUP(B390,[4]CLINICAL!$A$4:$B$356,2,0)</f>
        <v>101823378393</v>
      </c>
      <c r="U390" s="145" t="s">
        <v>4860</v>
      </c>
      <c r="V390" s="151">
        <v>3714703524</v>
      </c>
      <c r="W390" s="145" t="s">
        <v>4861</v>
      </c>
      <c r="X390" s="145" t="s">
        <v>4862</v>
      </c>
      <c r="Y390" s="149" t="s">
        <v>146</v>
      </c>
      <c r="Z390" s="145" t="s">
        <v>4863</v>
      </c>
      <c r="AA390" s="149" t="s">
        <v>4864</v>
      </c>
      <c r="AB390" s="149" t="s">
        <v>4865</v>
      </c>
      <c r="AC390" s="189" t="s">
        <v>4856</v>
      </c>
      <c r="AD390" s="145"/>
      <c r="AE390" s="145"/>
      <c r="AF390" s="145"/>
      <c r="AG390" s="187" t="s">
        <v>5148</v>
      </c>
      <c r="AH390" s="145"/>
      <c r="AI390" s="145"/>
      <c r="AJ390" s="146"/>
      <c r="AK390" s="128"/>
      <c r="AL390" s="129"/>
      <c r="AM390" s="129"/>
    </row>
    <row r="391" spans="1:39" ht="28.5">
      <c r="A391" s="137">
        <f>SUBTOTAL(3,$B$3:B391)</f>
        <v>389</v>
      </c>
      <c r="B391" s="190" t="s">
        <v>4866</v>
      </c>
      <c r="C391" s="124" t="s">
        <v>4867</v>
      </c>
      <c r="D391" s="163" t="s">
        <v>4868</v>
      </c>
      <c r="E391" s="129" t="s">
        <v>70</v>
      </c>
      <c r="F391" s="129" t="s">
        <v>3990</v>
      </c>
      <c r="G391" s="129" t="s">
        <v>2389</v>
      </c>
      <c r="H391" s="129" t="s">
        <v>4869</v>
      </c>
      <c r="I391" s="129" t="s">
        <v>40</v>
      </c>
      <c r="J391" s="188">
        <v>34138</v>
      </c>
      <c r="K391" s="129" t="s">
        <v>41</v>
      </c>
      <c r="L391" s="129" t="s">
        <v>42</v>
      </c>
      <c r="M391" s="163" t="s">
        <v>1044</v>
      </c>
      <c r="N391" s="188">
        <v>44958</v>
      </c>
      <c r="O391" s="163" t="s">
        <v>2991</v>
      </c>
      <c r="P391" s="129" t="s">
        <v>2347</v>
      </c>
      <c r="Q391" s="129" t="s">
        <v>3676</v>
      </c>
      <c r="R391" s="163" t="s">
        <v>4870</v>
      </c>
      <c r="S391" s="124" t="e">
        <f>VLOOKUP(B391,'[3]NCL SAL. SHEET'!$A$4:$D$126,4,0)</f>
        <v>#N/A</v>
      </c>
      <c r="T391" s="144">
        <f>VLOOKUP(B391,[4]NONCLINICAL!$A$4:$B$170,2,0)</f>
        <v>101919050842</v>
      </c>
      <c r="U391" s="145" t="s">
        <v>4871</v>
      </c>
      <c r="V391" s="129">
        <v>3714702566</v>
      </c>
      <c r="W391" s="145" t="s">
        <v>4872</v>
      </c>
      <c r="X391" s="145" t="s">
        <v>4873</v>
      </c>
      <c r="Y391" s="149" t="s">
        <v>65</v>
      </c>
      <c r="Z391" s="145" t="s">
        <v>1643</v>
      </c>
      <c r="AA391" s="149" t="s">
        <v>4874</v>
      </c>
      <c r="AB391" s="149" t="s">
        <v>4874</v>
      </c>
      <c r="AC391" s="189" t="s">
        <v>4866</v>
      </c>
      <c r="AD391" s="145"/>
      <c r="AE391" s="145"/>
      <c r="AF391" s="145"/>
      <c r="AG391" s="187" t="s">
        <v>5147</v>
      </c>
      <c r="AH391" s="145"/>
      <c r="AI391" s="145"/>
      <c r="AJ391" s="146"/>
      <c r="AK391" s="128"/>
      <c r="AL391" s="129"/>
      <c r="AM391" s="129"/>
    </row>
    <row r="392" spans="1:39" ht="28.5">
      <c r="A392" s="137">
        <f>SUBTOTAL(3,$B$3:B392)</f>
        <v>390</v>
      </c>
      <c r="B392" s="190" t="s">
        <v>4875</v>
      </c>
      <c r="C392" s="184" t="s">
        <v>4876</v>
      </c>
      <c r="D392" s="163" t="s">
        <v>4877</v>
      </c>
      <c r="E392" s="129" t="s">
        <v>4878</v>
      </c>
      <c r="F392" s="129" t="s">
        <v>4879</v>
      </c>
      <c r="G392" s="129" t="s">
        <v>2345</v>
      </c>
      <c r="H392" s="129" t="s">
        <v>1899</v>
      </c>
      <c r="I392" s="129" t="s">
        <v>40</v>
      </c>
      <c r="J392" s="188">
        <v>36750</v>
      </c>
      <c r="K392" s="129" t="s">
        <v>41</v>
      </c>
      <c r="L392" s="129" t="s">
        <v>42</v>
      </c>
      <c r="M392" s="163" t="s">
        <v>4880</v>
      </c>
      <c r="N392" s="188">
        <v>44960</v>
      </c>
      <c r="O392" s="163" t="s">
        <v>2981</v>
      </c>
      <c r="P392" s="129" t="s">
        <v>2347</v>
      </c>
      <c r="Q392" s="129" t="s">
        <v>3676</v>
      </c>
      <c r="R392" s="163">
        <v>9909435077</v>
      </c>
      <c r="S392" s="124" t="e">
        <f>VLOOKUP(B392,'[2]CL SAL SHEET'!$A$4:$D$57,4,0)</f>
        <v>#N/A</v>
      </c>
      <c r="T392" s="144">
        <f>VLOOKUP(B392,[4]CLINICAL!$A$4:$B$356,2,0)</f>
        <v>101919050826</v>
      </c>
      <c r="U392" s="126" t="s">
        <v>6178</v>
      </c>
      <c r="V392" s="151">
        <v>3714702571</v>
      </c>
      <c r="W392" s="145" t="s">
        <v>4881</v>
      </c>
      <c r="X392" s="145" t="s">
        <v>4882</v>
      </c>
      <c r="Y392" s="149" t="s">
        <v>65</v>
      </c>
      <c r="Z392" s="145" t="s">
        <v>4883</v>
      </c>
      <c r="AA392" s="149" t="s">
        <v>4884</v>
      </c>
      <c r="AB392" s="149" t="s">
        <v>4885</v>
      </c>
      <c r="AC392" s="189" t="s">
        <v>4875</v>
      </c>
      <c r="AD392" s="145"/>
      <c r="AE392" s="145"/>
      <c r="AF392" s="145"/>
      <c r="AG392" s="187" t="s">
        <v>5409</v>
      </c>
      <c r="AH392" s="145"/>
      <c r="AI392" s="145"/>
      <c r="AJ392" s="146"/>
      <c r="AK392" s="128"/>
      <c r="AL392" s="129"/>
      <c r="AM392" s="129"/>
    </row>
    <row r="393" spans="1:39" ht="28.5">
      <c r="A393" s="137">
        <f>SUBTOTAL(3,$B$3:B393)</f>
        <v>391</v>
      </c>
      <c r="B393" s="121" t="s">
        <v>4886</v>
      </c>
      <c r="C393" s="165" t="s">
        <v>4887</v>
      </c>
      <c r="D393" s="163" t="s">
        <v>4887</v>
      </c>
      <c r="E393" s="129" t="s">
        <v>646</v>
      </c>
      <c r="F393" s="129" t="s">
        <v>4888</v>
      </c>
      <c r="G393" s="129" t="s">
        <v>2389</v>
      </c>
      <c r="H393" s="129" t="s">
        <v>1899</v>
      </c>
      <c r="I393" s="129" t="s">
        <v>40</v>
      </c>
      <c r="J393" s="188">
        <v>36809</v>
      </c>
      <c r="K393" s="129" t="s">
        <v>41</v>
      </c>
      <c r="L393" s="129" t="s">
        <v>42</v>
      </c>
      <c r="M393" s="163" t="s">
        <v>43</v>
      </c>
      <c r="N393" s="188">
        <v>44960</v>
      </c>
      <c r="O393" s="124" t="s">
        <v>44</v>
      </c>
      <c r="P393" s="129" t="s">
        <v>2347</v>
      </c>
      <c r="Q393" s="129" t="s">
        <v>3676</v>
      </c>
      <c r="R393" s="163">
        <v>6354138085</v>
      </c>
      <c r="S393" s="124">
        <f>VLOOKUP(B393,'[1]SN Salary Sheet'!$A$4:$D$207,4,0)</f>
        <v>28738</v>
      </c>
      <c r="T393" s="144">
        <f>VLOOKUP(B393,[4]CLINICAL!$A$4:$B$356,2,0)</f>
        <v>101919050888</v>
      </c>
      <c r="U393" s="145" t="s">
        <v>4889</v>
      </c>
      <c r="V393" s="151">
        <v>3714703543</v>
      </c>
      <c r="W393" s="145" t="s">
        <v>4890</v>
      </c>
      <c r="X393" s="145" t="s">
        <v>4891</v>
      </c>
      <c r="Y393" s="149" t="s">
        <v>65</v>
      </c>
      <c r="Z393" s="145" t="s">
        <v>91</v>
      </c>
      <c r="AA393" s="149" t="s">
        <v>4892</v>
      </c>
      <c r="AB393" s="149" t="s">
        <v>4893</v>
      </c>
      <c r="AC393" s="189" t="s">
        <v>4886</v>
      </c>
      <c r="AD393" s="145"/>
      <c r="AE393" s="145"/>
      <c r="AF393" s="145"/>
      <c r="AG393" s="187" t="s">
        <v>5451</v>
      </c>
      <c r="AH393" s="145"/>
      <c r="AI393" s="145"/>
      <c r="AJ393" s="146"/>
      <c r="AK393" s="128"/>
      <c r="AL393" s="129"/>
      <c r="AM393" s="129"/>
    </row>
    <row r="394" spans="1:39" ht="28.5">
      <c r="A394" s="137">
        <f>SUBTOTAL(3,$B$3:B394)</f>
        <v>392</v>
      </c>
      <c r="B394" s="121" t="s">
        <v>4894</v>
      </c>
      <c r="C394" s="165" t="s">
        <v>4895</v>
      </c>
      <c r="D394" s="163" t="s">
        <v>4896</v>
      </c>
      <c r="E394" s="129" t="s">
        <v>646</v>
      </c>
      <c r="F394" s="129" t="s">
        <v>821</v>
      </c>
      <c r="G394" s="129" t="s">
        <v>2389</v>
      </c>
      <c r="H394" s="129" t="s">
        <v>1019</v>
      </c>
      <c r="I394" s="129" t="s">
        <v>40</v>
      </c>
      <c r="J394" s="188">
        <v>37088</v>
      </c>
      <c r="K394" s="129" t="s">
        <v>41</v>
      </c>
      <c r="L394" s="129" t="s">
        <v>42</v>
      </c>
      <c r="M394" s="163" t="s">
        <v>43</v>
      </c>
      <c r="N394" s="188">
        <v>44960</v>
      </c>
      <c r="O394" s="124" t="s">
        <v>44</v>
      </c>
      <c r="P394" s="129" t="s">
        <v>2347</v>
      </c>
      <c r="Q394" s="129" t="s">
        <v>3676</v>
      </c>
      <c r="R394" s="163" t="s">
        <v>4897</v>
      </c>
      <c r="S394" s="124">
        <f>VLOOKUP(B394,'[1]SN Salary Sheet'!$A$4:$D$207,4,0)</f>
        <v>28736</v>
      </c>
      <c r="T394" s="144">
        <f>VLOOKUP(B394,[4]CLINICAL!$A$4:$B$356,2,0)</f>
        <v>101919050861</v>
      </c>
      <c r="U394" s="126" t="s">
        <v>6178</v>
      </c>
      <c r="V394" s="152">
        <v>3714702975</v>
      </c>
      <c r="W394" s="145" t="s">
        <v>4898</v>
      </c>
      <c r="X394" s="145" t="s">
        <v>4899</v>
      </c>
      <c r="Y394" s="149" t="s">
        <v>146</v>
      </c>
      <c r="Z394" s="145" t="s">
        <v>2403</v>
      </c>
      <c r="AA394" s="149" t="s">
        <v>4900</v>
      </c>
      <c r="AB394" s="149" t="s">
        <v>4901</v>
      </c>
      <c r="AC394" s="189" t="s">
        <v>4894</v>
      </c>
      <c r="AD394" s="145"/>
      <c r="AE394" s="145"/>
      <c r="AF394" s="145"/>
      <c r="AG394" s="187" t="s">
        <v>5450</v>
      </c>
      <c r="AH394" s="145"/>
      <c r="AI394" s="145"/>
      <c r="AJ394" s="146"/>
      <c r="AK394" s="128"/>
      <c r="AL394" s="129"/>
      <c r="AM394" s="129"/>
    </row>
    <row r="395" spans="1:39" ht="28.5">
      <c r="A395" s="137">
        <f>SUBTOTAL(3,$B$3:B395)</f>
        <v>393</v>
      </c>
      <c r="B395" s="121" t="s">
        <v>4902</v>
      </c>
      <c r="C395" s="165" t="s">
        <v>4903</v>
      </c>
      <c r="D395" s="163" t="s">
        <v>4904</v>
      </c>
      <c r="E395" s="129" t="s">
        <v>3325</v>
      </c>
      <c r="F395" s="129" t="s">
        <v>4905</v>
      </c>
      <c r="G395" s="129" t="s">
        <v>2389</v>
      </c>
      <c r="H395" s="129" t="s">
        <v>3327</v>
      </c>
      <c r="I395" s="129" t="s">
        <v>40</v>
      </c>
      <c r="J395" s="188">
        <v>36033</v>
      </c>
      <c r="K395" s="129" t="s">
        <v>280</v>
      </c>
      <c r="L395" s="129" t="s">
        <v>42</v>
      </c>
      <c r="M395" s="163" t="s">
        <v>4770</v>
      </c>
      <c r="N395" s="188">
        <v>44960</v>
      </c>
      <c r="O395" s="124" t="s">
        <v>44</v>
      </c>
      <c r="P395" s="129" t="s">
        <v>2347</v>
      </c>
      <c r="Q395" s="129" t="s">
        <v>3676</v>
      </c>
      <c r="R395" s="163" t="s">
        <v>4906</v>
      </c>
      <c r="S395" s="124">
        <f>VLOOKUP(B395,'[1]SN Salary Sheet'!$A$4:$D$207,4,0)</f>
        <v>28737</v>
      </c>
      <c r="T395" s="144">
        <f>VLOOKUP(B395,[4]CLINICAL!$A$4:$B$356,2,0)</f>
        <v>101919050874</v>
      </c>
      <c r="U395" s="126" t="s">
        <v>6178</v>
      </c>
      <c r="V395" s="153">
        <v>3714703536</v>
      </c>
      <c r="W395" s="145" t="s">
        <v>4907</v>
      </c>
      <c r="X395" s="145" t="s">
        <v>4908</v>
      </c>
      <c r="Y395" s="149" t="s">
        <v>65</v>
      </c>
      <c r="Z395" s="145" t="s">
        <v>4909</v>
      </c>
      <c r="AA395" s="149" t="s">
        <v>4910</v>
      </c>
      <c r="AB395" s="149" t="s">
        <v>4911</v>
      </c>
      <c r="AC395" s="189" t="s">
        <v>4902</v>
      </c>
      <c r="AD395" s="145"/>
      <c r="AE395" s="145"/>
      <c r="AF395" s="145"/>
      <c r="AG395" s="187" t="s">
        <v>5449</v>
      </c>
      <c r="AH395" s="145"/>
      <c r="AI395" s="145"/>
      <c r="AJ395" s="146"/>
      <c r="AK395" s="128"/>
      <c r="AL395" s="129"/>
      <c r="AM395" s="129"/>
    </row>
    <row r="396" spans="1:39" ht="28.5">
      <c r="A396" s="137">
        <f>SUBTOTAL(3,$B$3:B396)</f>
        <v>394</v>
      </c>
      <c r="B396" s="121" t="s">
        <v>4912</v>
      </c>
      <c r="C396" s="165" t="s">
        <v>4913</v>
      </c>
      <c r="D396" s="163" t="s">
        <v>4914</v>
      </c>
      <c r="E396" s="129" t="s">
        <v>4915</v>
      </c>
      <c r="F396" s="129" t="s">
        <v>3737</v>
      </c>
      <c r="G396" s="129" t="s">
        <v>2345</v>
      </c>
      <c r="H396" s="129" t="s">
        <v>593</v>
      </c>
      <c r="I396" s="129" t="s">
        <v>40</v>
      </c>
      <c r="J396" s="188">
        <v>36715</v>
      </c>
      <c r="K396" s="129" t="s">
        <v>41</v>
      </c>
      <c r="L396" s="129" t="s">
        <v>42</v>
      </c>
      <c r="M396" s="163" t="s">
        <v>43</v>
      </c>
      <c r="N396" s="188">
        <v>44960</v>
      </c>
      <c r="O396" s="124" t="s">
        <v>44</v>
      </c>
      <c r="P396" s="129" t="s">
        <v>2347</v>
      </c>
      <c r="Q396" s="129" t="s">
        <v>3676</v>
      </c>
      <c r="R396" s="163" t="s">
        <v>4916</v>
      </c>
      <c r="S396" s="124">
        <f>VLOOKUP(B396,'[1]SN Salary Sheet'!$A$4:$D$207,4,0)</f>
        <v>28740</v>
      </c>
      <c r="T396" s="144">
        <f>VLOOKUP(B396,[4]CLINICAL!$A$4:$B$356,2,0)</f>
        <v>101843015268</v>
      </c>
      <c r="U396" s="145" t="s">
        <v>4917</v>
      </c>
      <c r="V396" s="151">
        <v>3714703052</v>
      </c>
      <c r="W396" s="145" t="s">
        <v>4918</v>
      </c>
      <c r="X396" s="145" t="s">
        <v>4919</v>
      </c>
      <c r="Y396" s="149" t="s">
        <v>552</v>
      </c>
      <c r="Z396" s="145" t="s">
        <v>551</v>
      </c>
      <c r="AA396" s="149" t="s">
        <v>4920</v>
      </c>
      <c r="AB396" s="149" t="s">
        <v>4920</v>
      </c>
      <c r="AC396" s="189" t="s">
        <v>4912</v>
      </c>
      <c r="AD396" s="145"/>
      <c r="AE396" s="145"/>
      <c r="AF396" s="145"/>
      <c r="AG396" s="187" t="s">
        <v>5376</v>
      </c>
      <c r="AH396" s="145"/>
      <c r="AI396" s="145"/>
      <c r="AJ396" s="146"/>
      <c r="AK396" s="128"/>
      <c r="AL396" s="129"/>
      <c r="AM396" s="129"/>
    </row>
    <row r="397" spans="1:39" ht="28.5">
      <c r="A397" s="137">
        <f>SUBTOTAL(3,$B$3:B397)</f>
        <v>395</v>
      </c>
      <c r="B397" s="192" t="s">
        <v>4922</v>
      </c>
      <c r="C397" s="184" t="s">
        <v>4923</v>
      </c>
      <c r="D397" s="163" t="s">
        <v>4924</v>
      </c>
      <c r="E397" s="129" t="s">
        <v>4925</v>
      </c>
      <c r="F397" s="129" t="s">
        <v>4926</v>
      </c>
      <c r="G397" s="129" t="s">
        <v>2345</v>
      </c>
      <c r="H397" s="129" t="s">
        <v>4927</v>
      </c>
      <c r="I397" s="129" t="s">
        <v>40</v>
      </c>
      <c r="J397" s="188">
        <v>36450</v>
      </c>
      <c r="K397" s="129" t="s">
        <v>41</v>
      </c>
      <c r="L397" s="129" t="s">
        <v>42</v>
      </c>
      <c r="M397" s="163" t="s">
        <v>43</v>
      </c>
      <c r="N397" s="188">
        <v>44964</v>
      </c>
      <c r="O397" s="124" t="s">
        <v>44</v>
      </c>
      <c r="P397" s="129" t="s">
        <v>2347</v>
      </c>
      <c r="Q397" s="129" t="s">
        <v>3676</v>
      </c>
      <c r="R397" s="163">
        <v>9428798108</v>
      </c>
      <c r="S397" s="124" t="e">
        <f>VLOOKUP(B397,'[1]SN Salary Sheet'!$A$4:$D$207,4,0)</f>
        <v>#N/A</v>
      </c>
      <c r="T397" s="144">
        <v>101692493007</v>
      </c>
      <c r="U397" s="145" t="s">
        <v>4937</v>
      </c>
      <c r="V397" s="154">
        <v>3714703099</v>
      </c>
      <c r="W397" s="145" t="s">
        <v>4928</v>
      </c>
      <c r="X397" s="145" t="s">
        <v>4929</v>
      </c>
      <c r="Y397" s="149" t="s">
        <v>326</v>
      </c>
      <c r="Z397" s="145" t="s">
        <v>4930</v>
      </c>
      <c r="AA397" s="149" t="s">
        <v>4931</v>
      </c>
      <c r="AB397" s="149" t="s">
        <v>4931</v>
      </c>
      <c r="AC397" s="189" t="s">
        <v>4922</v>
      </c>
      <c r="AD397" s="145"/>
      <c r="AE397" s="145"/>
      <c r="AF397" s="145"/>
      <c r="AG397" s="187" t="s">
        <v>5453</v>
      </c>
      <c r="AH397" s="145"/>
      <c r="AI397" s="145"/>
      <c r="AJ397" s="146"/>
      <c r="AK397" s="128"/>
      <c r="AL397" s="129"/>
      <c r="AM397" s="129"/>
    </row>
    <row r="398" spans="1:39" ht="42.75">
      <c r="A398" s="137">
        <f>SUBTOTAL(3,$B$3:B398)</f>
        <v>396</v>
      </c>
      <c r="B398" s="121" t="s">
        <v>4932</v>
      </c>
      <c r="C398" s="165" t="s">
        <v>4933</v>
      </c>
      <c r="D398" s="163" t="s">
        <v>4934</v>
      </c>
      <c r="E398" s="129" t="s">
        <v>4935</v>
      </c>
      <c r="F398" s="129" t="s">
        <v>887</v>
      </c>
      <c r="G398" s="129" t="s">
        <v>2345</v>
      </c>
      <c r="H398" s="129" t="s">
        <v>138</v>
      </c>
      <c r="I398" s="129" t="s">
        <v>40</v>
      </c>
      <c r="J398" s="188">
        <v>36479</v>
      </c>
      <c r="K398" s="129" t="s">
        <v>41</v>
      </c>
      <c r="L398" s="129" t="s">
        <v>42</v>
      </c>
      <c r="M398" s="183" t="s">
        <v>9053</v>
      </c>
      <c r="N398" s="188">
        <v>44964</v>
      </c>
      <c r="O398" s="124" t="s">
        <v>2159</v>
      </c>
      <c r="P398" s="129" t="s">
        <v>2347</v>
      </c>
      <c r="Q398" s="129" t="s">
        <v>3676</v>
      </c>
      <c r="R398" s="163" t="s">
        <v>4936</v>
      </c>
      <c r="S398" s="124">
        <f>VLOOKUP(B398,'[3]NCL SAL. SHEET'!$A$4:$D$126,4,0)</f>
        <v>28739</v>
      </c>
      <c r="T398" s="144">
        <f>VLOOKUP(B398,[4]NONCLINICAL!$A$4:$B$170,2,0)</f>
        <v>101919050890</v>
      </c>
      <c r="U398" s="145" t="s">
        <v>4938</v>
      </c>
      <c r="V398" s="154">
        <v>3714703124</v>
      </c>
      <c r="W398" s="145" t="s">
        <v>4939</v>
      </c>
      <c r="X398" s="145" t="s">
        <v>4940</v>
      </c>
      <c r="Y398" s="149" t="s">
        <v>65</v>
      </c>
      <c r="Z398" s="145" t="s">
        <v>1453</v>
      </c>
      <c r="AA398" s="149" t="s">
        <v>4941</v>
      </c>
      <c r="AB398" s="149" t="s">
        <v>4941</v>
      </c>
      <c r="AC398" s="189" t="s">
        <v>4932</v>
      </c>
      <c r="AD398" s="145"/>
      <c r="AE398" s="145"/>
      <c r="AF398" s="145"/>
      <c r="AG398" s="187" t="s">
        <v>5410</v>
      </c>
      <c r="AH398" s="145"/>
      <c r="AI398" s="145"/>
      <c r="AJ398" s="146"/>
      <c r="AK398" s="128"/>
      <c r="AL398" s="129"/>
      <c r="AM398" s="129"/>
    </row>
    <row r="399" spans="1:39" ht="42.75">
      <c r="A399" s="137">
        <f>SUBTOTAL(3,$B$3:B399)</f>
        <v>397</v>
      </c>
      <c r="B399" s="121" t="s">
        <v>4942</v>
      </c>
      <c r="C399" s="165" t="s">
        <v>4943</v>
      </c>
      <c r="D399" s="163" t="s">
        <v>4944</v>
      </c>
      <c r="E399" s="129" t="s">
        <v>754</v>
      </c>
      <c r="F399" s="129" t="s">
        <v>4945</v>
      </c>
      <c r="G399" s="129" t="s">
        <v>2345</v>
      </c>
      <c r="H399" s="129" t="s">
        <v>4946</v>
      </c>
      <c r="I399" s="129" t="s">
        <v>40</v>
      </c>
      <c r="J399" s="188">
        <v>35701</v>
      </c>
      <c r="K399" s="129" t="s">
        <v>41</v>
      </c>
      <c r="L399" s="129" t="s">
        <v>42</v>
      </c>
      <c r="M399" s="163" t="s">
        <v>4947</v>
      </c>
      <c r="N399" s="188">
        <v>44964</v>
      </c>
      <c r="O399" s="124" t="s">
        <v>44</v>
      </c>
      <c r="P399" s="129" t="s">
        <v>2347</v>
      </c>
      <c r="Q399" s="129" t="s">
        <v>3676</v>
      </c>
      <c r="R399" s="163" t="s">
        <v>4948</v>
      </c>
      <c r="S399" s="124" t="e">
        <f>VLOOKUP(B399,'[1]SN Salary Sheet'!$A$4:$D$207,4,0)</f>
        <v>#N/A</v>
      </c>
      <c r="T399" s="144">
        <f>VLOOKUP(B399,[4]CLINICAL!$A$4:$B$356,2,0)</f>
        <v>101343812431</v>
      </c>
      <c r="U399" s="145" t="s">
        <v>4949</v>
      </c>
      <c r="V399" s="155">
        <v>3714703159</v>
      </c>
      <c r="W399" s="145" t="s">
        <v>4950</v>
      </c>
      <c r="X399" s="145" t="s">
        <v>4951</v>
      </c>
      <c r="Y399" s="149" t="s">
        <v>4952</v>
      </c>
      <c r="Z399" s="145" t="s">
        <v>4953</v>
      </c>
      <c r="AA399" s="149" t="s">
        <v>4954</v>
      </c>
      <c r="AB399" s="149" t="s">
        <v>4954</v>
      </c>
      <c r="AC399" s="189" t="s">
        <v>4942</v>
      </c>
      <c r="AD399" s="145"/>
      <c r="AE399" s="145"/>
      <c r="AF399" s="145"/>
      <c r="AG399" s="187" t="s">
        <v>5452</v>
      </c>
      <c r="AH399" s="145"/>
      <c r="AI399" s="145"/>
      <c r="AJ399" s="146"/>
      <c r="AK399" s="128"/>
      <c r="AL399" s="129"/>
      <c r="AM399" s="129"/>
    </row>
    <row r="400" spans="1:39" ht="28.5">
      <c r="A400" s="137">
        <f>SUBTOTAL(3,$B$3:B400)</f>
        <v>398</v>
      </c>
      <c r="B400" s="121" t="s">
        <v>4955</v>
      </c>
      <c r="C400" s="165" t="s">
        <v>4956</v>
      </c>
      <c r="D400" s="163" t="s">
        <v>4956</v>
      </c>
      <c r="E400" s="129" t="s">
        <v>4957</v>
      </c>
      <c r="F400" s="129" t="s">
        <v>4958</v>
      </c>
      <c r="G400" s="129" t="s">
        <v>2345</v>
      </c>
      <c r="H400" s="129" t="s">
        <v>4959</v>
      </c>
      <c r="I400" s="129" t="s">
        <v>40</v>
      </c>
      <c r="J400" s="188">
        <v>36422</v>
      </c>
      <c r="K400" s="129" t="s">
        <v>41</v>
      </c>
      <c r="L400" s="129" t="s">
        <v>42</v>
      </c>
      <c r="M400" s="163" t="s">
        <v>4960</v>
      </c>
      <c r="N400" s="188">
        <v>44964</v>
      </c>
      <c r="O400" s="163" t="s">
        <v>2981</v>
      </c>
      <c r="P400" s="129" t="s">
        <v>2347</v>
      </c>
      <c r="Q400" s="129" t="s">
        <v>3676</v>
      </c>
      <c r="R400" s="163" t="s">
        <v>4961</v>
      </c>
      <c r="S400" s="124">
        <f>VLOOKUP(B400,'[2]CL SAL SHEET'!$A$4:$D$57,4,0)</f>
        <v>28730</v>
      </c>
      <c r="T400" s="144">
        <f>VLOOKUP(B400,[4]CLINICAL!$A$4:$B$356,2,0)</f>
        <v>101876602651</v>
      </c>
      <c r="U400" s="145" t="s">
        <v>4962</v>
      </c>
      <c r="V400" s="155">
        <v>3714703546</v>
      </c>
      <c r="W400" s="145" t="s">
        <v>4963</v>
      </c>
      <c r="X400" s="145" t="s">
        <v>4964</v>
      </c>
      <c r="Y400" s="149" t="s">
        <v>65</v>
      </c>
      <c r="Z400" s="145" t="s">
        <v>5018</v>
      </c>
      <c r="AA400" s="149" t="s">
        <v>4965</v>
      </c>
      <c r="AB400" s="149" t="s">
        <v>4966</v>
      </c>
      <c r="AC400" s="189" t="s">
        <v>4955</v>
      </c>
      <c r="AD400" s="145"/>
      <c r="AE400" s="145"/>
      <c r="AF400" s="145"/>
      <c r="AG400" s="187" t="s">
        <v>5180</v>
      </c>
      <c r="AH400" s="145"/>
      <c r="AI400" s="145"/>
      <c r="AJ400" s="146"/>
      <c r="AK400" s="128"/>
      <c r="AL400" s="129"/>
      <c r="AM400" s="129"/>
    </row>
    <row r="401" spans="1:39" ht="28.5">
      <c r="A401" s="137">
        <f>SUBTOTAL(3,$B$3:B401)</f>
        <v>399</v>
      </c>
      <c r="B401" s="193" t="s">
        <v>4967</v>
      </c>
      <c r="C401" s="194" t="s">
        <v>4968</v>
      </c>
      <c r="D401" s="195" t="s">
        <v>4968</v>
      </c>
      <c r="E401" s="196" t="s">
        <v>1428</v>
      </c>
      <c r="F401" s="196" t="s">
        <v>4969</v>
      </c>
      <c r="G401" s="196" t="s">
        <v>2345</v>
      </c>
      <c r="H401" s="196" t="s">
        <v>507</v>
      </c>
      <c r="I401" s="196" t="s">
        <v>40</v>
      </c>
      <c r="J401" s="197">
        <v>37100</v>
      </c>
      <c r="K401" s="196" t="s">
        <v>41</v>
      </c>
      <c r="L401" s="196" t="s">
        <v>42</v>
      </c>
      <c r="M401" s="195" t="s">
        <v>43</v>
      </c>
      <c r="N401" s="197">
        <v>44965</v>
      </c>
      <c r="O401" s="124" t="s">
        <v>44</v>
      </c>
      <c r="P401" s="196" t="s">
        <v>2347</v>
      </c>
      <c r="Q401" s="196" t="s">
        <v>3676</v>
      </c>
      <c r="R401" s="195">
        <v>9099438949</v>
      </c>
      <c r="S401" s="124">
        <f>VLOOKUP(B401,'[1]SN Salary Sheet'!$A$4:$D$207,4,0)</f>
        <v>28741</v>
      </c>
      <c r="T401" s="144">
        <f>VLOOKUP(B401,[4]CLINICAL!$A$4:$B$356,2,0)</f>
        <v>101919050900</v>
      </c>
      <c r="U401" s="157" t="s">
        <v>4970</v>
      </c>
      <c r="V401" s="156">
        <v>3714703229</v>
      </c>
      <c r="W401" s="157" t="s">
        <v>4971</v>
      </c>
      <c r="X401" s="157" t="s">
        <v>4972</v>
      </c>
      <c r="Y401" s="198" t="s">
        <v>65</v>
      </c>
      <c r="Z401" s="157" t="s">
        <v>4973</v>
      </c>
      <c r="AA401" s="198" t="s">
        <v>4974</v>
      </c>
      <c r="AB401" s="198" t="s">
        <v>4975</v>
      </c>
      <c r="AC401" s="199" t="s">
        <v>4967</v>
      </c>
      <c r="AD401" s="157"/>
      <c r="AE401" s="157"/>
      <c r="AF401" s="157"/>
      <c r="AG401" s="200" t="s">
        <v>5454</v>
      </c>
      <c r="AH401" s="157"/>
      <c r="AI401" s="157"/>
      <c r="AJ401" s="146"/>
      <c r="AK401" s="128"/>
      <c r="AL401" s="129"/>
      <c r="AM401" s="129"/>
    </row>
    <row r="402" spans="1:39" ht="42.75">
      <c r="A402" s="137">
        <f>SUBTOTAL(3,$B$3:B402)</f>
        <v>400</v>
      </c>
      <c r="B402" s="121" t="s">
        <v>5017</v>
      </c>
      <c r="C402" s="165" t="s">
        <v>4976</v>
      </c>
      <c r="D402" s="163" t="s">
        <v>4977</v>
      </c>
      <c r="E402" s="129" t="s">
        <v>754</v>
      </c>
      <c r="F402" s="129" t="s">
        <v>2666</v>
      </c>
      <c r="G402" s="129" t="s">
        <v>2345</v>
      </c>
      <c r="H402" s="129" t="s">
        <v>4978</v>
      </c>
      <c r="I402" s="129" t="s">
        <v>702</v>
      </c>
      <c r="J402" s="188">
        <v>30844</v>
      </c>
      <c r="K402" s="129" t="s">
        <v>280</v>
      </c>
      <c r="L402" s="129" t="s">
        <v>42</v>
      </c>
      <c r="M402" s="163" t="s">
        <v>4979</v>
      </c>
      <c r="N402" s="188">
        <v>44964</v>
      </c>
      <c r="O402" s="163" t="s">
        <v>4417</v>
      </c>
      <c r="P402" s="129" t="s">
        <v>2347</v>
      </c>
      <c r="Q402" s="129" t="s">
        <v>3676</v>
      </c>
      <c r="R402" s="163" t="s">
        <v>4980</v>
      </c>
      <c r="S402" s="124">
        <f>VLOOKUP(B402,'[3]NCL SAL. SHEET'!$A$4:$D$126,4,0)</f>
        <v>28729</v>
      </c>
      <c r="T402" s="144">
        <f>VLOOKUP(B402,[4]NONCLINICAL!$A$4:$B$170,2,0)</f>
        <v>101698747541</v>
      </c>
      <c r="U402" s="145" t="s">
        <v>4981</v>
      </c>
      <c r="V402" s="145" t="s">
        <v>4982</v>
      </c>
      <c r="W402" s="145" t="s">
        <v>4983</v>
      </c>
      <c r="X402" s="145" t="s">
        <v>4984</v>
      </c>
      <c r="Y402" s="149" t="s">
        <v>146</v>
      </c>
      <c r="Z402" s="145" t="s">
        <v>2352</v>
      </c>
      <c r="AA402" s="149" t="s">
        <v>4985</v>
      </c>
      <c r="AB402" s="149" t="s">
        <v>4985</v>
      </c>
      <c r="AC402" s="121" t="s">
        <v>5017</v>
      </c>
      <c r="AD402" s="145"/>
      <c r="AE402" s="145"/>
      <c r="AF402" s="145"/>
      <c r="AG402" s="187" t="s">
        <v>5411</v>
      </c>
      <c r="AH402" s="145"/>
      <c r="AI402" s="145"/>
      <c r="AJ402" s="146"/>
      <c r="AK402" s="128"/>
      <c r="AL402" s="129"/>
      <c r="AM402" s="129"/>
    </row>
    <row r="403" spans="1:39" ht="28.5">
      <c r="A403" s="137">
        <f>SUBTOTAL(3,$B$3:B403)</f>
        <v>401</v>
      </c>
      <c r="B403" s="121" t="s">
        <v>4986</v>
      </c>
      <c r="C403" s="165" t="s">
        <v>4987</v>
      </c>
      <c r="D403" s="163" t="s">
        <v>4989</v>
      </c>
      <c r="E403" s="129" t="s">
        <v>263</v>
      </c>
      <c r="F403" s="129" t="s">
        <v>4990</v>
      </c>
      <c r="G403" s="129" t="s">
        <v>2345</v>
      </c>
      <c r="H403" s="129" t="s">
        <v>4991</v>
      </c>
      <c r="I403" s="129" t="s">
        <v>40</v>
      </c>
      <c r="J403" s="188">
        <v>37122</v>
      </c>
      <c r="K403" s="129" t="s">
        <v>280</v>
      </c>
      <c r="L403" s="129" t="s">
        <v>42</v>
      </c>
      <c r="M403" s="163" t="s">
        <v>43</v>
      </c>
      <c r="N403" s="188">
        <v>44967</v>
      </c>
      <c r="O403" s="124" t="s">
        <v>44</v>
      </c>
      <c r="P403" s="129" t="s">
        <v>2347</v>
      </c>
      <c r="Q403" s="129" t="s">
        <v>3676</v>
      </c>
      <c r="R403" s="163" t="s">
        <v>4992</v>
      </c>
      <c r="S403" s="124">
        <f>VLOOKUP(B403,'[1]SN Salary Sheet'!$A$4:$D$207,4,0)</f>
        <v>28734</v>
      </c>
      <c r="T403" s="144">
        <f>VLOOKUP(B403,[4]CLINICAL!$A$4:$B$356,2,0)</f>
        <v>101919050857</v>
      </c>
      <c r="U403" s="126" t="s">
        <v>6178</v>
      </c>
      <c r="V403" s="151">
        <v>3714703261</v>
      </c>
      <c r="W403" s="145" t="s">
        <v>4993</v>
      </c>
      <c r="X403" s="145" t="s">
        <v>4994</v>
      </c>
      <c r="Y403" s="149" t="s">
        <v>65</v>
      </c>
      <c r="Z403" s="145" t="s">
        <v>4995</v>
      </c>
      <c r="AA403" s="149" t="s">
        <v>4996</v>
      </c>
      <c r="AB403" s="149" t="s">
        <v>4996</v>
      </c>
      <c r="AC403" s="189" t="s">
        <v>4986</v>
      </c>
      <c r="AD403" s="145"/>
      <c r="AE403" s="145"/>
      <c r="AF403" s="145"/>
      <c r="AG403" s="187" t="s">
        <v>5310</v>
      </c>
      <c r="AH403" s="145"/>
      <c r="AI403" s="145"/>
      <c r="AJ403" s="146"/>
      <c r="AK403" s="128"/>
      <c r="AL403" s="129"/>
      <c r="AM403" s="129"/>
    </row>
    <row r="404" spans="1:39" ht="28.5">
      <c r="A404" s="137">
        <f>SUBTOTAL(3,$B$3:B404)</f>
        <v>402</v>
      </c>
      <c r="B404" s="121" t="s">
        <v>4997</v>
      </c>
      <c r="C404" s="165" t="s">
        <v>4998</v>
      </c>
      <c r="D404" s="163" t="s">
        <v>4998</v>
      </c>
      <c r="E404" s="129" t="s">
        <v>2407</v>
      </c>
      <c r="F404" s="129" t="s">
        <v>4999</v>
      </c>
      <c r="G404" s="129" t="s">
        <v>2345</v>
      </c>
      <c r="H404" s="129" t="s">
        <v>5000</v>
      </c>
      <c r="I404" s="129" t="s">
        <v>40</v>
      </c>
      <c r="J404" s="188">
        <v>36768</v>
      </c>
      <c r="K404" s="129" t="s">
        <v>41</v>
      </c>
      <c r="L404" s="129" t="s">
        <v>42</v>
      </c>
      <c r="M404" s="163" t="s">
        <v>43</v>
      </c>
      <c r="N404" s="188">
        <v>44967</v>
      </c>
      <c r="O404" s="124" t="s">
        <v>44</v>
      </c>
      <c r="P404" s="129" t="s">
        <v>2347</v>
      </c>
      <c r="Q404" s="129" t="s">
        <v>3676</v>
      </c>
      <c r="R404" s="163" t="s">
        <v>5001</v>
      </c>
      <c r="S404" s="124">
        <f>VLOOKUP(B404,'[1]SN Salary Sheet'!$A$4:$D$207,4,0)</f>
        <v>28735</v>
      </c>
      <c r="T404" s="144">
        <f>VLOOKUP(B404,[4]CLINICAL!$A$4:$B$356,2,0)</f>
        <v>101817093809</v>
      </c>
      <c r="U404" s="145" t="s">
        <v>5002</v>
      </c>
      <c r="V404" s="154">
        <v>3714703295</v>
      </c>
      <c r="W404" s="145" t="s">
        <v>5003</v>
      </c>
      <c r="X404" s="145" t="s">
        <v>5004</v>
      </c>
      <c r="Y404" s="149" t="s">
        <v>65</v>
      </c>
      <c r="Z404" s="145" t="s">
        <v>5005</v>
      </c>
      <c r="AA404" s="149" t="s">
        <v>5006</v>
      </c>
      <c r="AB404" s="149" t="s">
        <v>5006</v>
      </c>
      <c r="AC404" s="189" t="s">
        <v>4997</v>
      </c>
      <c r="AD404" s="145"/>
      <c r="AE404" s="145"/>
      <c r="AF404" s="145"/>
      <c r="AG404" s="187" t="s">
        <v>5311</v>
      </c>
      <c r="AH404" s="145"/>
      <c r="AI404" s="145"/>
      <c r="AJ404" s="146"/>
      <c r="AK404" s="128"/>
      <c r="AL404" s="129"/>
      <c r="AM404" s="129"/>
    </row>
    <row r="405" spans="1:39" ht="28.5">
      <c r="A405" s="137">
        <f>SUBTOTAL(3,$B$3:B405)</f>
        <v>403</v>
      </c>
      <c r="B405" s="193" t="s">
        <v>5007</v>
      </c>
      <c r="C405" s="194" t="s">
        <v>5008</v>
      </c>
      <c r="D405" s="195" t="s">
        <v>5009</v>
      </c>
      <c r="E405" s="196" t="s">
        <v>4609</v>
      </c>
      <c r="F405" s="196" t="s">
        <v>5010</v>
      </c>
      <c r="G405" s="196" t="s">
        <v>2345</v>
      </c>
      <c r="H405" s="196" t="s">
        <v>5011</v>
      </c>
      <c r="I405" s="196" t="s">
        <v>40</v>
      </c>
      <c r="J405" s="197">
        <v>36965</v>
      </c>
      <c r="K405" s="196" t="s">
        <v>41</v>
      </c>
      <c r="L405" s="196" t="s">
        <v>42</v>
      </c>
      <c r="M405" s="195" t="s">
        <v>43</v>
      </c>
      <c r="N405" s="197">
        <v>44967</v>
      </c>
      <c r="O405" s="124" t="s">
        <v>44</v>
      </c>
      <c r="P405" s="196" t="s">
        <v>2347</v>
      </c>
      <c r="Q405" s="196" t="s">
        <v>3676</v>
      </c>
      <c r="R405" s="195">
        <v>8320237182</v>
      </c>
      <c r="S405" s="124">
        <f>VLOOKUP(B405,'[1]SN Salary Sheet'!$A$4:$D$207,4,0)</f>
        <v>28742</v>
      </c>
      <c r="T405" s="144">
        <f>VLOOKUP(B405,[4]CLINICAL!$A$4:$B$356,2,0)</f>
        <v>101919050916</v>
      </c>
      <c r="U405" s="157" t="s">
        <v>5012</v>
      </c>
      <c r="V405" s="148">
        <v>3714703311</v>
      </c>
      <c r="W405" s="157" t="s">
        <v>5013</v>
      </c>
      <c r="X405" s="157" t="s">
        <v>5014</v>
      </c>
      <c r="Y405" s="198" t="s">
        <v>65</v>
      </c>
      <c r="Z405" s="157" t="s">
        <v>5015</v>
      </c>
      <c r="AA405" s="198" t="s">
        <v>5016</v>
      </c>
      <c r="AB405" s="198" t="s">
        <v>5016</v>
      </c>
      <c r="AC405" s="199" t="s">
        <v>5007</v>
      </c>
      <c r="AD405" s="157"/>
      <c r="AE405" s="157"/>
      <c r="AF405" s="157"/>
      <c r="AG405" s="200" t="s">
        <v>5312</v>
      </c>
      <c r="AH405" s="157"/>
      <c r="AI405" s="157"/>
      <c r="AJ405" s="146"/>
      <c r="AK405" s="128"/>
      <c r="AL405" s="129"/>
      <c r="AM405" s="129"/>
    </row>
    <row r="406" spans="1:39" s="201" customFormat="1" ht="42.75">
      <c r="A406" s="137">
        <f>SUBTOTAL(3,$B$3:B406)</f>
        <v>404</v>
      </c>
      <c r="B406" s="121" t="s">
        <v>5019</v>
      </c>
      <c r="C406" s="165" t="s">
        <v>5020</v>
      </c>
      <c r="D406" s="163" t="s">
        <v>5020</v>
      </c>
      <c r="E406" s="129" t="s">
        <v>212</v>
      </c>
      <c r="F406" s="129" t="s">
        <v>5021</v>
      </c>
      <c r="G406" s="129" t="s">
        <v>2345</v>
      </c>
      <c r="H406" s="129" t="s">
        <v>3406</v>
      </c>
      <c r="I406" s="129" t="s">
        <v>40</v>
      </c>
      <c r="J406" s="188">
        <v>36954</v>
      </c>
      <c r="K406" s="129" t="s">
        <v>41</v>
      </c>
      <c r="L406" s="129" t="s">
        <v>42</v>
      </c>
      <c r="M406" s="163" t="s">
        <v>4770</v>
      </c>
      <c r="N406" s="188">
        <v>44982</v>
      </c>
      <c r="O406" s="124" t="s">
        <v>44</v>
      </c>
      <c r="P406" s="129" t="s">
        <v>2347</v>
      </c>
      <c r="Q406" s="129" t="s">
        <v>3676</v>
      </c>
      <c r="R406" s="163">
        <v>9714373657</v>
      </c>
      <c r="S406" s="124">
        <f>VLOOKUP(B406,'[1]SN Salary Sheet'!$A$4:$D$207,4,0)</f>
        <v>28771</v>
      </c>
      <c r="T406" s="144">
        <f>VLOOKUP(B406,[4]CLINICAL!$A$4:$B$356,2,0)</f>
        <v>101875878884</v>
      </c>
      <c r="U406" s="145" t="s">
        <v>5022</v>
      </c>
      <c r="V406" s="145" t="s">
        <v>5023</v>
      </c>
      <c r="W406" s="145" t="s">
        <v>5024</v>
      </c>
      <c r="X406" s="145" t="s">
        <v>5025</v>
      </c>
      <c r="Y406" s="149" t="s">
        <v>1852</v>
      </c>
      <c r="Z406" s="145" t="s">
        <v>5026</v>
      </c>
      <c r="AA406" s="149" t="s">
        <v>5027</v>
      </c>
      <c r="AB406" s="149" t="s">
        <v>5027</v>
      </c>
      <c r="AC406" s="189" t="s">
        <v>5019</v>
      </c>
      <c r="AD406" s="145"/>
      <c r="AE406" s="145"/>
      <c r="AF406" s="145"/>
      <c r="AG406" s="187" t="s">
        <v>5455</v>
      </c>
      <c r="AH406" s="145"/>
      <c r="AI406" s="145"/>
      <c r="AJ406" s="127"/>
      <c r="AK406" s="128"/>
      <c r="AL406" s="129"/>
      <c r="AM406" s="129"/>
    </row>
    <row r="407" spans="1:39" s="201" customFormat="1" ht="28.5">
      <c r="A407" s="137">
        <f>SUBTOTAL(3,$B$3:B407)</f>
        <v>405</v>
      </c>
      <c r="B407" s="190" t="s">
        <v>5028</v>
      </c>
      <c r="C407" s="124" t="s">
        <v>5029</v>
      </c>
      <c r="D407" s="163" t="s">
        <v>5029</v>
      </c>
      <c r="E407" s="129" t="s">
        <v>754</v>
      </c>
      <c r="F407" s="129" t="s">
        <v>4624</v>
      </c>
      <c r="G407" s="129" t="s">
        <v>2345</v>
      </c>
      <c r="H407" s="129" t="s">
        <v>2230</v>
      </c>
      <c r="I407" s="129" t="s">
        <v>40</v>
      </c>
      <c r="J407" s="188">
        <v>35256</v>
      </c>
      <c r="K407" s="129" t="s">
        <v>280</v>
      </c>
      <c r="L407" s="129" t="s">
        <v>42</v>
      </c>
      <c r="M407" s="163" t="s">
        <v>5030</v>
      </c>
      <c r="N407" s="188">
        <v>44984</v>
      </c>
      <c r="O407" s="163" t="s">
        <v>2991</v>
      </c>
      <c r="P407" s="129" t="s">
        <v>2347</v>
      </c>
      <c r="Q407" s="129" t="s">
        <v>3676</v>
      </c>
      <c r="R407" s="163" t="s">
        <v>5031</v>
      </c>
      <c r="S407" s="124" t="e">
        <f>VLOOKUP(B407,'[3]NCL SAL. SHEET'!$A$4:$D$126,4,0)</f>
        <v>#N/A</v>
      </c>
      <c r="T407" s="144">
        <f>VLOOKUP(B407,[4]NONCLINICAL!$A$4:$B$170,2,0)</f>
        <v>101429729209</v>
      </c>
      <c r="U407" s="145" t="s">
        <v>5032</v>
      </c>
      <c r="V407" s="145" t="s">
        <v>5033</v>
      </c>
      <c r="W407" s="145" t="s">
        <v>5034</v>
      </c>
      <c r="X407" s="145" t="s">
        <v>5036</v>
      </c>
      <c r="Y407" s="149" t="s">
        <v>619</v>
      </c>
      <c r="Z407" s="145" t="s">
        <v>5035</v>
      </c>
      <c r="AA407" s="149" t="s">
        <v>5037</v>
      </c>
      <c r="AB407" s="149" t="s">
        <v>5037</v>
      </c>
      <c r="AC407" s="189" t="s">
        <v>5028</v>
      </c>
      <c r="AD407" s="145"/>
      <c r="AE407" s="145"/>
      <c r="AF407" s="145"/>
      <c r="AG407" s="187" t="s">
        <v>5221</v>
      </c>
      <c r="AH407" s="145"/>
      <c r="AI407" s="145"/>
      <c r="AJ407" s="127"/>
      <c r="AK407" s="128"/>
      <c r="AL407" s="129"/>
      <c r="AM407" s="129"/>
    </row>
    <row r="408" spans="1:39" ht="28.5">
      <c r="A408" s="137">
        <f>SUBTOTAL(3,$B$3:B408)</f>
        <v>406</v>
      </c>
      <c r="B408" s="192" t="s">
        <v>5038</v>
      </c>
      <c r="C408" s="184" t="s">
        <v>5039</v>
      </c>
      <c r="D408" s="163" t="s">
        <v>5040</v>
      </c>
      <c r="E408" s="129" t="s">
        <v>754</v>
      </c>
      <c r="F408" s="129" t="s">
        <v>2496</v>
      </c>
      <c r="G408" s="129" t="s">
        <v>2389</v>
      </c>
      <c r="H408" s="129" t="s">
        <v>5041</v>
      </c>
      <c r="I408" s="129" t="s">
        <v>40</v>
      </c>
      <c r="J408" s="188">
        <v>36887</v>
      </c>
      <c r="K408" s="129" t="s">
        <v>41</v>
      </c>
      <c r="L408" s="129" t="s">
        <v>42</v>
      </c>
      <c r="M408" s="163" t="s">
        <v>5042</v>
      </c>
      <c r="N408" s="188">
        <v>44988</v>
      </c>
      <c r="O408" s="163" t="s">
        <v>2159</v>
      </c>
      <c r="P408" s="129" t="s">
        <v>2347</v>
      </c>
      <c r="Q408" s="129" t="s">
        <v>3676</v>
      </c>
      <c r="R408" s="163" t="s">
        <v>5043</v>
      </c>
      <c r="S408" s="124" t="e">
        <f>VLOOKUP(B408,'[3]NCL SAL. SHEET'!$A$4:$D$126,4,0)</f>
        <v>#N/A</v>
      </c>
      <c r="T408" s="144">
        <f>VLOOKUP(B408,[4]NONCLINICAL!$A$4:$B$170,2,0)</f>
        <v>101922252448</v>
      </c>
      <c r="U408" s="145" t="s">
        <v>5044</v>
      </c>
      <c r="V408" s="144">
        <f>VLOOKUP(B408,[4]NONCLINICAL!$A$4:$C$356,3,0)</f>
        <v>3714720207</v>
      </c>
      <c r="W408" s="145" t="s">
        <v>5045</v>
      </c>
      <c r="X408" s="145" t="s">
        <v>5046</v>
      </c>
      <c r="Y408" s="149" t="s">
        <v>65</v>
      </c>
      <c r="Z408" s="145" t="s">
        <v>5047</v>
      </c>
      <c r="AA408" s="149" t="s">
        <v>5048</v>
      </c>
      <c r="AB408" s="149" t="s">
        <v>5048</v>
      </c>
      <c r="AC408" s="189" t="s">
        <v>5038</v>
      </c>
      <c r="AD408" s="145"/>
      <c r="AE408" s="145"/>
      <c r="AF408" s="145"/>
      <c r="AG408" s="187" t="s">
        <v>5412</v>
      </c>
      <c r="AH408" s="145"/>
      <c r="AI408" s="145"/>
      <c r="AJ408" s="146"/>
      <c r="AK408" s="128"/>
      <c r="AL408" s="129"/>
      <c r="AM408" s="129"/>
    </row>
    <row r="409" spans="1:39" ht="28.5">
      <c r="A409" s="137">
        <f>SUBTOTAL(3,$B$3:B409)</f>
        <v>407</v>
      </c>
      <c r="B409" s="121" t="s">
        <v>5049</v>
      </c>
      <c r="C409" s="165" t="s">
        <v>5050</v>
      </c>
      <c r="D409" s="163" t="s">
        <v>5050</v>
      </c>
      <c r="E409" s="129" t="s">
        <v>3862</v>
      </c>
      <c r="F409" s="129" t="s">
        <v>5051</v>
      </c>
      <c r="G409" s="129" t="s">
        <v>2389</v>
      </c>
      <c r="H409" s="129" t="s">
        <v>138</v>
      </c>
      <c r="I409" s="129" t="s">
        <v>40</v>
      </c>
      <c r="J409" s="188">
        <v>34726</v>
      </c>
      <c r="K409" s="129" t="s">
        <v>41</v>
      </c>
      <c r="L409" s="129" t="s">
        <v>42</v>
      </c>
      <c r="M409" s="163" t="s">
        <v>1405</v>
      </c>
      <c r="N409" s="188">
        <v>44989</v>
      </c>
      <c r="O409" s="163" t="s">
        <v>2991</v>
      </c>
      <c r="P409" s="129" t="s">
        <v>2347</v>
      </c>
      <c r="Q409" s="129" t="s">
        <v>3676</v>
      </c>
      <c r="R409" s="163">
        <v>9879005199</v>
      </c>
      <c r="S409" s="124">
        <f>VLOOKUP(B409,'[3]NCL SAL. SHEET'!$A$4:$D$126,4,0)</f>
        <v>28795</v>
      </c>
      <c r="T409" s="144">
        <f>VLOOKUP(B409,[4]NONCLINICAL!$A$4:$B$170,2,0)</f>
        <v>101922252453</v>
      </c>
      <c r="U409" s="145" t="s">
        <v>5052</v>
      </c>
      <c r="V409" s="144">
        <f>VLOOKUP(B409,[4]NONCLINICAL!$A$4:$C$356,3,0)</f>
        <v>3714720210</v>
      </c>
      <c r="W409" s="145" t="s">
        <v>5053</v>
      </c>
      <c r="X409" s="145" t="s">
        <v>5054</v>
      </c>
      <c r="Y409" s="149" t="s">
        <v>132</v>
      </c>
      <c r="Z409" s="145" t="s">
        <v>3129</v>
      </c>
      <c r="AA409" s="149" t="s">
        <v>5055</v>
      </c>
      <c r="AB409" s="149" t="s">
        <v>5055</v>
      </c>
      <c r="AC409" s="189" t="s">
        <v>5049</v>
      </c>
      <c r="AD409" s="145"/>
      <c r="AE409" s="145"/>
      <c r="AF409" s="145"/>
      <c r="AG409" s="187" t="s">
        <v>5222</v>
      </c>
      <c r="AH409" s="145"/>
      <c r="AI409" s="145"/>
      <c r="AJ409" s="146"/>
      <c r="AK409" s="128"/>
      <c r="AL409" s="129"/>
      <c r="AM409" s="129"/>
    </row>
    <row r="410" spans="1:39" ht="28.5">
      <c r="A410" s="137">
        <f>SUBTOTAL(3,$B$3:B410)</f>
        <v>408</v>
      </c>
      <c r="B410" s="190" t="s">
        <v>5056</v>
      </c>
      <c r="C410" s="184" t="s">
        <v>5057</v>
      </c>
      <c r="D410" s="163" t="s">
        <v>5058</v>
      </c>
      <c r="E410" s="129" t="s">
        <v>3292</v>
      </c>
      <c r="F410" s="129" t="s">
        <v>5059</v>
      </c>
      <c r="G410" s="129" t="s">
        <v>2345</v>
      </c>
      <c r="H410" s="129" t="s">
        <v>5060</v>
      </c>
      <c r="I410" s="129" t="s">
        <v>702</v>
      </c>
      <c r="J410" s="188">
        <v>33467</v>
      </c>
      <c r="K410" s="129" t="s">
        <v>280</v>
      </c>
      <c r="L410" s="129" t="s">
        <v>42</v>
      </c>
      <c r="M410" s="163" t="s">
        <v>5061</v>
      </c>
      <c r="N410" s="188">
        <v>44992</v>
      </c>
      <c r="O410" s="124" t="s">
        <v>2644</v>
      </c>
      <c r="P410" s="129" t="s">
        <v>2347</v>
      </c>
      <c r="Q410" s="129" t="s">
        <v>3676</v>
      </c>
      <c r="R410" s="163" t="s">
        <v>5062</v>
      </c>
      <c r="S410" s="124" t="e">
        <f>VLOOKUP(B410,'[2]CL SAL SHEET'!$A$4:$D$57,4,0)</f>
        <v>#N/A</v>
      </c>
      <c r="T410" s="144">
        <f>VLOOKUP(B410,[4]CLINICAL!$A$4:$B$356,2,0)</f>
        <v>101926593909</v>
      </c>
      <c r="U410" s="145" t="s">
        <v>5063</v>
      </c>
      <c r="V410" s="144">
        <f>VLOOKUP(B410,[4]CLINICAL!$A$4:$C$356,3,0)</f>
        <v>3714733242</v>
      </c>
      <c r="W410" s="145" t="s">
        <v>5064</v>
      </c>
      <c r="X410" s="145" t="s">
        <v>5065</v>
      </c>
      <c r="Y410" s="149" t="s">
        <v>619</v>
      </c>
      <c r="Z410" s="145" t="s">
        <v>751</v>
      </c>
      <c r="AA410" s="149" t="s">
        <v>5066</v>
      </c>
      <c r="AB410" s="149" t="s">
        <v>5066</v>
      </c>
      <c r="AC410" s="189" t="s">
        <v>5056</v>
      </c>
      <c r="AD410" s="145"/>
      <c r="AE410" s="145"/>
      <c r="AF410" s="145"/>
      <c r="AG410" s="187" t="s">
        <v>5413</v>
      </c>
      <c r="AH410" s="145"/>
      <c r="AI410" s="145"/>
      <c r="AJ410" s="146"/>
      <c r="AK410" s="128"/>
      <c r="AL410" s="129"/>
      <c r="AM410" s="129"/>
    </row>
    <row r="411" spans="1:39" ht="28.5">
      <c r="A411" s="137">
        <f>SUBTOTAL(3,$B$3:B411)</f>
        <v>409</v>
      </c>
      <c r="B411" s="193" t="s">
        <v>5461</v>
      </c>
      <c r="C411" s="194" t="s">
        <v>5462</v>
      </c>
      <c r="D411" s="195" t="s">
        <v>5462</v>
      </c>
      <c r="E411" s="196" t="s">
        <v>249</v>
      </c>
      <c r="F411" s="196" t="s">
        <v>887</v>
      </c>
      <c r="G411" s="196" t="s">
        <v>2345</v>
      </c>
      <c r="H411" s="196" t="s">
        <v>138</v>
      </c>
      <c r="I411" s="196" t="s">
        <v>40</v>
      </c>
      <c r="J411" s="197">
        <v>36045</v>
      </c>
      <c r="K411" s="196" t="s">
        <v>41</v>
      </c>
      <c r="L411" s="196" t="s">
        <v>42</v>
      </c>
      <c r="M411" s="195" t="s">
        <v>1104</v>
      </c>
      <c r="N411" s="197">
        <v>44999</v>
      </c>
      <c r="O411" s="195" t="s">
        <v>3037</v>
      </c>
      <c r="P411" s="137" t="s">
        <v>3048</v>
      </c>
      <c r="Q411" s="196" t="s">
        <v>3676</v>
      </c>
      <c r="R411" s="195" t="s">
        <v>5463</v>
      </c>
      <c r="S411" s="124">
        <f>VLOOKUP(B411,'[2]CL SAL SHEET'!$A$4:$D$57,4,0)</f>
        <v>28853</v>
      </c>
      <c r="T411" s="144">
        <f>VLOOKUP(B411,[4]CLINICAL!$A$4:$B$356,2,0)</f>
        <v>101926593899</v>
      </c>
      <c r="U411" s="126" t="s">
        <v>6178</v>
      </c>
      <c r="V411" s="144">
        <f>VLOOKUP(B411,[4]CLINICAL!$A$4:$C$356,3,0)</f>
        <v>3714733255</v>
      </c>
      <c r="W411" s="157" t="s">
        <v>5464</v>
      </c>
      <c r="X411" s="157" t="s">
        <v>5465</v>
      </c>
      <c r="Y411" s="198" t="s">
        <v>65</v>
      </c>
      <c r="Z411" s="157" t="s">
        <v>1361</v>
      </c>
      <c r="AA411" s="198" t="s">
        <v>5466</v>
      </c>
      <c r="AB411" s="198" t="s">
        <v>5466</v>
      </c>
      <c r="AC411" s="199" t="s">
        <v>5461</v>
      </c>
      <c r="AD411" s="157"/>
      <c r="AE411" s="157"/>
      <c r="AF411" s="157"/>
      <c r="AG411" s="200" t="s">
        <v>5567</v>
      </c>
      <c r="AH411" s="157"/>
      <c r="AI411" s="157"/>
      <c r="AJ411" s="146"/>
      <c r="AK411" s="128"/>
      <c r="AL411" s="129"/>
      <c r="AM411" s="129"/>
    </row>
    <row r="412" spans="1:39" ht="28.5">
      <c r="A412" s="137">
        <f>SUBTOTAL(3,$B$3:B412)</f>
        <v>410</v>
      </c>
      <c r="B412" s="121" t="s">
        <v>5467</v>
      </c>
      <c r="C412" s="165" t="s">
        <v>5468</v>
      </c>
      <c r="D412" s="163" t="s">
        <v>5469</v>
      </c>
      <c r="E412" s="129" t="s">
        <v>1137</v>
      </c>
      <c r="F412" s="129" t="s">
        <v>5470</v>
      </c>
      <c r="G412" s="129" t="s">
        <v>2345</v>
      </c>
      <c r="H412" s="129" t="s">
        <v>2205</v>
      </c>
      <c r="I412" s="129" t="s">
        <v>40</v>
      </c>
      <c r="J412" s="188">
        <v>34916</v>
      </c>
      <c r="K412" s="129" t="s">
        <v>41</v>
      </c>
      <c r="L412" s="129" t="s">
        <v>42</v>
      </c>
      <c r="M412" s="163" t="s">
        <v>5471</v>
      </c>
      <c r="N412" s="188">
        <v>45000</v>
      </c>
      <c r="O412" s="163" t="s">
        <v>3104</v>
      </c>
      <c r="P412" s="129" t="s">
        <v>2347</v>
      </c>
      <c r="Q412" s="129" t="s">
        <v>3676</v>
      </c>
      <c r="R412" s="163">
        <v>8980797748</v>
      </c>
      <c r="S412" s="124">
        <f>VLOOKUP(B412,'[2]CL SAL SHEET'!$A$4:$D$57,4,0)</f>
        <v>28856</v>
      </c>
      <c r="T412" s="144">
        <f>VLOOKUP(B412,[4]CLINICAL!$A$4:$B$356,2,0)</f>
        <v>101389890725</v>
      </c>
      <c r="U412" s="145" t="s">
        <v>5472</v>
      </c>
      <c r="V412" s="144">
        <f>VLOOKUP(B412,[4]CLINICAL!$A$4:$C$356,3,0)</f>
        <v>3714733250</v>
      </c>
      <c r="W412" s="145" t="s">
        <v>5473</v>
      </c>
      <c r="X412" s="145" t="s">
        <v>5474</v>
      </c>
      <c r="Y412" s="149" t="s">
        <v>326</v>
      </c>
      <c r="Z412" s="145" t="s">
        <v>436</v>
      </c>
      <c r="AA412" s="149" t="s">
        <v>6519</v>
      </c>
      <c r="AB412" s="149" t="s">
        <v>6519</v>
      </c>
      <c r="AC412" s="189" t="s">
        <v>5467</v>
      </c>
      <c r="AD412" s="145"/>
      <c r="AE412" s="145"/>
      <c r="AF412" s="145"/>
      <c r="AG412" s="187" t="s">
        <v>5568</v>
      </c>
      <c r="AH412" s="145"/>
      <c r="AI412" s="145"/>
      <c r="AJ412" s="146"/>
      <c r="AK412" s="128"/>
      <c r="AL412" s="129"/>
      <c r="AM412" s="129"/>
    </row>
    <row r="413" spans="1:39" ht="28.5">
      <c r="A413" s="137">
        <f>SUBTOTAL(3,$B$3:B413)</f>
        <v>411</v>
      </c>
      <c r="B413" s="121" t="s">
        <v>5475</v>
      </c>
      <c r="C413" s="165" t="s">
        <v>5476</v>
      </c>
      <c r="D413" s="163" t="s">
        <v>5476</v>
      </c>
      <c r="E413" s="129" t="s">
        <v>5477</v>
      </c>
      <c r="F413" s="129" t="s">
        <v>5478</v>
      </c>
      <c r="G413" s="129" t="s">
        <v>2389</v>
      </c>
      <c r="H413" s="129" t="s">
        <v>138</v>
      </c>
      <c r="I413" s="129" t="s">
        <v>40</v>
      </c>
      <c r="J413" s="188">
        <v>37036</v>
      </c>
      <c r="K413" s="129" t="s">
        <v>41</v>
      </c>
      <c r="L413" s="129" t="s">
        <v>42</v>
      </c>
      <c r="M413" s="163" t="s">
        <v>1992</v>
      </c>
      <c r="N413" s="188">
        <v>45000</v>
      </c>
      <c r="O413" s="163" t="s">
        <v>2981</v>
      </c>
      <c r="P413" s="129" t="s">
        <v>2347</v>
      </c>
      <c r="Q413" s="129" t="s">
        <v>3676</v>
      </c>
      <c r="R413" s="163" t="s">
        <v>5479</v>
      </c>
      <c r="S413" s="124">
        <f>VLOOKUP(B413,'[2]CL SAL SHEET'!$A$4:$D$57,4,0)</f>
        <v>28855</v>
      </c>
      <c r="T413" s="144">
        <f>VLOOKUP(B413,[4]CLINICAL!$A$4:$B$356,2,0)</f>
        <v>101926593913</v>
      </c>
      <c r="U413" s="145" t="s">
        <v>5480</v>
      </c>
      <c r="V413" s="144">
        <f>VLOOKUP(B413,[4]CLINICAL!$A$4:$C$356,3,0)</f>
        <v>3714733256</v>
      </c>
      <c r="W413" s="145" t="s">
        <v>5481</v>
      </c>
      <c r="X413" s="145" t="s">
        <v>5482</v>
      </c>
      <c r="Y413" s="149" t="s">
        <v>65</v>
      </c>
      <c r="Z413" s="145" t="s">
        <v>4634</v>
      </c>
      <c r="AA413" s="149" t="s">
        <v>6536</v>
      </c>
      <c r="AB413" s="149" t="s">
        <v>6536</v>
      </c>
      <c r="AC413" s="189" t="s">
        <v>5475</v>
      </c>
      <c r="AD413" s="145"/>
      <c r="AE413" s="145"/>
      <c r="AF413" s="145"/>
      <c r="AG413" s="187" t="s">
        <v>5569</v>
      </c>
      <c r="AH413" s="145"/>
      <c r="AI413" s="145"/>
      <c r="AJ413" s="146"/>
      <c r="AK413" s="128"/>
      <c r="AL413" s="129"/>
      <c r="AM413" s="129"/>
    </row>
    <row r="414" spans="1:39" ht="42.75">
      <c r="A414" s="137">
        <f>SUBTOTAL(3,$B$3:B414)</f>
        <v>412</v>
      </c>
      <c r="B414" s="121" t="s">
        <v>5483</v>
      </c>
      <c r="C414" s="165" t="s">
        <v>5484</v>
      </c>
      <c r="D414" s="163" t="s">
        <v>5484</v>
      </c>
      <c r="E414" s="129" t="s">
        <v>5485</v>
      </c>
      <c r="F414" s="129" t="s">
        <v>5486</v>
      </c>
      <c r="G414" s="129" t="s">
        <v>2345</v>
      </c>
      <c r="H414" s="129" t="s">
        <v>5487</v>
      </c>
      <c r="I414" s="129" t="s">
        <v>40</v>
      </c>
      <c r="J414" s="188">
        <v>36579</v>
      </c>
      <c r="K414" s="129" t="s">
        <v>41</v>
      </c>
      <c r="L414" s="129" t="s">
        <v>42</v>
      </c>
      <c r="M414" s="163" t="s">
        <v>5488</v>
      </c>
      <c r="N414" s="188">
        <v>45001</v>
      </c>
      <c r="O414" s="163" t="s">
        <v>2193</v>
      </c>
      <c r="P414" s="137" t="s">
        <v>3048</v>
      </c>
      <c r="Q414" s="129" t="s">
        <v>3676</v>
      </c>
      <c r="R414" s="163" t="s">
        <v>5489</v>
      </c>
      <c r="S414" s="124">
        <f>VLOOKUP(B414,'[3]NCL SAL. SHEET'!$A$4:$D$126,4,0)</f>
        <v>28930</v>
      </c>
      <c r="T414" s="144">
        <f>VLOOKUP(B414,[4]NONCLINICAL!$A$4:$B$170,2,0)</f>
        <v>101929205997</v>
      </c>
      <c r="U414" s="126" t="s">
        <v>6178</v>
      </c>
      <c r="V414" s="144">
        <f>VLOOKUP(B414,[4]NONCLINICAL!$A$4:$C$356,3,0)</f>
        <v>3714747669</v>
      </c>
      <c r="W414" s="145" t="s">
        <v>5490</v>
      </c>
      <c r="X414" s="145" t="s">
        <v>5491</v>
      </c>
      <c r="Y414" s="149" t="s">
        <v>619</v>
      </c>
      <c r="Z414" s="145" t="s">
        <v>751</v>
      </c>
      <c r="AA414" s="149" t="s">
        <v>5492</v>
      </c>
      <c r="AB414" s="149" t="s">
        <v>5492</v>
      </c>
      <c r="AC414" s="189" t="s">
        <v>5483</v>
      </c>
      <c r="AD414" s="145"/>
      <c r="AE414" s="145"/>
      <c r="AF414" s="145"/>
      <c r="AG414" s="187" t="s">
        <v>5570</v>
      </c>
      <c r="AH414" s="145"/>
      <c r="AI414" s="145"/>
      <c r="AJ414" s="146"/>
      <c r="AK414" s="128"/>
      <c r="AL414" s="129"/>
      <c r="AM414" s="129"/>
    </row>
    <row r="415" spans="1:39" ht="28.5">
      <c r="A415" s="137">
        <f>SUBTOTAL(3,$B$3:B415)</f>
        <v>413</v>
      </c>
      <c r="B415" s="121" t="s">
        <v>5493</v>
      </c>
      <c r="C415" s="165" t="s">
        <v>5494</v>
      </c>
      <c r="D415" s="163" t="s">
        <v>5494</v>
      </c>
      <c r="E415" s="129" t="s">
        <v>136</v>
      </c>
      <c r="F415" s="129" t="s">
        <v>4790</v>
      </c>
      <c r="G415" s="129" t="s">
        <v>2389</v>
      </c>
      <c r="H415" s="129" t="s">
        <v>2596</v>
      </c>
      <c r="I415" s="129" t="s">
        <v>40</v>
      </c>
      <c r="J415" s="188">
        <v>33580</v>
      </c>
      <c r="K415" s="129" t="s">
        <v>280</v>
      </c>
      <c r="L415" s="129" t="s">
        <v>42</v>
      </c>
      <c r="M415" s="163" t="s">
        <v>1044</v>
      </c>
      <c r="N415" s="188">
        <v>45001</v>
      </c>
      <c r="O415" s="163" t="s">
        <v>2991</v>
      </c>
      <c r="P415" s="129" t="s">
        <v>2347</v>
      </c>
      <c r="Q415" s="129" t="s">
        <v>3676</v>
      </c>
      <c r="R415" s="163">
        <v>8320956115</v>
      </c>
      <c r="S415" s="124">
        <f>VLOOKUP(B415,'[3]NCL SAL. SHEET'!$A$4:$D$126,4,0)</f>
        <v>28933</v>
      </c>
      <c r="T415" s="144">
        <f>VLOOKUP(B415,[4]NONCLINICAL!$A$4:$B$170,2,0)</f>
        <v>101529149649</v>
      </c>
      <c r="U415" s="145" t="s">
        <v>5495</v>
      </c>
      <c r="V415" s="144">
        <f>VLOOKUP(B415,[4]NONCLINICAL!$A$4:$C$356,3,0)</f>
        <v>3714747698</v>
      </c>
      <c r="W415" s="145" t="s">
        <v>5496</v>
      </c>
      <c r="X415" s="145" t="s">
        <v>5497</v>
      </c>
      <c r="Y415" s="149" t="s">
        <v>1852</v>
      </c>
      <c r="Z415" s="145" t="s">
        <v>1851</v>
      </c>
      <c r="AA415" s="149" t="s">
        <v>5498</v>
      </c>
      <c r="AB415" s="149" t="s">
        <v>5498</v>
      </c>
      <c r="AC415" s="189" t="s">
        <v>5493</v>
      </c>
      <c r="AD415" s="145"/>
      <c r="AE415" s="145"/>
      <c r="AF415" s="145"/>
      <c r="AG415" s="187" t="s">
        <v>5571</v>
      </c>
      <c r="AH415" s="145"/>
      <c r="AI415" s="145"/>
      <c r="AJ415" s="146"/>
      <c r="AK415" s="128"/>
      <c r="AL415" s="129"/>
      <c r="AM415" s="129"/>
    </row>
    <row r="416" spans="1:39" ht="42.75">
      <c r="A416" s="137">
        <f>SUBTOTAL(3,$B$3:B416)</f>
        <v>414</v>
      </c>
      <c r="B416" s="121" t="s">
        <v>5499</v>
      </c>
      <c r="C416" s="165" t="s">
        <v>5500</v>
      </c>
      <c r="D416" s="163" t="s">
        <v>5500</v>
      </c>
      <c r="E416" s="163" t="s">
        <v>1172</v>
      </c>
      <c r="F416" s="129" t="s">
        <v>2936</v>
      </c>
      <c r="G416" s="129" t="s">
        <v>2389</v>
      </c>
      <c r="H416" s="129" t="s">
        <v>711</v>
      </c>
      <c r="I416" s="129" t="s">
        <v>40</v>
      </c>
      <c r="J416" s="188">
        <v>36773</v>
      </c>
      <c r="K416" s="129" t="s">
        <v>41</v>
      </c>
      <c r="L416" s="129" t="s">
        <v>42</v>
      </c>
      <c r="M416" s="163" t="s">
        <v>2219</v>
      </c>
      <c r="N416" s="188">
        <v>45001</v>
      </c>
      <c r="O416" s="163" t="s">
        <v>2193</v>
      </c>
      <c r="P416" s="137" t="s">
        <v>3048</v>
      </c>
      <c r="Q416" s="129" t="s">
        <v>3676</v>
      </c>
      <c r="R416" s="163" t="s">
        <v>5501</v>
      </c>
      <c r="S416" s="124" t="e">
        <f>VLOOKUP(B416,'[3]NCL SAL. SHEET'!$A$4:$D$126,4,0)</f>
        <v>#N/A</v>
      </c>
      <c r="T416" s="144">
        <f>VLOOKUP(B416,[4]NONCLINICAL!$A$4:$B$170,2,0)</f>
        <v>101929206425</v>
      </c>
      <c r="U416" s="145" t="s">
        <v>5502</v>
      </c>
      <c r="V416" s="144">
        <f>VLOOKUP(B416,[4]NONCLINICAL!$A$4:$C$356,3,0)</f>
        <v>3714747701</v>
      </c>
      <c r="W416" s="145" t="s">
        <v>5503</v>
      </c>
      <c r="X416" s="145" t="s">
        <v>5504</v>
      </c>
      <c r="Y416" s="149" t="s">
        <v>65</v>
      </c>
      <c r="Z416" s="145" t="s">
        <v>1500</v>
      </c>
      <c r="AA416" s="149" t="s">
        <v>5505</v>
      </c>
      <c r="AB416" s="149" t="s">
        <v>5505</v>
      </c>
      <c r="AC416" s="189" t="s">
        <v>5499</v>
      </c>
      <c r="AD416" s="145"/>
      <c r="AE416" s="145"/>
      <c r="AF416" s="145"/>
      <c r="AG416" s="187" t="s">
        <v>5572</v>
      </c>
      <c r="AH416" s="145"/>
      <c r="AI416" s="145"/>
      <c r="AJ416" s="146"/>
      <c r="AK416" s="128"/>
      <c r="AL416" s="129"/>
      <c r="AM416" s="129"/>
    </row>
    <row r="417" spans="1:40" ht="42.75">
      <c r="A417" s="137">
        <f>SUBTOTAL(3,$B$3:B417)</f>
        <v>415</v>
      </c>
      <c r="B417" s="121" t="s">
        <v>5506</v>
      </c>
      <c r="C417" s="165" t="s">
        <v>5507</v>
      </c>
      <c r="D417" s="163" t="s">
        <v>5508</v>
      </c>
      <c r="E417" s="129" t="s">
        <v>291</v>
      </c>
      <c r="F417" s="129" t="s">
        <v>1540</v>
      </c>
      <c r="G417" s="129" t="s">
        <v>2389</v>
      </c>
      <c r="H417" s="129" t="s">
        <v>251</v>
      </c>
      <c r="I417" s="129" t="s">
        <v>40</v>
      </c>
      <c r="J417" s="188">
        <v>30545</v>
      </c>
      <c r="K417" s="129" t="s">
        <v>280</v>
      </c>
      <c r="L417" s="129" t="s">
        <v>42</v>
      </c>
      <c r="M417" s="163" t="s">
        <v>2219</v>
      </c>
      <c r="N417" s="188">
        <v>45002</v>
      </c>
      <c r="O417" s="163" t="s">
        <v>2193</v>
      </c>
      <c r="P417" s="137" t="s">
        <v>3048</v>
      </c>
      <c r="Q417" s="129" t="s">
        <v>3676</v>
      </c>
      <c r="R417" s="163" t="s">
        <v>5509</v>
      </c>
      <c r="S417" s="124">
        <f>VLOOKUP(B417,'[3]NCL SAL. SHEET'!$A$4:$D$126,4,0)</f>
        <v>28928</v>
      </c>
      <c r="T417" s="144">
        <f>VLOOKUP(B417,[4]NONCLINICAL!$A$4:$B$170,2,0)</f>
        <v>101416831574</v>
      </c>
      <c r="U417" s="145" t="s">
        <v>5510</v>
      </c>
      <c r="V417" s="144">
        <f>VLOOKUP(B417,[4]NONCLINICAL!$A$4:$C$356,3,0)</f>
        <v>3710984178</v>
      </c>
      <c r="W417" s="145" t="s">
        <v>5511</v>
      </c>
      <c r="X417" s="145" t="s">
        <v>5949</v>
      </c>
      <c r="Y417" s="149" t="s">
        <v>51</v>
      </c>
      <c r="Z417" s="145" t="s">
        <v>50</v>
      </c>
      <c r="AA417" s="149" t="s">
        <v>5512</v>
      </c>
      <c r="AB417" s="149" t="s">
        <v>5512</v>
      </c>
      <c r="AC417" s="189" t="s">
        <v>5506</v>
      </c>
      <c r="AD417" s="145"/>
      <c r="AE417" s="145"/>
      <c r="AF417" s="145"/>
      <c r="AG417" s="187" t="s">
        <v>5573</v>
      </c>
      <c r="AH417" s="145"/>
      <c r="AI417" s="145"/>
      <c r="AJ417" s="146"/>
      <c r="AK417" s="128"/>
      <c r="AL417" s="129"/>
      <c r="AM417" s="129"/>
    </row>
    <row r="418" spans="1:40" ht="28.5">
      <c r="A418" s="137">
        <f>SUBTOTAL(3,$B$3:B418)</f>
        <v>416</v>
      </c>
      <c r="B418" s="121" t="s">
        <v>5513</v>
      </c>
      <c r="C418" s="165" t="s">
        <v>5514</v>
      </c>
      <c r="D418" s="163" t="s">
        <v>5515</v>
      </c>
      <c r="E418" s="129" t="s">
        <v>136</v>
      </c>
      <c r="F418" s="129" t="s">
        <v>5516</v>
      </c>
      <c r="G418" s="129" t="s">
        <v>2345</v>
      </c>
      <c r="H418" s="129" t="s">
        <v>5517</v>
      </c>
      <c r="I418" s="129" t="s">
        <v>40</v>
      </c>
      <c r="J418" s="188">
        <v>36124</v>
      </c>
      <c r="K418" s="129" t="s">
        <v>41</v>
      </c>
      <c r="L418" s="129" t="s">
        <v>42</v>
      </c>
      <c r="M418" s="163" t="s">
        <v>5518</v>
      </c>
      <c r="N418" s="188">
        <v>45002</v>
      </c>
      <c r="O418" s="163" t="s">
        <v>2981</v>
      </c>
      <c r="P418" s="129" t="s">
        <v>2347</v>
      </c>
      <c r="Q418" s="129" t="s">
        <v>3676</v>
      </c>
      <c r="R418" s="163" t="s">
        <v>5519</v>
      </c>
      <c r="S418" s="124" t="e">
        <f>VLOOKUP(B418,'[2]CL SAL SHEET'!$A$4:$D$57,4,0)</f>
        <v>#N/A</v>
      </c>
      <c r="T418" s="144">
        <f>VLOOKUP(B418,[4]CLINICAL!$A$4:$B$356,2,0)</f>
        <v>101929205913</v>
      </c>
      <c r="U418" s="145" t="s">
        <v>5520</v>
      </c>
      <c r="V418" s="144">
        <f>VLOOKUP(B418,[4]CLINICAL!$A$4:$C$356,3,0)</f>
        <v>3714747704</v>
      </c>
      <c r="W418" s="145" t="s">
        <v>5521</v>
      </c>
      <c r="X418" s="145" t="s">
        <v>5950</v>
      </c>
      <c r="Y418" s="149" t="s">
        <v>363</v>
      </c>
      <c r="Z418" s="145" t="s">
        <v>5951</v>
      </c>
      <c r="AA418" s="149" t="s">
        <v>5522</v>
      </c>
      <c r="AB418" s="149" t="s">
        <v>5522</v>
      </c>
      <c r="AC418" s="189" t="s">
        <v>5513</v>
      </c>
      <c r="AD418" s="145"/>
      <c r="AE418" s="145"/>
      <c r="AF418" s="145"/>
      <c r="AG418" s="187" t="s">
        <v>5937</v>
      </c>
      <c r="AH418" s="145"/>
      <c r="AI418" s="145"/>
      <c r="AJ418" s="146"/>
      <c r="AK418" s="128"/>
      <c r="AL418" s="129"/>
      <c r="AM418" s="129"/>
    </row>
    <row r="419" spans="1:40" ht="28.5">
      <c r="A419" s="137">
        <f>SUBTOTAL(3,$B$3:B419)</f>
        <v>417</v>
      </c>
      <c r="B419" s="121" t="s">
        <v>5523</v>
      </c>
      <c r="C419" s="165" t="s">
        <v>5524</v>
      </c>
      <c r="D419" s="163" t="s">
        <v>5524</v>
      </c>
      <c r="E419" s="129" t="s">
        <v>136</v>
      </c>
      <c r="F419" s="129" t="s">
        <v>5525</v>
      </c>
      <c r="G419" s="129" t="s">
        <v>2345</v>
      </c>
      <c r="H419" s="129" t="s">
        <v>637</v>
      </c>
      <c r="I419" s="129" t="s">
        <v>40</v>
      </c>
      <c r="J419" s="188">
        <v>33477</v>
      </c>
      <c r="K419" s="129" t="s">
        <v>41</v>
      </c>
      <c r="L419" s="129" t="s">
        <v>42</v>
      </c>
      <c r="M419" s="163" t="s">
        <v>4760</v>
      </c>
      <c r="N419" s="188">
        <v>45002</v>
      </c>
      <c r="O419" s="163" t="s">
        <v>2991</v>
      </c>
      <c r="P419" s="129" t="s">
        <v>2347</v>
      </c>
      <c r="Q419" s="129" t="s">
        <v>3676</v>
      </c>
      <c r="R419" s="163" t="s">
        <v>5526</v>
      </c>
      <c r="S419" s="124" t="e">
        <f>VLOOKUP(B419,'[3]NCL SAL. SHEET'!$A$4:$D$126,4,0)</f>
        <v>#N/A</v>
      </c>
      <c r="T419" s="144">
        <f>VLOOKUP(B419,[4]NONCLINICAL!$A$4:$B$170,2,0)</f>
        <v>101929206004</v>
      </c>
      <c r="U419" s="145" t="s">
        <v>5527</v>
      </c>
      <c r="V419" s="144">
        <f>VLOOKUP(B419,[4]NONCLINICAL!$A$4:$C$356,3,0)</f>
        <v>3714747708</v>
      </c>
      <c r="W419" s="145" t="s">
        <v>5528</v>
      </c>
      <c r="X419" s="145" t="s">
        <v>5529</v>
      </c>
      <c r="Y419" s="149" t="s">
        <v>146</v>
      </c>
      <c r="Z419" s="145" t="s">
        <v>2352</v>
      </c>
      <c r="AA419" s="149" t="s">
        <v>5530</v>
      </c>
      <c r="AB419" s="149" t="s">
        <v>5530</v>
      </c>
      <c r="AC419" s="189" t="s">
        <v>5523</v>
      </c>
      <c r="AD419" s="145"/>
      <c r="AE419" s="145"/>
      <c r="AF419" s="145"/>
      <c r="AG419" s="187" t="s">
        <v>5574</v>
      </c>
      <c r="AH419" s="145"/>
      <c r="AI419" s="145"/>
      <c r="AJ419" s="146"/>
      <c r="AK419" s="128"/>
      <c r="AL419" s="129"/>
      <c r="AM419" s="129"/>
    </row>
    <row r="420" spans="1:40" ht="28.5">
      <c r="A420" s="137">
        <f>SUBTOTAL(3,$B$3:B420)</f>
        <v>418</v>
      </c>
      <c r="B420" s="121" t="s">
        <v>5531</v>
      </c>
      <c r="C420" s="165" t="s">
        <v>5532</v>
      </c>
      <c r="D420" s="163" t="s">
        <v>5532</v>
      </c>
      <c r="E420" s="129" t="s">
        <v>5533</v>
      </c>
      <c r="F420" s="129" t="s">
        <v>5534</v>
      </c>
      <c r="G420" s="129" t="s">
        <v>2345</v>
      </c>
      <c r="H420" s="129" t="s">
        <v>2065</v>
      </c>
      <c r="I420" s="129" t="s">
        <v>40</v>
      </c>
      <c r="J420" s="188">
        <v>37104</v>
      </c>
      <c r="K420" s="129" t="s">
        <v>41</v>
      </c>
      <c r="L420" s="129" t="s">
        <v>42</v>
      </c>
      <c r="M420" s="163" t="s">
        <v>5535</v>
      </c>
      <c r="N420" s="188">
        <v>45003</v>
      </c>
      <c r="O420" s="163" t="s">
        <v>2981</v>
      </c>
      <c r="P420" s="129" t="s">
        <v>2347</v>
      </c>
      <c r="Q420" s="129" t="s">
        <v>3676</v>
      </c>
      <c r="R420" s="163">
        <v>8320859330</v>
      </c>
      <c r="S420" s="124">
        <f>VLOOKUP(B420,'[2]CL SAL SHEET'!$A$4:$D$57,4,0)</f>
        <v>28934</v>
      </c>
      <c r="T420" s="144">
        <f>VLOOKUP(B420,[4]CLINICAL!$A$4:$B$356,2,0)</f>
        <v>101929206456</v>
      </c>
      <c r="U420" s="126" t="s">
        <v>6178</v>
      </c>
      <c r="V420" s="144">
        <f>VLOOKUP(B420,[4]CLINICAL!$A$4:$C$356,3,0)</f>
        <v>3714747714</v>
      </c>
      <c r="W420" s="145" t="s">
        <v>5536</v>
      </c>
      <c r="X420" s="145" t="s">
        <v>5537</v>
      </c>
      <c r="Y420" s="149" t="s">
        <v>65</v>
      </c>
      <c r="Z420" s="145" t="s">
        <v>5538</v>
      </c>
      <c r="AA420" s="149" t="s">
        <v>5539</v>
      </c>
      <c r="AB420" s="149" t="s">
        <v>4375</v>
      </c>
      <c r="AC420" s="189" t="s">
        <v>5531</v>
      </c>
      <c r="AD420" s="145"/>
      <c r="AE420" s="145"/>
      <c r="AF420" s="145"/>
      <c r="AG420" s="187" t="s">
        <v>5575</v>
      </c>
      <c r="AH420" s="145"/>
      <c r="AI420" s="145"/>
      <c r="AJ420" s="146"/>
      <c r="AK420" s="128"/>
      <c r="AL420" s="129"/>
      <c r="AM420" s="129"/>
    </row>
    <row r="421" spans="1:40" ht="42.75">
      <c r="A421" s="137">
        <f>SUBTOTAL(3,$B$3:B421)</f>
        <v>419</v>
      </c>
      <c r="B421" s="193" t="s">
        <v>5540</v>
      </c>
      <c r="C421" s="194" t="s">
        <v>5541</v>
      </c>
      <c r="D421" s="195" t="s">
        <v>5542</v>
      </c>
      <c r="E421" s="196" t="s">
        <v>5543</v>
      </c>
      <c r="F421" s="196" t="s">
        <v>1185</v>
      </c>
      <c r="G421" s="196" t="s">
        <v>2389</v>
      </c>
      <c r="H421" s="196" t="s">
        <v>1655</v>
      </c>
      <c r="I421" s="196" t="s">
        <v>40</v>
      </c>
      <c r="J421" s="197">
        <v>34538</v>
      </c>
      <c r="K421" s="196" t="s">
        <v>41</v>
      </c>
      <c r="L421" s="196" t="s">
        <v>42</v>
      </c>
      <c r="M421" s="195" t="s">
        <v>1405</v>
      </c>
      <c r="N421" s="197">
        <v>45005</v>
      </c>
      <c r="O421" s="195" t="s">
        <v>2991</v>
      </c>
      <c r="P421" s="196" t="s">
        <v>2347</v>
      </c>
      <c r="Q421" s="196" t="s">
        <v>3676</v>
      </c>
      <c r="R421" s="195">
        <v>9727933657</v>
      </c>
      <c r="S421" s="124">
        <f>VLOOKUP(B421,'[3]NCL SAL. SHEET'!$A$4:$D$126,4,0)</f>
        <v>28926</v>
      </c>
      <c r="T421" s="144">
        <f>VLOOKUP(B421,[4]NONCLINICAL!$A$4:$B$170,2,0)</f>
        <v>101929205932</v>
      </c>
      <c r="U421" s="157" t="s">
        <v>5544</v>
      </c>
      <c r="V421" s="144">
        <f>VLOOKUP(B421,[4]NONCLINICAL!$A$4:$C$356,3,0)</f>
        <v>3714747718</v>
      </c>
      <c r="W421" s="157" t="s">
        <v>5545</v>
      </c>
      <c r="X421" s="157" t="s">
        <v>5546</v>
      </c>
      <c r="Y421" s="198" t="s">
        <v>363</v>
      </c>
      <c r="Z421" s="157" t="s">
        <v>5547</v>
      </c>
      <c r="AA421" s="198" t="s">
        <v>5548</v>
      </c>
      <c r="AB421" s="198" t="s">
        <v>5548</v>
      </c>
      <c r="AC421" s="199" t="s">
        <v>5540</v>
      </c>
      <c r="AD421" s="157"/>
      <c r="AE421" s="157"/>
      <c r="AF421" s="157"/>
      <c r="AG421" s="200" t="s">
        <v>5576</v>
      </c>
      <c r="AH421" s="157"/>
      <c r="AI421" s="157"/>
      <c r="AJ421" s="146"/>
      <c r="AK421" s="128"/>
      <c r="AL421" s="129"/>
      <c r="AM421" s="129"/>
    </row>
    <row r="422" spans="1:40" ht="28.5">
      <c r="A422" s="137">
        <f>SUBTOTAL(3,$B$3:B422)</f>
        <v>420</v>
      </c>
      <c r="B422" s="121" t="s">
        <v>5549</v>
      </c>
      <c r="C422" s="165" t="s">
        <v>5550</v>
      </c>
      <c r="D422" s="163" t="s">
        <v>5550</v>
      </c>
      <c r="E422" s="129" t="s">
        <v>5551</v>
      </c>
      <c r="F422" s="129" t="s">
        <v>5552</v>
      </c>
      <c r="G422" s="129" t="s">
        <v>2345</v>
      </c>
      <c r="H422" s="129" t="s">
        <v>1528</v>
      </c>
      <c r="I422" s="129" t="s">
        <v>40</v>
      </c>
      <c r="J422" s="188">
        <v>36816</v>
      </c>
      <c r="K422" s="129" t="s">
        <v>41</v>
      </c>
      <c r="L422" s="129" t="s">
        <v>42</v>
      </c>
      <c r="M422" s="163" t="s">
        <v>1992</v>
      </c>
      <c r="N422" s="188">
        <v>45006</v>
      </c>
      <c r="O422" s="163" t="s">
        <v>2981</v>
      </c>
      <c r="P422" s="129" t="s">
        <v>2347</v>
      </c>
      <c r="Q422" s="129" t="s">
        <v>3676</v>
      </c>
      <c r="R422" s="163" t="s">
        <v>5553</v>
      </c>
      <c r="S422" s="124" t="e">
        <f>VLOOKUP(B422,'[2]CL SAL SHEET'!$A$4:$D$57,4,0)</f>
        <v>#N/A</v>
      </c>
      <c r="T422" s="144">
        <f>VLOOKUP(B422,[4]CLINICAL!$A$4:$B$356,2,0)</f>
        <v>101929205984</v>
      </c>
      <c r="U422" s="126" t="s">
        <v>6178</v>
      </c>
      <c r="V422" s="144">
        <f>VLOOKUP(B422,[4]CLINICAL!$A$4:$C$356,3,0)</f>
        <v>3714747723</v>
      </c>
      <c r="W422" s="145" t="s">
        <v>5554</v>
      </c>
      <c r="X422" s="145" t="s">
        <v>5555</v>
      </c>
      <c r="Y422" s="149" t="s">
        <v>146</v>
      </c>
      <c r="Z422" s="145" t="s">
        <v>5556</v>
      </c>
      <c r="AA422" s="149" t="s">
        <v>5557</v>
      </c>
      <c r="AB422" s="149" t="s">
        <v>5558</v>
      </c>
      <c r="AC422" s="189" t="s">
        <v>5549</v>
      </c>
      <c r="AD422" s="145"/>
      <c r="AE422" s="145"/>
      <c r="AF422" s="145"/>
      <c r="AG422" s="187" t="s">
        <v>5578</v>
      </c>
      <c r="AH422" s="145"/>
      <c r="AI422" s="145"/>
      <c r="AJ422" s="146"/>
      <c r="AK422" s="128"/>
      <c r="AL422" s="129"/>
      <c r="AM422" s="129"/>
    </row>
    <row r="423" spans="1:40" ht="28.5">
      <c r="A423" s="137">
        <f>SUBTOTAL(3,$B$3:B423)</f>
        <v>421</v>
      </c>
      <c r="B423" s="121" t="s">
        <v>5559</v>
      </c>
      <c r="C423" s="165" t="s">
        <v>5560</v>
      </c>
      <c r="D423" s="163" t="s">
        <v>5560</v>
      </c>
      <c r="E423" s="129" t="s">
        <v>136</v>
      </c>
      <c r="F423" s="129" t="s">
        <v>5561</v>
      </c>
      <c r="G423" s="129" t="s">
        <v>2345</v>
      </c>
      <c r="H423" s="129" t="s">
        <v>1019</v>
      </c>
      <c r="I423" s="129" t="s">
        <v>40</v>
      </c>
      <c r="J423" s="188">
        <v>35957</v>
      </c>
      <c r="K423" s="129" t="s">
        <v>280</v>
      </c>
      <c r="L423" s="129" t="s">
        <v>42</v>
      </c>
      <c r="M423" s="163" t="s">
        <v>4640</v>
      </c>
      <c r="N423" s="188">
        <v>45009</v>
      </c>
      <c r="O423" s="124" t="s">
        <v>2644</v>
      </c>
      <c r="P423" s="129" t="s">
        <v>2347</v>
      </c>
      <c r="Q423" s="129" t="s">
        <v>3676</v>
      </c>
      <c r="R423" s="163" t="s">
        <v>5562</v>
      </c>
      <c r="S423" s="124">
        <f>VLOOKUP(B423,'[2]CL SAL SHEET'!$A$4:$D$57,4,0)</f>
        <v>28927</v>
      </c>
      <c r="T423" s="144">
        <f>VLOOKUP(B423,[4]CLINICAL!$A$4:$B$356,2,0)</f>
        <v>101814344678</v>
      </c>
      <c r="U423" s="145" t="s">
        <v>5563</v>
      </c>
      <c r="V423" s="144">
        <f>VLOOKUP(B423,[4]CLINICAL!$A$4:$C$356,3,0)</f>
        <v>3714747726</v>
      </c>
      <c r="W423" s="145" t="s">
        <v>5564</v>
      </c>
      <c r="X423" s="145" t="s">
        <v>5565</v>
      </c>
      <c r="Y423" s="149" t="s">
        <v>132</v>
      </c>
      <c r="Z423" s="145" t="s">
        <v>1317</v>
      </c>
      <c r="AA423" s="149" t="s">
        <v>5566</v>
      </c>
      <c r="AB423" s="149" t="s">
        <v>5566</v>
      </c>
      <c r="AC423" s="189" t="s">
        <v>5559</v>
      </c>
      <c r="AD423" s="145"/>
      <c r="AE423" s="145"/>
      <c r="AF423" s="145"/>
      <c r="AG423" s="187" t="s">
        <v>5579</v>
      </c>
      <c r="AH423" s="145"/>
      <c r="AI423" s="145"/>
      <c r="AJ423" s="146"/>
      <c r="AK423" s="128"/>
      <c r="AL423" s="129"/>
      <c r="AM423" s="129"/>
    </row>
    <row r="424" spans="1:40" ht="42.75">
      <c r="A424" s="137">
        <f>SUBTOTAL(3,$B$3:B424)</f>
        <v>422</v>
      </c>
      <c r="B424" s="121" t="s">
        <v>5583</v>
      </c>
      <c r="C424" s="165" t="s">
        <v>5584</v>
      </c>
      <c r="D424" s="163" t="s">
        <v>5584</v>
      </c>
      <c r="E424" s="129" t="s">
        <v>4481</v>
      </c>
      <c r="F424" s="129" t="s">
        <v>5585</v>
      </c>
      <c r="G424" s="129" t="s">
        <v>2345</v>
      </c>
      <c r="H424" s="129" t="s">
        <v>3990</v>
      </c>
      <c r="I424" s="129" t="s">
        <v>702</v>
      </c>
      <c r="J424" s="188">
        <v>33784</v>
      </c>
      <c r="K424" s="129" t="s">
        <v>280</v>
      </c>
      <c r="L424" s="129" t="s">
        <v>42</v>
      </c>
      <c r="M424" s="163" t="s">
        <v>1880</v>
      </c>
      <c r="N424" s="188">
        <v>45012</v>
      </c>
      <c r="O424" s="163" t="s">
        <v>2981</v>
      </c>
      <c r="P424" s="129" t="s">
        <v>2347</v>
      </c>
      <c r="Q424" s="129" t="s">
        <v>3676</v>
      </c>
      <c r="R424" s="163">
        <v>9099012596</v>
      </c>
      <c r="S424" s="124">
        <f>VLOOKUP(B424,'[2]CL SAL SHEET'!$A$4:$D$57,4,0)</f>
        <v>28957</v>
      </c>
      <c r="T424" s="144">
        <v>101855818051</v>
      </c>
      <c r="U424" s="145" t="s">
        <v>5586</v>
      </c>
      <c r="V424" s="151">
        <v>3714430234</v>
      </c>
      <c r="W424" s="145" t="s">
        <v>5587</v>
      </c>
      <c r="X424" s="145" t="s">
        <v>5588</v>
      </c>
      <c r="Y424" s="149" t="s">
        <v>65</v>
      </c>
      <c r="Z424" s="145" t="s">
        <v>5589</v>
      </c>
      <c r="AA424" s="149" t="s">
        <v>5590</v>
      </c>
      <c r="AB424" s="149" t="s">
        <v>5590</v>
      </c>
      <c r="AC424" s="189" t="s">
        <v>5583</v>
      </c>
      <c r="AD424" s="145"/>
      <c r="AE424" s="145"/>
      <c r="AF424" s="145"/>
      <c r="AG424" s="187" t="s">
        <v>5923</v>
      </c>
      <c r="AH424" s="145"/>
      <c r="AI424" s="145"/>
      <c r="AJ424" s="146"/>
      <c r="AK424" s="128"/>
      <c r="AL424" s="129"/>
      <c r="AM424" s="129"/>
    </row>
    <row r="425" spans="1:40" ht="28.5">
      <c r="A425" s="137">
        <f>SUBTOTAL(3,$B$3:B425)</f>
        <v>423</v>
      </c>
      <c r="B425" s="121" t="s">
        <v>5591</v>
      </c>
      <c r="C425" s="165" t="s">
        <v>5592</v>
      </c>
      <c r="D425" s="163" t="s">
        <v>5593</v>
      </c>
      <c r="E425" s="129" t="s">
        <v>5594</v>
      </c>
      <c r="F425" s="129" t="s">
        <v>5595</v>
      </c>
      <c r="G425" s="129" t="s">
        <v>2389</v>
      </c>
      <c r="H425" s="129" t="s">
        <v>5596</v>
      </c>
      <c r="I425" s="129" t="s">
        <v>40</v>
      </c>
      <c r="J425" s="188">
        <v>35848</v>
      </c>
      <c r="K425" s="129" t="s">
        <v>41</v>
      </c>
      <c r="L425" s="129" t="s">
        <v>42</v>
      </c>
      <c r="M425" s="163" t="s">
        <v>5597</v>
      </c>
      <c r="N425" s="188">
        <v>45017</v>
      </c>
      <c r="O425" s="163" t="s">
        <v>2981</v>
      </c>
      <c r="P425" s="129" t="s">
        <v>2347</v>
      </c>
      <c r="Q425" s="129" t="s">
        <v>3676</v>
      </c>
      <c r="R425" s="163" t="s">
        <v>5598</v>
      </c>
      <c r="S425" s="124">
        <f>VLOOKUP(B425,'[2]CL SAL SHEET'!$A$4:$D$57,4,0)</f>
        <v>28956</v>
      </c>
      <c r="T425" s="144">
        <v>101925372764</v>
      </c>
      <c r="U425" s="145" t="s">
        <v>5599</v>
      </c>
      <c r="V425" s="151">
        <v>3714764281</v>
      </c>
      <c r="W425" s="145" t="s">
        <v>5600</v>
      </c>
      <c r="X425" s="145" t="s">
        <v>5601</v>
      </c>
      <c r="Y425" s="149" t="s">
        <v>326</v>
      </c>
      <c r="Z425" s="145" t="s">
        <v>5602</v>
      </c>
      <c r="AA425" s="149" t="s">
        <v>5603</v>
      </c>
      <c r="AB425" s="149" t="s">
        <v>5604</v>
      </c>
      <c r="AC425" s="189" t="s">
        <v>5591</v>
      </c>
      <c r="AD425" s="145"/>
      <c r="AE425" s="145"/>
      <c r="AF425" s="145"/>
      <c r="AG425" s="187" t="s">
        <v>5896</v>
      </c>
      <c r="AH425" s="145"/>
      <c r="AI425" s="145"/>
      <c r="AJ425" s="146"/>
      <c r="AK425" s="128"/>
      <c r="AL425" s="129"/>
      <c r="AM425" s="129"/>
    </row>
    <row r="426" spans="1:40" ht="42.75">
      <c r="A426" s="137">
        <f>SUBTOTAL(3,$B$3:B426)</f>
        <v>424</v>
      </c>
      <c r="B426" s="193" t="s">
        <v>5605</v>
      </c>
      <c r="C426" s="194" t="s">
        <v>5606</v>
      </c>
      <c r="D426" s="195" t="s">
        <v>5606</v>
      </c>
      <c r="E426" s="196" t="s">
        <v>1428</v>
      </c>
      <c r="F426" s="196" t="s">
        <v>5607</v>
      </c>
      <c r="G426" s="196" t="s">
        <v>2389</v>
      </c>
      <c r="H426" s="196" t="s">
        <v>5608</v>
      </c>
      <c r="I426" s="196" t="s">
        <v>40</v>
      </c>
      <c r="J426" s="197">
        <v>36573</v>
      </c>
      <c r="K426" s="196" t="s">
        <v>41</v>
      </c>
      <c r="L426" s="196" t="s">
        <v>42</v>
      </c>
      <c r="M426" s="195" t="s">
        <v>3103</v>
      </c>
      <c r="N426" s="197">
        <v>45019</v>
      </c>
      <c r="O426" s="195" t="s">
        <v>3104</v>
      </c>
      <c r="P426" s="196" t="s">
        <v>2347</v>
      </c>
      <c r="Q426" s="196" t="s">
        <v>3676</v>
      </c>
      <c r="R426" s="195">
        <v>9016026359</v>
      </c>
      <c r="S426" s="124" t="e">
        <f>VLOOKUP(B426,'[2]CL SAL SHEET'!$A$4:$D$57,4,0)</f>
        <v>#N/A</v>
      </c>
      <c r="T426" s="144">
        <v>101931889005</v>
      </c>
      <c r="U426" s="157" t="s">
        <v>5609</v>
      </c>
      <c r="V426" s="151">
        <v>3714764306</v>
      </c>
      <c r="W426" s="157" t="s">
        <v>5610</v>
      </c>
      <c r="X426" s="157" t="s">
        <v>5611</v>
      </c>
      <c r="Y426" s="198" t="s">
        <v>146</v>
      </c>
      <c r="Z426" s="157" t="s">
        <v>2352</v>
      </c>
      <c r="AA426" s="198" t="s">
        <v>5612</v>
      </c>
      <c r="AB426" s="198" t="s">
        <v>5613</v>
      </c>
      <c r="AC426" s="199" t="s">
        <v>5605</v>
      </c>
      <c r="AD426" s="157"/>
      <c r="AE426" s="157"/>
      <c r="AF426" s="157"/>
      <c r="AG426" s="199" t="s">
        <v>5938</v>
      </c>
      <c r="AH426" s="157"/>
      <c r="AI426" s="157"/>
      <c r="AJ426" s="146"/>
      <c r="AK426" s="128"/>
      <c r="AL426" s="129"/>
      <c r="AM426" s="129"/>
    </row>
    <row r="427" spans="1:40" ht="28.5">
      <c r="A427" s="137">
        <f>SUBTOTAL(3,$B$3:B427)</f>
        <v>425</v>
      </c>
      <c r="B427" s="121" t="s">
        <v>5614</v>
      </c>
      <c r="C427" s="165" t="s">
        <v>5615</v>
      </c>
      <c r="D427" s="163" t="s">
        <v>5615</v>
      </c>
      <c r="E427" s="129" t="s">
        <v>136</v>
      </c>
      <c r="F427" s="129" t="s">
        <v>3376</v>
      </c>
      <c r="G427" s="129" t="s">
        <v>2345</v>
      </c>
      <c r="H427" s="129" t="s">
        <v>5616</v>
      </c>
      <c r="I427" s="129" t="s">
        <v>40</v>
      </c>
      <c r="J427" s="188">
        <v>36391</v>
      </c>
      <c r="K427" s="129" t="s">
        <v>41</v>
      </c>
      <c r="L427" s="129" t="s">
        <v>42</v>
      </c>
      <c r="M427" s="163" t="s">
        <v>4016</v>
      </c>
      <c r="N427" s="188">
        <v>45029</v>
      </c>
      <c r="O427" s="124" t="s">
        <v>44</v>
      </c>
      <c r="P427" s="129" t="s">
        <v>2347</v>
      </c>
      <c r="Q427" s="129" t="s">
        <v>3676</v>
      </c>
      <c r="R427" s="163" t="s">
        <v>5617</v>
      </c>
      <c r="S427" s="124">
        <f>VLOOKUP(B427,'[1]SN Salary Sheet'!$A$4:$D$207,4,0)</f>
        <v>29000</v>
      </c>
      <c r="T427" s="144">
        <v>101731054227</v>
      </c>
      <c r="U427" s="145" t="s">
        <v>5618</v>
      </c>
      <c r="V427" s="145" t="s">
        <v>5619</v>
      </c>
      <c r="W427" s="145" t="s">
        <v>5620</v>
      </c>
      <c r="X427" s="145" t="s">
        <v>5621</v>
      </c>
      <c r="Y427" s="149" t="s">
        <v>65</v>
      </c>
      <c r="Z427" s="145" t="s">
        <v>1361</v>
      </c>
      <c r="AA427" s="149" t="s">
        <v>5622</v>
      </c>
      <c r="AB427" s="149" t="s">
        <v>5622</v>
      </c>
      <c r="AC427" s="189" t="s">
        <v>5614</v>
      </c>
      <c r="AD427" s="145"/>
      <c r="AE427" s="145"/>
      <c r="AF427" s="145"/>
      <c r="AG427" s="187" t="s">
        <v>5897</v>
      </c>
      <c r="AH427" s="145"/>
      <c r="AI427" s="145"/>
      <c r="AJ427" s="127"/>
      <c r="AK427" s="128"/>
      <c r="AL427" s="129"/>
      <c r="AM427" s="129"/>
    </row>
    <row r="428" spans="1:40" ht="42.75">
      <c r="A428" s="137">
        <f>SUBTOTAL(3,$B$3:B428)</f>
        <v>426</v>
      </c>
      <c r="B428" s="121" t="s">
        <v>5623</v>
      </c>
      <c r="C428" s="165" t="s">
        <v>5624</v>
      </c>
      <c r="D428" s="163" t="s">
        <v>5624</v>
      </c>
      <c r="E428" s="129" t="s">
        <v>136</v>
      </c>
      <c r="F428" s="129" t="s">
        <v>5625</v>
      </c>
      <c r="G428" s="129" t="s">
        <v>2345</v>
      </c>
      <c r="H428" s="129" t="s">
        <v>871</v>
      </c>
      <c r="I428" s="129" t="s">
        <v>40</v>
      </c>
      <c r="J428" s="188">
        <v>37435</v>
      </c>
      <c r="K428" s="129" t="s">
        <v>41</v>
      </c>
      <c r="L428" s="129" t="s">
        <v>42</v>
      </c>
      <c r="M428" s="163" t="s">
        <v>4016</v>
      </c>
      <c r="N428" s="188">
        <v>45029</v>
      </c>
      <c r="O428" s="124" t="s">
        <v>44</v>
      </c>
      <c r="P428" s="129" t="s">
        <v>2347</v>
      </c>
      <c r="Q428" s="129" t="s">
        <v>3676</v>
      </c>
      <c r="R428" s="163">
        <v>9328244390</v>
      </c>
      <c r="S428" s="124">
        <f>VLOOKUP(B428,'[1]SN Salary Sheet'!$A$4:$D$207,4,0)</f>
        <v>29002</v>
      </c>
      <c r="T428" s="144">
        <v>101937182513</v>
      </c>
      <c r="U428" s="145" t="s">
        <v>5626</v>
      </c>
      <c r="V428" s="129">
        <v>3714802699</v>
      </c>
      <c r="W428" s="145" t="s">
        <v>5627</v>
      </c>
      <c r="X428" s="145" t="s">
        <v>5628</v>
      </c>
      <c r="Y428" s="149" t="s">
        <v>146</v>
      </c>
      <c r="Z428" s="145" t="s">
        <v>5629</v>
      </c>
      <c r="AA428" s="149" t="s">
        <v>5630</v>
      </c>
      <c r="AB428" s="149" t="s">
        <v>5630</v>
      </c>
      <c r="AC428" s="189" t="s">
        <v>5623</v>
      </c>
      <c r="AD428" s="145"/>
      <c r="AE428" s="145"/>
      <c r="AF428" s="145"/>
      <c r="AG428" s="187" t="s">
        <v>5898</v>
      </c>
      <c r="AH428" s="145"/>
      <c r="AI428" s="145"/>
      <c r="AJ428" s="127"/>
      <c r="AK428" s="128"/>
      <c r="AL428" s="129"/>
      <c r="AM428" s="129"/>
    </row>
    <row r="429" spans="1:40" ht="42.75">
      <c r="A429" s="137">
        <f>SUBTOTAL(3,$B$3:B429)</f>
        <v>427</v>
      </c>
      <c r="B429" s="121" t="s">
        <v>5631</v>
      </c>
      <c r="C429" s="165" t="s">
        <v>5632</v>
      </c>
      <c r="D429" s="163" t="s">
        <v>5633</v>
      </c>
      <c r="E429" s="129" t="s">
        <v>136</v>
      </c>
      <c r="F429" s="129" t="s">
        <v>5634</v>
      </c>
      <c r="G429" s="129" t="s">
        <v>2345</v>
      </c>
      <c r="H429" s="129" t="s">
        <v>1837</v>
      </c>
      <c r="I429" s="129" t="s">
        <v>40</v>
      </c>
      <c r="J429" s="188">
        <v>37224</v>
      </c>
      <c r="K429" s="129" t="s">
        <v>41</v>
      </c>
      <c r="L429" s="129" t="s">
        <v>42</v>
      </c>
      <c r="M429" s="163" t="s">
        <v>4016</v>
      </c>
      <c r="N429" s="188">
        <v>45029</v>
      </c>
      <c r="O429" s="124" t="s">
        <v>44</v>
      </c>
      <c r="P429" s="129" t="s">
        <v>2347</v>
      </c>
      <c r="Q429" s="129" t="s">
        <v>3676</v>
      </c>
      <c r="R429" s="163">
        <v>9173281820</v>
      </c>
      <c r="S429" s="124">
        <f>VLOOKUP(B429,'[1]SN Salary Sheet'!$A$4:$D$207,4,0)</f>
        <v>29003</v>
      </c>
      <c r="T429" s="144">
        <v>101937182521</v>
      </c>
      <c r="U429" s="126" t="s">
        <v>6178</v>
      </c>
      <c r="V429" s="129">
        <v>3714802719</v>
      </c>
      <c r="W429" s="145" t="s">
        <v>5635</v>
      </c>
      <c r="X429" s="145" t="s">
        <v>5636</v>
      </c>
      <c r="Y429" s="149" t="s">
        <v>146</v>
      </c>
      <c r="Z429" s="145" t="s">
        <v>5637</v>
      </c>
      <c r="AA429" s="149" t="s">
        <v>6491</v>
      </c>
      <c r="AB429" s="149" t="s">
        <v>6491</v>
      </c>
      <c r="AC429" s="189" t="s">
        <v>5631</v>
      </c>
      <c r="AD429" s="145"/>
      <c r="AE429" s="145"/>
      <c r="AF429" s="145"/>
      <c r="AG429" s="187" t="s">
        <v>5899</v>
      </c>
      <c r="AH429" s="145"/>
      <c r="AI429" s="145"/>
      <c r="AJ429" s="127"/>
      <c r="AK429" s="128"/>
      <c r="AL429" s="129"/>
      <c r="AM429" s="129"/>
    </row>
    <row r="430" spans="1:40" ht="28.5">
      <c r="A430" s="137">
        <f>SUBTOTAL(3,$B$3:B430)</f>
        <v>428</v>
      </c>
      <c r="B430" s="121" t="s">
        <v>5638</v>
      </c>
      <c r="C430" s="165" t="s">
        <v>5639</v>
      </c>
      <c r="D430" s="163" t="s">
        <v>5639</v>
      </c>
      <c r="E430" s="129" t="s">
        <v>1366</v>
      </c>
      <c r="F430" s="129" t="s">
        <v>5640</v>
      </c>
      <c r="G430" s="129" t="s">
        <v>2389</v>
      </c>
      <c r="H430" s="129" t="s">
        <v>5641</v>
      </c>
      <c r="I430" s="129" t="s">
        <v>40</v>
      </c>
      <c r="J430" s="188">
        <v>37451</v>
      </c>
      <c r="K430" s="129" t="s">
        <v>41</v>
      </c>
      <c r="L430" s="129" t="s">
        <v>42</v>
      </c>
      <c r="M430" s="163" t="s">
        <v>1104</v>
      </c>
      <c r="N430" s="188">
        <v>45031</v>
      </c>
      <c r="O430" s="163" t="s">
        <v>2991</v>
      </c>
      <c r="P430" s="129" t="s">
        <v>2347</v>
      </c>
      <c r="Q430" s="129" t="s">
        <v>3676</v>
      </c>
      <c r="R430" s="163">
        <v>7990340776</v>
      </c>
      <c r="S430" s="124">
        <f>VLOOKUP(B430,'[3]NCL SAL. SHEET'!$A$4:$D$126,4,0)</f>
        <v>29001</v>
      </c>
      <c r="T430" s="144">
        <v>101893497001</v>
      </c>
      <c r="U430" s="145" t="s">
        <v>5642</v>
      </c>
      <c r="V430" s="129">
        <v>3714802765</v>
      </c>
      <c r="W430" s="145" t="s">
        <v>5643</v>
      </c>
      <c r="X430" s="145" t="s">
        <v>5644</v>
      </c>
      <c r="Y430" s="149" t="s">
        <v>619</v>
      </c>
      <c r="Z430" s="145" t="s">
        <v>5645</v>
      </c>
      <c r="AA430" s="149" t="s">
        <v>5646</v>
      </c>
      <c r="AB430" s="149" t="s">
        <v>5646</v>
      </c>
      <c r="AC430" s="189" t="s">
        <v>5638</v>
      </c>
      <c r="AD430" s="145"/>
      <c r="AE430" s="145"/>
      <c r="AF430" s="145"/>
      <c r="AG430" s="187" t="s">
        <v>5900</v>
      </c>
      <c r="AH430" s="145"/>
      <c r="AI430" s="145"/>
      <c r="AJ430" s="127"/>
      <c r="AK430" s="128"/>
      <c r="AL430" s="129"/>
      <c r="AM430" s="129"/>
    </row>
    <row r="431" spans="1:40" ht="42.75">
      <c r="A431" s="137">
        <f>SUBTOTAL(3,$B$3:B431)</f>
        <v>429</v>
      </c>
      <c r="B431" s="190" t="s">
        <v>5647</v>
      </c>
      <c r="C431" s="124" t="s">
        <v>5648</v>
      </c>
      <c r="D431" s="163" t="s">
        <v>5649</v>
      </c>
      <c r="E431" s="129" t="s">
        <v>5650</v>
      </c>
      <c r="F431" s="129" t="s">
        <v>5651</v>
      </c>
      <c r="G431" s="129" t="s">
        <v>2345</v>
      </c>
      <c r="H431" s="129" t="s">
        <v>5652</v>
      </c>
      <c r="I431" s="129" t="s">
        <v>40</v>
      </c>
      <c r="J431" s="188">
        <v>36778</v>
      </c>
      <c r="K431" s="129" t="s">
        <v>41</v>
      </c>
      <c r="L431" s="129" t="s">
        <v>42</v>
      </c>
      <c r="M431" s="163" t="s">
        <v>1044</v>
      </c>
      <c r="N431" s="188">
        <v>45038</v>
      </c>
      <c r="O431" s="163" t="s">
        <v>2991</v>
      </c>
      <c r="P431" s="129" t="s">
        <v>2347</v>
      </c>
      <c r="Q431" s="129" t="s">
        <v>3676</v>
      </c>
      <c r="R431" s="163" t="s">
        <v>5653</v>
      </c>
      <c r="S431" s="124" t="e">
        <f>VLOOKUP(B431,'[3]NCL SAL. SHEET'!$A$4:$D$126,4,0)</f>
        <v>#N/A</v>
      </c>
      <c r="T431" s="144">
        <f>VLOOKUP(B431,[4]NONCLINICAL!$A$4:$B$170,2,0)</f>
        <v>101938302913</v>
      </c>
      <c r="U431" s="145" t="s">
        <v>5654</v>
      </c>
      <c r="V431" s="144">
        <f>VLOOKUP(B431,[4]NONCLINICAL!$A$4:$C$356,3,0)</f>
        <v>3714812312</v>
      </c>
      <c r="W431" s="145" t="s">
        <v>5655</v>
      </c>
      <c r="X431" s="145" t="s">
        <v>5656</v>
      </c>
      <c r="Y431" s="149" t="s">
        <v>146</v>
      </c>
      <c r="Z431" s="145" t="s">
        <v>1388</v>
      </c>
      <c r="AA431" s="149" t="s">
        <v>5657</v>
      </c>
      <c r="AB431" s="149" t="s">
        <v>5657</v>
      </c>
      <c r="AC431" s="189" t="s">
        <v>5647</v>
      </c>
      <c r="AD431" s="145"/>
      <c r="AE431" s="145"/>
      <c r="AF431" s="145"/>
      <c r="AG431" s="187" t="s">
        <v>5901</v>
      </c>
      <c r="AH431" s="145"/>
      <c r="AI431" s="145"/>
      <c r="AJ431" s="127"/>
      <c r="AK431" s="202" t="s">
        <v>5658</v>
      </c>
      <c r="AL431" s="158"/>
      <c r="AM431" s="158"/>
      <c r="AN431" s="4"/>
    </row>
    <row r="432" spans="1:40" ht="28.5">
      <c r="A432" s="137">
        <f>SUBTOTAL(3,$B$3:B432)</f>
        <v>430</v>
      </c>
      <c r="B432" s="192" t="s">
        <v>5659</v>
      </c>
      <c r="C432" s="184" t="s">
        <v>5660</v>
      </c>
      <c r="D432" s="163" t="s">
        <v>5661</v>
      </c>
      <c r="E432" s="129" t="s">
        <v>291</v>
      </c>
      <c r="F432" s="129" t="s">
        <v>5662</v>
      </c>
      <c r="G432" s="129" t="s">
        <v>2345</v>
      </c>
      <c r="H432" s="129" t="s">
        <v>507</v>
      </c>
      <c r="I432" s="129" t="s">
        <v>40</v>
      </c>
      <c r="J432" s="188">
        <v>35415</v>
      </c>
      <c r="K432" s="129" t="s">
        <v>41</v>
      </c>
      <c r="L432" s="129" t="s">
        <v>42</v>
      </c>
      <c r="M432" s="163" t="s">
        <v>5663</v>
      </c>
      <c r="N432" s="188">
        <v>45038</v>
      </c>
      <c r="O432" s="163" t="s">
        <v>2991</v>
      </c>
      <c r="P432" s="129" t="s">
        <v>2347</v>
      </c>
      <c r="Q432" s="129" t="s">
        <v>3676</v>
      </c>
      <c r="R432" s="163" t="s">
        <v>5664</v>
      </c>
      <c r="S432" s="124" t="e">
        <f>VLOOKUP(B432,'[3]NCL SAL. SHEET'!$A$4:$D$126,4,0)</f>
        <v>#N/A</v>
      </c>
      <c r="T432" s="144">
        <f>VLOOKUP(B432,[4]NONCLINICAL!$A$4:$B$170,2,0)</f>
        <v>101896260416</v>
      </c>
      <c r="U432" s="145" t="s">
        <v>5665</v>
      </c>
      <c r="V432" s="144">
        <f>VLOOKUP(B432,[4]NONCLINICAL!$A$4:$C$356,3,0)</f>
        <v>3714812314</v>
      </c>
      <c r="W432" s="145" t="s">
        <v>5666</v>
      </c>
      <c r="X432" s="145" t="s">
        <v>5667</v>
      </c>
      <c r="Y432" s="149" t="s">
        <v>65</v>
      </c>
      <c r="Z432" s="145" t="s">
        <v>1361</v>
      </c>
      <c r="AA432" s="149" t="s">
        <v>5668</v>
      </c>
      <c r="AB432" s="149" t="s">
        <v>5668</v>
      </c>
      <c r="AC432" s="189" t="s">
        <v>5659</v>
      </c>
      <c r="AD432" s="145"/>
      <c r="AE432" s="145"/>
      <c r="AF432" s="145"/>
      <c r="AG432" s="187" t="s">
        <v>5902</v>
      </c>
      <c r="AH432" s="145"/>
      <c r="AI432" s="145"/>
      <c r="AJ432" s="127"/>
      <c r="AK432" s="202" t="s">
        <v>5669</v>
      </c>
      <c r="AL432" s="158"/>
      <c r="AM432" s="158"/>
      <c r="AN432" s="4"/>
    </row>
    <row r="433" spans="1:40" ht="28.5">
      <c r="A433" s="137">
        <f>SUBTOTAL(3,$B$3:B433)</f>
        <v>431</v>
      </c>
      <c r="B433" s="121" t="s">
        <v>5670</v>
      </c>
      <c r="C433" s="165" t="s">
        <v>5671</v>
      </c>
      <c r="D433" s="163" t="s">
        <v>5671</v>
      </c>
      <c r="E433" s="129" t="s">
        <v>5672</v>
      </c>
      <c r="F433" s="129" t="s">
        <v>5673</v>
      </c>
      <c r="G433" s="129" t="s">
        <v>2345</v>
      </c>
      <c r="H433" s="129" t="s">
        <v>3327</v>
      </c>
      <c r="I433" s="129" t="s">
        <v>40</v>
      </c>
      <c r="J433" s="188">
        <v>36844</v>
      </c>
      <c r="K433" s="129" t="s">
        <v>41</v>
      </c>
      <c r="L433" s="129" t="s">
        <v>42</v>
      </c>
      <c r="M433" s="163" t="s">
        <v>1992</v>
      </c>
      <c r="N433" s="188">
        <v>45040</v>
      </c>
      <c r="O433" s="163" t="s">
        <v>2981</v>
      </c>
      <c r="P433" s="129" t="s">
        <v>2347</v>
      </c>
      <c r="Q433" s="129" t="s">
        <v>3676</v>
      </c>
      <c r="R433" s="163">
        <v>6353324288</v>
      </c>
      <c r="S433" s="124" t="e">
        <f>VLOOKUP(B433,'[2]CL SAL SHEET'!$A$4:$D$57,4,0)</f>
        <v>#N/A</v>
      </c>
      <c r="T433" s="144">
        <f>VLOOKUP(B433,[4]CLINICAL!$A$4:$B$356,2,0)</f>
        <v>101938302909</v>
      </c>
      <c r="U433" s="145" t="s">
        <v>5674</v>
      </c>
      <c r="V433" s="144">
        <f>VLOOKUP(B433,[4]CLINICAL!$A$4:$C$356,3,0)</f>
        <v>3714812317</v>
      </c>
      <c r="W433" s="145" t="s">
        <v>5675</v>
      </c>
      <c r="X433" s="145" t="s">
        <v>5676</v>
      </c>
      <c r="Y433" s="149" t="s">
        <v>65</v>
      </c>
      <c r="Z433" s="145" t="s">
        <v>4053</v>
      </c>
      <c r="AA433" s="149" t="s">
        <v>5677</v>
      </c>
      <c r="AB433" s="149" t="s">
        <v>5678</v>
      </c>
      <c r="AC433" s="189" t="s">
        <v>5670</v>
      </c>
      <c r="AD433" s="145"/>
      <c r="AE433" s="145"/>
      <c r="AF433" s="145"/>
      <c r="AG433" s="187" t="s">
        <v>5903</v>
      </c>
      <c r="AH433" s="145"/>
      <c r="AI433" s="145"/>
      <c r="AJ433" s="127"/>
      <c r="AK433" s="202" t="s">
        <v>5679</v>
      </c>
      <c r="AL433" s="158"/>
      <c r="AM433" s="158"/>
      <c r="AN433" s="4"/>
    </row>
    <row r="434" spans="1:40" ht="28.5">
      <c r="A434" s="137">
        <f>SUBTOTAL(3,$B$3:B434)</f>
        <v>432</v>
      </c>
      <c r="B434" s="203" t="s">
        <v>5680</v>
      </c>
      <c r="C434" s="165" t="s">
        <v>5681</v>
      </c>
      <c r="D434" s="163" t="s">
        <v>5681</v>
      </c>
      <c r="E434" s="129" t="s">
        <v>5682</v>
      </c>
      <c r="F434" s="129" t="s">
        <v>4301</v>
      </c>
      <c r="G434" s="129" t="s">
        <v>2389</v>
      </c>
      <c r="H434" s="129" t="s">
        <v>768</v>
      </c>
      <c r="I434" s="129" t="s">
        <v>40</v>
      </c>
      <c r="J434" s="188">
        <v>37089</v>
      </c>
      <c r="K434" s="129" t="s">
        <v>41</v>
      </c>
      <c r="L434" s="129" t="s">
        <v>42</v>
      </c>
      <c r="M434" s="163" t="s">
        <v>4016</v>
      </c>
      <c r="N434" s="188">
        <v>45040</v>
      </c>
      <c r="O434" s="124" t="s">
        <v>44</v>
      </c>
      <c r="P434" s="129" t="s">
        <v>2347</v>
      </c>
      <c r="Q434" s="129" t="s">
        <v>3676</v>
      </c>
      <c r="R434" s="163" t="s">
        <v>5683</v>
      </c>
      <c r="S434" s="124">
        <f>VLOOKUP(B434,'[1]SN Salary Sheet'!$A$4:$D$207,4,0)</f>
        <v>29028</v>
      </c>
      <c r="T434" s="144">
        <f>VLOOKUP(B434,[4]CLINICAL!$A$4:$B$356,2,0)</f>
        <v>101938302921</v>
      </c>
      <c r="U434" s="145" t="s">
        <v>5684</v>
      </c>
      <c r="V434" s="144">
        <f>VLOOKUP(B434,[4]CLINICAL!$A$4:$C$356,3,0)</f>
        <v>3714812320</v>
      </c>
      <c r="W434" s="191" t="s">
        <v>5685</v>
      </c>
      <c r="X434" s="145" t="s">
        <v>5686</v>
      </c>
      <c r="Y434" s="149" t="s">
        <v>65</v>
      </c>
      <c r="Z434" s="145" t="s">
        <v>5687</v>
      </c>
      <c r="AA434" s="149" t="s">
        <v>5688</v>
      </c>
      <c r="AB434" s="149" t="s">
        <v>5688</v>
      </c>
      <c r="AC434" s="189" t="s">
        <v>5680</v>
      </c>
      <c r="AD434" s="145"/>
      <c r="AE434" s="145"/>
      <c r="AF434" s="145"/>
      <c r="AG434" s="187" t="s">
        <v>5941</v>
      </c>
      <c r="AH434" s="145"/>
      <c r="AI434" s="145"/>
      <c r="AJ434" s="127"/>
      <c r="AK434" s="232" t="s">
        <v>5689</v>
      </c>
      <c r="AL434" s="233"/>
      <c r="AM434" s="234"/>
      <c r="AN434" s="4"/>
    </row>
    <row r="435" spans="1:40" ht="28.5">
      <c r="A435" s="137">
        <f>SUBTOTAL(3,$B$3:B435)</f>
        <v>433</v>
      </c>
      <c r="B435" s="121" t="s">
        <v>5690</v>
      </c>
      <c r="C435" s="165" t="s">
        <v>5691</v>
      </c>
      <c r="D435" s="163" t="s">
        <v>5692</v>
      </c>
      <c r="E435" s="129" t="s">
        <v>110</v>
      </c>
      <c r="F435" s="129" t="s">
        <v>5693</v>
      </c>
      <c r="G435" s="129" t="s">
        <v>2345</v>
      </c>
      <c r="H435" s="129" t="s">
        <v>5694</v>
      </c>
      <c r="I435" s="129" t="s">
        <v>40</v>
      </c>
      <c r="J435" s="188">
        <v>36732</v>
      </c>
      <c r="K435" s="129" t="s">
        <v>41</v>
      </c>
      <c r="L435" s="129" t="s">
        <v>42</v>
      </c>
      <c r="M435" s="163" t="s">
        <v>4016</v>
      </c>
      <c r="N435" s="188">
        <v>45041</v>
      </c>
      <c r="O435" s="124" t="s">
        <v>44</v>
      </c>
      <c r="P435" s="129" t="s">
        <v>2347</v>
      </c>
      <c r="Q435" s="129" t="s">
        <v>3676</v>
      </c>
      <c r="R435" s="163" t="s">
        <v>5695</v>
      </c>
      <c r="S435" s="124">
        <f>VLOOKUP(B435,'[1]SN Salary Sheet'!$A$4:$D$207,4,0)</f>
        <v>29039</v>
      </c>
      <c r="T435" s="145" t="s">
        <v>5696</v>
      </c>
      <c r="U435" s="126" t="s">
        <v>6178</v>
      </c>
      <c r="V435" s="144">
        <f>VLOOKUP(B435,[4]CLINICAL!$A$4:$C$356,3,0)</f>
        <v>3714818175</v>
      </c>
      <c r="W435" s="145" t="s">
        <v>5697</v>
      </c>
      <c r="X435" s="145" t="s">
        <v>5698</v>
      </c>
      <c r="Y435" s="149" t="s">
        <v>677</v>
      </c>
      <c r="Z435" s="145" t="s">
        <v>5699</v>
      </c>
      <c r="AA435" s="149" t="s">
        <v>5700</v>
      </c>
      <c r="AB435" s="149" t="s">
        <v>5700</v>
      </c>
      <c r="AC435" s="189" t="s">
        <v>5690</v>
      </c>
      <c r="AD435" s="145"/>
      <c r="AE435" s="145"/>
      <c r="AF435" s="145"/>
      <c r="AG435" s="187" t="s">
        <v>5904</v>
      </c>
      <c r="AH435" s="145"/>
      <c r="AI435" s="145"/>
      <c r="AJ435" s="127"/>
      <c r="AK435" s="202" t="s">
        <v>5701</v>
      </c>
      <c r="AL435" s="158"/>
      <c r="AM435" s="158"/>
      <c r="AN435" s="4"/>
    </row>
    <row r="436" spans="1:40" ht="28.5">
      <c r="A436" s="137">
        <f>SUBTOTAL(3,$B$3:B436)</f>
        <v>434</v>
      </c>
      <c r="B436" s="203" t="s">
        <v>5702</v>
      </c>
      <c r="C436" s="165" t="s">
        <v>5703</v>
      </c>
      <c r="D436" s="163" t="s">
        <v>5704</v>
      </c>
      <c r="E436" s="129" t="s">
        <v>4406</v>
      </c>
      <c r="F436" s="129" t="s">
        <v>5705</v>
      </c>
      <c r="G436" s="129" t="s">
        <v>2345</v>
      </c>
      <c r="H436" s="129" t="s">
        <v>5706</v>
      </c>
      <c r="I436" s="129" t="s">
        <v>40</v>
      </c>
      <c r="J436" s="188">
        <v>36813</v>
      </c>
      <c r="K436" s="129" t="s">
        <v>41</v>
      </c>
      <c r="L436" s="129" t="s">
        <v>42</v>
      </c>
      <c r="M436" s="163" t="s">
        <v>4016</v>
      </c>
      <c r="N436" s="188">
        <v>45041</v>
      </c>
      <c r="O436" s="124" t="s">
        <v>44</v>
      </c>
      <c r="P436" s="129" t="s">
        <v>2347</v>
      </c>
      <c r="Q436" s="129" t="s">
        <v>3676</v>
      </c>
      <c r="R436" s="163">
        <v>7874561975</v>
      </c>
      <c r="S436" s="124">
        <f>VLOOKUP(B436,'[1]SN Salary Sheet'!$A$4:$D$207,4,0)</f>
        <v>29038</v>
      </c>
      <c r="T436" s="144">
        <f>VLOOKUP(B436,[4]CLINICAL!$A$4:$B$356,2,0)</f>
        <v>101939282339</v>
      </c>
      <c r="U436" s="145" t="s">
        <v>5707</v>
      </c>
      <c r="V436" s="144">
        <f>VLOOKUP(B436,[4]CLINICAL!$A$4:$C$356,3,0)</f>
        <v>3714818197</v>
      </c>
      <c r="W436" s="176" t="s">
        <v>5708</v>
      </c>
      <c r="X436" s="145" t="s">
        <v>5709</v>
      </c>
      <c r="Y436" s="149" t="s">
        <v>132</v>
      </c>
      <c r="Z436" s="145" t="s">
        <v>183</v>
      </c>
      <c r="AA436" s="149" t="s">
        <v>5710</v>
      </c>
      <c r="AB436" s="149" t="s">
        <v>5710</v>
      </c>
      <c r="AC436" s="189" t="s">
        <v>5702</v>
      </c>
      <c r="AD436" s="145"/>
      <c r="AE436" s="145"/>
      <c r="AF436" s="145"/>
      <c r="AG436" s="187" t="s">
        <v>5905</v>
      </c>
      <c r="AH436" s="145"/>
      <c r="AI436" s="145"/>
      <c r="AJ436" s="127"/>
      <c r="AK436" s="229"/>
      <c r="AL436" s="230"/>
      <c r="AM436" s="231"/>
      <c r="AN436" s="4"/>
    </row>
    <row r="437" spans="1:40" ht="28.5">
      <c r="A437" s="137">
        <f>SUBTOTAL(3,$B$3:B437)</f>
        <v>435</v>
      </c>
      <c r="B437" s="121" t="s">
        <v>5711</v>
      </c>
      <c r="C437" s="165" t="s">
        <v>5712</v>
      </c>
      <c r="D437" s="163" t="s">
        <v>5712</v>
      </c>
      <c r="E437" s="129" t="s">
        <v>754</v>
      </c>
      <c r="F437" s="129" t="s">
        <v>5713</v>
      </c>
      <c r="G437" s="129" t="s">
        <v>2345</v>
      </c>
      <c r="H437" s="129" t="s">
        <v>1899</v>
      </c>
      <c r="I437" s="129" t="s">
        <v>40</v>
      </c>
      <c r="J437" s="188">
        <v>36754</v>
      </c>
      <c r="K437" s="129" t="s">
        <v>41</v>
      </c>
      <c r="L437" s="129" t="s">
        <v>42</v>
      </c>
      <c r="M437" s="163" t="s">
        <v>5714</v>
      </c>
      <c r="N437" s="188">
        <v>45041</v>
      </c>
      <c r="O437" s="163" t="s">
        <v>2981</v>
      </c>
      <c r="P437" s="129" t="s">
        <v>2347</v>
      </c>
      <c r="Q437" s="129" t="s">
        <v>3676</v>
      </c>
      <c r="R437" s="163" t="s">
        <v>5715</v>
      </c>
      <c r="S437" s="124">
        <f>VLOOKUP(B437,'[2]CL SAL SHEET'!$A$4:$D$57,4,0)</f>
        <v>29035</v>
      </c>
      <c r="T437" s="144">
        <f>VLOOKUP(B437,[4]CLINICAL!$A$4:$B$356,2,0)</f>
        <v>101939282302</v>
      </c>
      <c r="U437" s="145" t="s">
        <v>5716</v>
      </c>
      <c r="V437" s="144">
        <f>VLOOKUP(B437,[4]CLINICAL!$A$4:$C$356,3,0)</f>
        <v>3714818229</v>
      </c>
      <c r="W437" s="145" t="s">
        <v>5717</v>
      </c>
      <c r="X437" s="145" t="s">
        <v>5718</v>
      </c>
      <c r="Y437" s="149" t="s">
        <v>65</v>
      </c>
      <c r="Z437" s="145" t="s">
        <v>5719</v>
      </c>
      <c r="AA437" s="149" t="s">
        <v>5720</v>
      </c>
      <c r="AB437" s="149" t="s">
        <v>5721</v>
      </c>
      <c r="AC437" s="189" t="s">
        <v>5711</v>
      </c>
      <c r="AD437" s="145"/>
      <c r="AE437" s="145"/>
      <c r="AF437" s="145"/>
      <c r="AG437" s="187" t="s">
        <v>5906</v>
      </c>
      <c r="AH437" s="145"/>
      <c r="AI437" s="145"/>
      <c r="AJ437" s="127"/>
      <c r="AK437" s="202" t="s">
        <v>5722</v>
      </c>
      <c r="AL437" s="158"/>
      <c r="AM437" s="158"/>
      <c r="AN437" s="4"/>
    </row>
    <row r="438" spans="1:40" ht="28.5">
      <c r="A438" s="137">
        <f>SUBTOTAL(3,$B$3:B438)</f>
        <v>436</v>
      </c>
      <c r="B438" s="121" t="s">
        <v>5723</v>
      </c>
      <c r="C438" s="165" t="s">
        <v>5724</v>
      </c>
      <c r="D438" s="163" t="s">
        <v>5724</v>
      </c>
      <c r="E438" s="129" t="s">
        <v>5725</v>
      </c>
      <c r="F438" s="129" t="s">
        <v>5525</v>
      </c>
      <c r="G438" s="129" t="s">
        <v>2345</v>
      </c>
      <c r="H438" s="129" t="s">
        <v>1200</v>
      </c>
      <c r="I438" s="129" t="s">
        <v>40</v>
      </c>
      <c r="J438" s="188">
        <v>37438</v>
      </c>
      <c r="K438" s="129" t="s">
        <v>41</v>
      </c>
      <c r="L438" s="129" t="s">
        <v>42</v>
      </c>
      <c r="M438" s="163" t="s">
        <v>4016</v>
      </c>
      <c r="N438" s="188">
        <v>45042</v>
      </c>
      <c r="O438" s="124" t="s">
        <v>44</v>
      </c>
      <c r="P438" s="129" t="s">
        <v>2347</v>
      </c>
      <c r="Q438" s="129" t="s">
        <v>3676</v>
      </c>
      <c r="R438" s="163" t="s">
        <v>5726</v>
      </c>
      <c r="S438" s="124">
        <f>VLOOKUP(B438,'[1]SN Salary Sheet'!$A$4:$D$207,4,0)</f>
        <v>29037</v>
      </c>
      <c r="T438" s="144">
        <f>VLOOKUP(B438,[4]CLINICAL!$A$4:$B$356,2,0)</f>
        <v>101939282325</v>
      </c>
      <c r="U438" s="126" t="s">
        <v>6178</v>
      </c>
      <c r="V438" s="144">
        <f>VLOOKUP(B438,[4]CLINICAL!$A$4:$C$356,3,0)</f>
        <v>3714818259</v>
      </c>
      <c r="W438" s="145" t="s">
        <v>5727</v>
      </c>
      <c r="X438" s="145" t="s">
        <v>5728</v>
      </c>
      <c r="Y438" s="149" t="s">
        <v>65</v>
      </c>
      <c r="Z438" s="145" t="s">
        <v>5729</v>
      </c>
      <c r="AA438" s="149" t="s">
        <v>5730</v>
      </c>
      <c r="AB438" s="149" t="s">
        <v>5731</v>
      </c>
      <c r="AC438" s="189" t="s">
        <v>5723</v>
      </c>
      <c r="AD438" s="145"/>
      <c r="AE438" s="145"/>
      <c r="AF438" s="145"/>
      <c r="AG438" s="187" t="s">
        <v>5907</v>
      </c>
      <c r="AH438" s="145"/>
      <c r="AI438" s="145"/>
      <c r="AJ438" s="127"/>
      <c r="AK438" s="202" t="s">
        <v>5732</v>
      </c>
      <c r="AL438" s="158"/>
      <c r="AM438" s="158"/>
      <c r="AN438" s="4"/>
    </row>
    <row r="439" spans="1:40" ht="28.5">
      <c r="A439" s="137">
        <f>SUBTOTAL(3,$B$3:B439)</f>
        <v>437</v>
      </c>
      <c r="B439" s="121" t="s">
        <v>5733</v>
      </c>
      <c r="C439" s="165" t="s">
        <v>5734</v>
      </c>
      <c r="D439" s="163" t="s">
        <v>5734</v>
      </c>
      <c r="E439" s="129" t="s">
        <v>5735</v>
      </c>
      <c r="F439" s="129" t="s">
        <v>5736</v>
      </c>
      <c r="G439" s="129" t="s">
        <v>2345</v>
      </c>
      <c r="H439" s="129" t="s">
        <v>5737</v>
      </c>
      <c r="I439" s="129" t="s">
        <v>40</v>
      </c>
      <c r="J439" s="188">
        <v>37254</v>
      </c>
      <c r="K439" s="129" t="s">
        <v>41</v>
      </c>
      <c r="L439" s="129" t="s">
        <v>42</v>
      </c>
      <c r="M439" s="163" t="s">
        <v>4016</v>
      </c>
      <c r="N439" s="188">
        <v>45042</v>
      </c>
      <c r="O439" s="124" t="s">
        <v>44</v>
      </c>
      <c r="P439" s="129" t="s">
        <v>2347</v>
      </c>
      <c r="Q439" s="129" t="s">
        <v>3676</v>
      </c>
      <c r="R439" s="163" t="s">
        <v>5738</v>
      </c>
      <c r="S439" s="124">
        <f>VLOOKUP(B439,'[1]SN Salary Sheet'!$A$4:$D$207,4,0)</f>
        <v>29033</v>
      </c>
      <c r="T439" s="144">
        <f>VLOOKUP(B439,[4]CLINICAL!$A$4:$B$356,2,0)</f>
        <v>101939282285</v>
      </c>
      <c r="U439" s="126" t="s">
        <v>6178</v>
      </c>
      <c r="V439" s="144">
        <f>VLOOKUP(B439,[4]CLINICAL!$A$4:$C$356,3,0)</f>
        <v>3714818286</v>
      </c>
      <c r="W439" s="145" t="s">
        <v>5739</v>
      </c>
      <c r="X439" s="145" t="s">
        <v>5740</v>
      </c>
      <c r="Y439" s="149" t="s">
        <v>65</v>
      </c>
      <c r="Z439" s="145" t="s">
        <v>5741</v>
      </c>
      <c r="AA439" s="149" t="s">
        <v>5730</v>
      </c>
      <c r="AB439" s="149" t="s">
        <v>5742</v>
      </c>
      <c r="AC439" s="189" t="s">
        <v>5733</v>
      </c>
      <c r="AD439" s="145"/>
      <c r="AE439" s="145"/>
      <c r="AF439" s="145"/>
      <c r="AG439" s="187" t="s">
        <v>5908</v>
      </c>
      <c r="AH439" s="145"/>
      <c r="AI439" s="145"/>
      <c r="AJ439" s="127"/>
      <c r="AK439" s="202" t="s">
        <v>5743</v>
      </c>
      <c r="AL439" s="158"/>
      <c r="AM439" s="158"/>
      <c r="AN439" s="4"/>
    </row>
    <row r="440" spans="1:40" ht="28.5">
      <c r="A440" s="137">
        <f>SUBTOTAL(3,$B$3:B440)</f>
        <v>438</v>
      </c>
      <c r="B440" s="121" t="s">
        <v>5744</v>
      </c>
      <c r="C440" s="165" t="s">
        <v>5745</v>
      </c>
      <c r="D440" s="163" t="s">
        <v>5745</v>
      </c>
      <c r="E440" s="129" t="s">
        <v>5746</v>
      </c>
      <c r="F440" s="129" t="s">
        <v>1878</v>
      </c>
      <c r="G440" s="129" t="s">
        <v>2345</v>
      </c>
      <c r="H440" s="129" t="s">
        <v>711</v>
      </c>
      <c r="I440" s="129" t="s">
        <v>40</v>
      </c>
      <c r="J440" s="188">
        <v>37533</v>
      </c>
      <c r="K440" s="129" t="s">
        <v>41</v>
      </c>
      <c r="L440" s="129" t="s">
        <v>42</v>
      </c>
      <c r="M440" s="163" t="s">
        <v>4016</v>
      </c>
      <c r="N440" s="188">
        <v>45054</v>
      </c>
      <c r="O440" s="124" t="s">
        <v>44</v>
      </c>
      <c r="P440" s="129" t="s">
        <v>2347</v>
      </c>
      <c r="Q440" s="129" t="s">
        <v>3676</v>
      </c>
      <c r="R440" s="163" t="s">
        <v>5747</v>
      </c>
      <c r="S440" s="124">
        <f>VLOOKUP(B440,'[1]SN Salary Sheet'!$A$4:$D$207,4,0)</f>
        <v>29099</v>
      </c>
      <c r="T440" s="144">
        <f>VLOOKUP(B440,[5]Sheet1!$B$104:$F$114,5,0)</f>
        <v>101944315949</v>
      </c>
      <c r="U440" s="126" t="s">
        <v>6178</v>
      </c>
      <c r="V440" s="144">
        <f>VLOOKUP(B440,[5]Sheet1!$B$104:$F$114,3,0)</f>
        <v>3714818306</v>
      </c>
      <c r="W440" s="145" t="s">
        <v>5748</v>
      </c>
      <c r="X440" s="145" t="s">
        <v>5749</v>
      </c>
      <c r="Y440" s="149" t="s">
        <v>65</v>
      </c>
      <c r="Z440" s="145" t="s">
        <v>5729</v>
      </c>
      <c r="AA440" s="149" t="s">
        <v>5730</v>
      </c>
      <c r="AB440" s="149" t="s">
        <v>5750</v>
      </c>
      <c r="AC440" s="189" t="s">
        <v>5744</v>
      </c>
      <c r="AD440" s="145"/>
      <c r="AE440" s="145"/>
      <c r="AF440" s="145"/>
      <c r="AG440" s="187" t="s">
        <v>5909</v>
      </c>
      <c r="AH440" s="145"/>
      <c r="AI440" s="145"/>
      <c r="AJ440" s="127"/>
      <c r="AK440" s="202" t="s">
        <v>5751</v>
      </c>
      <c r="AL440" s="158"/>
      <c r="AM440" s="158"/>
      <c r="AN440" s="4"/>
    </row>
    <row r="441" spans="1:40" ht="28.5">
      <c r="A441" s="137">
        <f>SUBTOTAL(3,$B$3:B441)</f>
        <v>439</v>
      </c>
      <c r="B441" s="121" t="s">
        <v>5752</v>
      </c>
      <c r="C441" s="165" t="s">
        <v>5753</v>
      </c>
      <c r="D441" s="163" t="s">
        <v>5753</v>
      </c>
      <c r="E441" s="129" t="s">
        <v>5754</v>
      </c>
      <c r="F441" s="129" t="s">
        <v>2098</v>
      </c>
      <c r="G441" s="129" t="s">
        <v>2345</v>
      </c>
      <c r="H441" s="129" t="s">
        <v>5755</v>
      </c>
      <c r="I441" s="129" t="s">
        <v>40</v>
      </c>
      <c r="J441" s="188">
        <v>37259</v>
      </c>
      <c r="K441" s="129" t="s">
        <v>41</v>
      </c>
      <c r="L441" s="129" t="s">
        <v>42</v>
      </c>
      <c r="M441" s="163" t="s">
        <v>4016</v>
      </c>
      <c r="N441" s="188">
        <v>45047</v>
      </c>
      <c r="O441" s="124" t="s">
        <v>44</v>
      </c>
      <c r="P441" s="129" t="s">
        <v>2347</v>
      </c>
      <c r="Q441" s="129" t="s">
        <v>3676</v>
      </c>
      <c r="R441" s="163">
        <v>9484487862</v>
      </c>
      <c r="S441" s="124">
        <f>VLOOKUP(B441,'[1]SN Salary Sheet'!$A$4:$D$207,4,0)</f>
        <v>29098</v>
      </c>
      <c r="T441" s="144">
        <f>VLOOKUP(B441,[5]Sheet1!$B$104:$F$114,5,0)</f>
        <v>101935301533</v>
      </c>
      <c r="U441" s="145" t="s">
        <v>5756</v>
      </c>
      <c r="V441" s="144">
        <f>VLOOKUP(B441,[5]Sheet1!$B$104:$F$114,3,0)</f>
        <v>3714818355</v>
      </c>
      <c r="W441" s="145" t="s">
        <v>5757</v>
      </c>
      <c r="X441" s="145" t="s">
        <v>5758</v>
      </c>
      <c r="Y441" s="149" t="s">
        <v>132</v>
      </c>
      <c r="Z441" s="145" t="s">
        <v>5759</v>
      </c>
      <c r="AA441" s="149" t="s">
        <v>5760</v>
      </c>
      <c r="AB441" s="149" t="s">
        <v>5761</v>
      </c>
      <c r="AC441" s="189" t="s">
        <v>5752</v>
      </c>
      <c r="AD441" s="145"/>
      <c r="AE441" s="145"/>
      <c r="AF441" s="145"/>
      <c r="AG441" s="187" t="s">
        <v>5910</v>
      </c>
      <c r="AH441" s="145"/>
      <c r="AI441" s="145"/>
      <c r="AJ441" s="127"/>
      <c r="AK441" s="202" t="s">
        <v>5762</v>
      </c>
      <c r="AL441" s="158"/>
      <c r="AM441" s="158"/>
      <c r="AN441" s="4"/>
    </row>
    <row r="442" spans="1:40" ht="28.5">
      <c r="A442" s="137">
        <f>SUBTOTAL(3,$B$3:B442)</f>
        <v>440</v>
      </c>
      <c r="B442" s="121" t="s">
        <v>5763</v>
      </c>
      <c r="C442" s="165" t="s">
        <v>5764</v>
      </c>
      <c r="D442" s="163" t="s">
        <v>5764</v>
      </c>
      <c r="E442" s="129" t="s">
        <v>5765</v>
      </c>
      <c r="F442" s="129" t="s">
        <v>830</v>
      </c>
      <c r="G442" s="129" t="s">
        <v>2345</v>
      </c>
      <c r="H442" s="129" t="s">
        <v>239</v>
      </c>
      <c r="I442" s="129" t="s">
        <v>40</v>
      </c>
      <c r="J442" s="188">
        <v>36907</v>
      </c>
      <c r="K442" s="129" t="s">
        <v>41</v>
      </c>
      <c r="L442" s="129" t="s">
        <v>42</v>
      </c>
      <c r="M442" s="163" t="s">
        <v>4016</v>
      </c>
      <c r="N442" s="188">
        <v>45043</v>
      </c>
      <c r="O442" s="124" t="s">
        <v>44</v>
      </c>
      <c r="P442" s="129" t="s">
        <v>2347</v>
      </c>
      <c r="Q442" s="129" t="s">
        <v>3676</v>
      </c>
      <c r="R442" s="163" t="s">
        <v>5766</v>
      </c>
      <c r="S442" s="124">
        <f>VLOOKUP(B442,'[1]SN Salary Sheet'!$A$4:$D$207,4,0)</f>
        <v>29036</v>
      </c>
      <c r="T442" s="144">
        <f>VLOOKUP(B442,[4]CLINICAL!$A$4:$B$356,2,0)</f>
        <v>101939282318</v>
      </c>
      <c r="U442" s="145" t="s">
        <v>5767</v>
      </c>
      <c r="V442" s="144">
        <f>VLOOKUP(B442,[4]CLINICAL!$A$4:$C$356,3,0)</f>
        <v>3714818370</v>
      </c>
      <c r="W442" s="145" t="s">
        <v>5768</v>
      </c>
      <c r="X442" s="145" t="s">
        <v>5769</v>
      </c>
      <c r="Y442" s="149" t="s">
        <v>132</v>
      </c>
      <c r="Z442" s="145" t="s">
        <v>5759</v>
      </c>
      <c r="AA442" s="149" t="s">
        <v>5770</v>
      </c>
      <c r="AB442" s="149" t="s">
        <v>5771</v>
      </c>
      <c r="AC442" s="189" t="s">
        <v>5763</v>
      </c>
      <c r="AD442" s="145"/>
      <c r="AE442" s="145"/>
      <c r="AF442" s="145"/>
      <c r="AG442" s="187" t="s">
        <v>5911</v>
      </c>
      <c r="AH442" s="145"/>
      <c r="AI442" s="145"/>
      <c r="AJ442" s="127"/>
      <c r="AK442" s="202" t="s">
        <v>5772</v>
      </c>
      <c r="AL442" s="158"/>
      <c r="AM442" s="158"/>
      <c r="AN442" s="4"/>
    </row>
    <row r="443" spans="1:40" ht="28.5">
      <c r="A443" s="137">
        <f>SUBTOTAL(3,$B$3:B443)</f>
        <v>441</v>
      </c>
      <c r="B443" s="121" t="s">
        <v>5786</v>
      </c>
      <c r="C443" s="165" t="s">
        <v>5774</v>
      </c>
      <c r="D443" s="163" t="s">
        <v>5775</v>
      </c>
      <c r="E443" s="129" t="s">
        <v>263</v>
      </c>
      <c r="F443" s="129" t="s">
        <v>5776</v>
      </c>
      <c r="G443" s="129" t="s">
        <v>2345</v>
      </c>
      <c r="H443" s="129" t="s">
        <v>5777</v>
      </c>
      <c r="I443" s="129" t="s">
        <v>40</v>
      </c>
      <c r="J443" s="188">
        <v>35796</v>
      </c>
      <c r="K443" s="129" t="s">
        <v>280</v>
      </c>
      <c r="L443" s="129" t="s">
        <v>42</v>
      </c>
      <c r="M443" s="163" t="s">
        <v>5778</v>
      </c>
      <c r="N443" s="188">
        <v>45044</v>
      </c>
      <c r="O443" s="163" t="s">
        <v>2981</v>
      </c>
      <c r="P443" s="129" t="s">
        <v>2347</v>
      </c>
      <c r="Q443" s="129" t="s">
        <v>3676</v>
      </c>
      <c r="R443" s="163" t="s">
        <v>5779</v>
      </c>
      <c r="S443" s="124">
        <f>VLOOKUP(B443,'[2]CL SAL SHEET'!$A$4:$D$57,4,0)</f>
        <v>29043</v>
      </c>
      <c r="T443" s="144">
        <f>VLOOKUP(B443,[4]CLINICAL!$A$4:$B$356,2,0)</f>
        <v>101939282292</v>
      </c>
      <c r="U443" s="126" t="s">
        <v>6178</v>
      </c>
      <c r="V443" s="144">
        <f>VLOOKUP(B443,[4]CLINICAL!$A$4:$C$356,3,0)</f>
        <v>3714818405</v>
      </c>
      <c r="W443" s="145" t="s">
        <v>5780</v>
      </c>
      <c r="X443" s="145" t="s">
        <v>5781</v>
      </c>
      <c r="Y443" s="149" t="s">
        <v>65</v>
      </c>
      <c r="Z443" s="145" t="s">
        <v>5782</v>
      </c>
      <c r="AA443" s="149" t="s">
        <v>5783</v>
      </c>
      <c r="AB443" s="149" t="s">
        <v>5784</v>
      </c>
      <c r="AC443" s="189" t="s">
        <v>5786</v>
      </c>
      <c r="AD443" s="145"/>
      <c r="AE443" s="145"/>
      <c r="AF443" s="145"/>
      <c r="AG443" s="187" t="s">
        <v>5912</v>
      </c>
      <c r="AH443" s="145"/>
      <c r="AI443" s="145"/>
      <c r="AJ443" s="127"/>
      <c r="AK443" s="202" t="s">
        <v>5785</v>
      </c>
      <c r="AL443" s="158"/>
      <c r="AM443" s="158"/>
      <c r="AN443" s="4"/>
    </row>
    <row r="444" spans="1:40" ht="28.5">
      <c r="A444" s="137">
        <f>SUBTOTAL(3,$B$3:B444)</f>
        <v>442</v>
      </c>
      <c r="B444" s="121" t="s">
        <v>5773</v>
      </c>
      <c r="C444" s="165" t="s">
        <v>5787</v>
      </c>
      <c r="D444" s="163" t="s">
        <v>5787</v>
      </c>
      <c r="E444" s="129" t="s">
        <v>5788</v>
      </c>
      <c r="F444" s="129" t="s">
        <v>5789</v>
      </c>
      <c r="G444" s="129" t="s">
        <v>2345</v>
      </c>
      <c r="H444" s="129" t="s">
        <v>799</v>
      </c>
      <c r="I444" s="129" t="s">
        <v>40</v>
      </c>
      <c r="J444" s="188">
        <v>36899</v>
      </c>
      <c r="K444" s="129" t="s">
        <v>41</v>
      </c>
      <c r="L444" s="129" t="s">
        <v>42</v>
      </c>
      <c r="M444" s="163" t="s">
        <v>5778</v>
      </c>
      <c r="N444" s="188">
        <v>45044</v>
      </c>
      <c r="O444" s="163" t="s">
        <v>2981</v>
      </c>
      <c r="P444" s="129" t="s">
        <v>2347</v>
      </c>
      <c r="Q444" s="129" t="s">
        <v>3676</v>
      </c>
      <c r="R444" s="163" t="s">
        <v>5790</v>
      </c>
      <c r="S444" s="124">
        <f>VLOOKUP(B444,'[2]CL SAL SHEET'!$A$4:$D$57,4,0)</f>
        <v>29034</v>
      </c>
      <c r="T444" s="144">
        <f>VLOOKUP(B444,[4]CLINICAL!$A$4:$B$356,2,0)</f>
        <v>101939838758</v>
      </c>
      <c r="U444" s="145" t="s">
        <v>5791</v>
      </c>
      <c r="V444" s="144">
        <f>VLOOKUP(B444,[4]CLINICAL!$A$4:$C$356,3,0)</f>
        <v>3714823177</v>
      </c>
      <c r="W444" s="145" t="s">
        <v>5792</v>
      </c>
      <c r="X444" s="145" t="s">
        <v>5793</v>
      </c>
      <c r="Y444" s="149" t="s">
        <v>65</v>
      </c>
      <c r="Z444" s="145" t="s">
        <v>5794</v>
      </c>
      <c r="AA444" s="149" t="s">
        <v>5795</v>
      </c>
      <c r="AB444" s="149" t="s">
        <v>5796</v>
      </c>
      <c r="AC444" s="189" t="s">
        <v>5773</v>
      </c>
      <c r="AD444" s="145"/>
      <c r="AE444" s="145"/>
      <c r="AF444" s="145"/>
      <c r="AG444" s="187" t="s">
        <v>5913</v>
      </c>
      <c r="AH444" s="145"/>
      <c r="AI444" s="145"/>
      <c r="AJ444" s="127"/>
      <c r="AK444" s="202" t="s">
        <v>5797</v>
      </c>
      <c r="AL444" s="158"/>
      <c r="AM444" s="158"/>
      <c r="AN444" s="4"/>
    </row>
    <row r="445" spans="1:40" ht="28.5">
      <c r="A445" s="137">
        <f>SUBTOTAL(3,$B$3:B445)</f>
        <v>443</v>
      </c>
      <c r="B445" s="121" t="s">
        <v>5798</v>
      </c>
      <c r="C445" s="165" t="s">
        <v>5799</v>
      </c>
      <c r="D445" s="163" t="s">
        <v>5800</v>
      </c>
      <c r="E445" s="129" t="s">
        <v>161</v>
      </c>
      <c r="F445" s="129" t="s">
        <v>5801</v>
      </c>
      <c r="G445" s="129" t="s">
        <v>2345</v>
      </c>
      <c r="H445" s="129" t="s">
        <v>1981</v>
      </c>
      <c r="I445" s="129" t="s">
        <v>40</v>
      </c>
      <c r="J445" s="188">
        <v>37383</v>
      </c>
      <c r="K445" s="129" t="s">
        <v>41</v>
      </c>
      <c r="L445" s="129" t="s">
        <v>42</v>
      </c>
      <c r="M445" s="163" t="s">
        <v>4016</v>
      </c>
      <c r="N445" s="188">
        <v>45047</v>
      </c>
      <c r="O445" s="124" t="s">
        <v>44</v>
      </c>
      <c r="P445" s="129" t="s">
        <v>2347</v>
      </c>
      <c r="Q445" s="129" t="s">
        <v>3676</v>
      </c>
      <c r="R445" s="163">
        <v>8320232088</v>
      </c>
      <c r="S445" s="124" t="e">
        <f>VLOOKUP(B445,'[1]SN Salary Sheet'!$A$4:$D$207,4,0)</f>
        <v>#N/A</v>
      </c>
      <c r="T445" s="144">
        <f>VLOOKUP(B445,[5]Sheet1!$B$104:$F$114,5,0)</f>
        <v>101944302199</v>
      </c>
      <c r="U445" s="126" t="s">
        <v>6178</v>
      </c>
      <c r="V445" s="151">
        <v>3714852475</v>
      </c>
      <c r="W445" s="145" t="s">
        <v>5802</v>
      </c>
      <c r="X445" s="145" t="s">
        <v>5803</v>
      </c>
      <c r="Y445" s="149" t="s">
        <v>65</v>
      </c>
      <c r="Z445" s="145" t="s">
        <v>5804</v>
      </c>
      <c r="AA445" s="149" t="s">
        <v>5805</v>
      </c>
      <c r="AB445" s="149" t="s">
        <v>5806</v>
      </c>
      <c r="AC445" s="189" t="s">
        <v>5798</v>
      </c>
      <c r="AD445" s="145"/>
      <c r="AE445" s="145"/>
      <c r="AF445" s="145"/>
      <c r="AG445" s="187" t="s">
        <v>5914</v>
      </c>
      <c r="AH445" s="145"/>
      <c r="AI445" s="145"/>
      <c r="AJ445" s="127"/>
      <c r="AK445" s="204" t="s">
        <v>5807</v>
      </c>
      <c r="AL445" s="158"/>
      <c r="AM445" s="158"/>
      <c r="AN445" s="4"/>
    </row>
    <row r="446" spans="1:40" ht="28.5">
      <c r="A446" s="137">
        <f>SUBTOTAL(3,$B$3:B446)</f>
        <v>444</v>
      </c>
      <c r="B446" s="190" t="s">
        <v>5808</v>
      </c>
      <c r="C446" s="165" t="s">
        <v>5809</v>
      </c>
      <c r="D446" s="163" t="s">
        <v>5809</v>
      </c>
      <c r="E446" s="129" t="s">
        <v>5810</v>
      </c>
      <c r="F446" s="129" t="s">
        <v>5811</v>
      </c>
      <c r="G446" s="129" t="s">
        <v>2345</v>
      </c>
      <c r="H446" s="129" t="s">
        <v>789</v>
      </c>
      <c r="I446" s="129" t="s">
        <v>702</v>
      </c>
      <c r="J446" s="188">
        <v>33459</v>
      </c>
      <c r="K446" s="129" t="s">
        <v>280</v>
      </c>
      <c r="L446" s="129" t="s">
        <v>42</v>
      </c>
      <c r="M446" s="163" t="s">
        <v>5812</v>
      </c>
      <c r="N446" s="188">
        <v>45047</v>
      </c>
      <c r="O446" s="163" t="s">
        <v>2291</v>
      </c>
      <c r="P446" s="129" t="s">
        <v>2347</v>
      </c>
      <c r="Q446" s="129" t="s">
        <v>3676</v>
      </c>
      <c r="R446" s="163" t="s">
        <v>5813</v>
      </c>
      <c r="S446" s="124" t="e">
        <f>VLOOKUP(B446,'[2]CL SAL SHEET'!$A$4:$D$57,4,0)</f>
        <v>#N/A</v>
      </c>
      <c r="T446" s="144">
        <f>VLOOKUP(B446,[5]Sheet1!$B$104:$F$114,5,0)</f>
        <v>101176960651</v>
      </c>
      <c r="U446" s="145" t="s">
        <v>5814</v>
      </c>
      <c r="V446" s="151">
        <v>3714852537</v>
      </c>
      <c r="W446" s="145" t="s">
        <v>5815</v>
      </c>
      <c r="X446" s="145" t="s">
        <v>5816</v>
      </c>
      <c r="Y446" s="149" t="s">
        <v>146</v>
      </c>
      <c r="Z446" s="145" t="s">
        <v>220</v>
      </c>
      <c r="AA446" s="149" t="s">
        <v>5817</v>
      </c>
      <c r="AB446" s="149" t="s">
        <v>5817</v>
      </c>
      <c r="AC446" s="189" t="s">
        <v>5808</v>
      </c>
      <c r="AD446" s="145"/>
      <c r="AE446" s="145"/>
      <c r="AF446" s="145"/>
      <c r="AG446" s="187" t="s">
        <v>5915</v>
      </c>
      <c r="AH446" s="145"/>
      <c r="AI446" s="145"/>
      <c r="AJ446" s="127"/>
      <c r="AK446" s="229"/>
      <c r="AL446" s="230"/>
      <c r="AM446" s="231"/>
      <c r="AN446" s="4"/>
    </row>
    <row r="447" spans="1:40" ht="28.5">
      <c r="A447" s="137">
        <f>SUBTOTAL(3,$B$3:B447)</f>
        <v>445</v>
      </c>
      <c r="B447" s="121" t="s">
        <v>5818</v>
      </c>
      <c r="C447" s="165" t="s">
        <v>5819</v>
      </c>
      <c r="D447" s="163" t="s">
        <v>5819</v>
      </c>
      <c r="E447" s="129" t="s">
        <v>136</v>
      </c>
      <c r="F447" s="129" t="s">
        <v>5820</v>
      </c>
      <c r="G447" s="129" t="s">
        <v>2389</v>
      </c>
      <c r="H447" s="129" t="s">
        <v>5821</v>
      </c>
      <c r="I447" s="129" t="s">
        <v>40</v>
      </c>
      <c r="J447" s="188">
        <v>35531</v>
      </c>
      <c r="K447" s="129" t="s">
        <v>41</v>
      </c>
      <c r="L447" s="129" t="s">
        <v>42</v>
      </c>
      <c r="M447" s="163" t="s">
        <v>5822</v>
      </c>
      <c r="N447" s="188">
        <v>45047</v>
      </c>
      <c r="O447" s="124" t="s">
        <v>2644</v>
      </c>
      <c r="P447" s="129" t="s">
        <v>2347</v>
      </c>
      <c r="Q447" s="129" t="s">
        <v>3676</v>
      </c>
      <c r="R447" s="163" t="s">
        <v>5823</v>
      </c>
      <c r="S447" s="124">
        <f>VLOOKUP(B447,'[2]CL SAL SHEET'!$A$4:$D$57,4,0)</f>
        <v>29093</v>
      </c>
      <c r="T447" s="144">
        <f>VLOOKUP(B447,[5]Sheet1!$B$104:$F$114,5,0)</f>
        <v>101944302201</v>
      </c>
      <c r="U447" s="145" t="s">
        <v>5824</v>
      </c>
      <c r="V447" s="151">
        <v>3714852555</v>
      </c>
      <c r="W447" s="145" t="s">
        <v>5825</v>
      </c>
      <c r="X447" s="145" t="s">
        <v>5826</v>
      </c>
      <c r="Y447" s="149" t="s">
        <v>146</v>
      </c>
      <c r="Z447" s="145" t="s">
        <v>447</v>
      </c>
      <c r="AA447" s="149" t="s">
        <v>5827</v>
      </c>
      <c r="AB447" s="149" t="s">
        <v>5827</v>
      </c>
      <c r="AC447" s="189" t="s">
        <v>5818</v>
      </c>
      <c r="AD447" s="145"/>
      <c r="AE447" s="145"/>
      <c r="AF447" s="145"/>
      <c r="AG447" s="187" t="s">
        <v>5916</v>
      </c>
      <c r="AH447" s="145"/>
      <c r="AI447" s="145"/>
      <c r="AJ447" s="127"/>
      <c r="AK447" s="202" t="s">
        <v>5828</v>
      </c>
      <c r="AL447" s="158"/>
      <c r="AM447" s="158"/>
      <c r="AN447" s="4"/>
    </row>
    <row r="448" spans="1:40" ht="28.5">
      <c r="A448" s="137">
        <f>SUBTOTAL(3,$B$3:B448)</f>
        <v>446</v>
      </c>
      <c r="B448" s="121" t="s">
        <v>5829</v>
      </c>
      <c r="C448" s="165" t="s">
        <v>5830</v>
      </c>
      <c r="D448" s="163" t="s">
        <v>5831</v>
      </c>
      <c r="E448" s="129" t="s">
        <v>1279</v>
      </c>
      <c r="F448" s="129" t="s">
        <v>2807</v>
      </c>
      <c r="G448" s="129" t="s">
        <v>2345</v>
      </c>
      <c r="H448" s="129" t="s">
        <v>5832</v>
      </c>
      <c r="I448" s="129" t="s">
        <v>40</v>
      </c>
      <c r="J448" s="188">
        <v>37345</v>
      </c>
      <c r="K448" s="129" t="s">
        <v>41</v>
      </c>
      <c r="L448" s="129" t="s">
        <v>42</v>
      </c>
      <c r="M448" s="163" t="s">
        <v>4016</v>
      </c>
      <c r="N448" s="188">
        <v>45052</v>
      </c>
      <c r="O448" s="124" t="s">
        <v>44</v>
      </c>
      <c r="P448" s="129" t="s">
        <v>2347</v>
      </c>
      <c r="Q448" s="129" t="s">
        <v>3676</v>
      </c>
      <c r="R448" s="163" t="s">
        <v>5833</v>
      </c>
      <c r="S448" s="124">
        <f>VLOOKUP(B448,'[1]SN Salary Sheet'!$A$4:$D$207,4,0)</f>
        <v>29091</v>
      </c>
      <c r="T448" s="144">
        <f>VLOOKUP(B448,[5]Sheet1!$B$104:$F$114,5,0)</f>
        <v>101935301496</v>
      </c>
      <c r="U448" s="145" t="s">
        <v>5834</v>
      </c>
      <c r="V448" s="151">
        <v>3714852568</v>
      </c>
      <c r="W448" s="145" t="s">
        <v>5835</v>
      </c>
      <c r="X448" s="145" t="s">
        <v>5836</v>
      </c>
      <c r="Y448" s="149" t="s">
        <v>146</v>
      </c>
      <c r="Z448" s="145" t="s">
        <v>5837</v>
      </c>
      <c r="AA448" s="149" t="s">
        <v>5838</v>
      </c>
      <c r="AB448" s="149" t="s">
        <v>5839</v>
      </c>
      <c r="AC448" s="189" t="s">
        <v>5829</v>
      </c>
      <c r="AD448" s="145"/>
      <c r="AE448" s="145"/>
      <c r="AF448" s="145"/>
      <c r="AG448" s="187" t="s">
        <v>5917</v>
      </c>
      <c r="AH448" s="145"/>
      <c r="AI448" s="145"/>
      <c r="AJ448" s="127"/>
      <c r="AK448" s="202" t="s">
        <v>5840</v>
      </c>
      <c r="AL448" s="158"/>
      <c r="AM448" s="158"/>
      <c r="AN448" s="4"/>
    </row>
    <row r="449" spans="1:40" ht="28.5">
      <c r="A449" s="137">
        <f>SUBTOTAL(3,$B$3:B449)</f>
        <v>447</v>
      </c>
      <c r="B449" s="121" t="s">
        <v>5841</v>
      </c>
      <c r="C449" s="165" t="s">
        <v>5842</v>
      </c>
      <c r="D449" s="163" t="s">
        <v>5842</v>
      </c>
      <c r="E449" s="129" t="s">
        <v>5843</v>
      </c>
      <c r="F449" s="129" t="s">
        <v>1801</v>
      </c>
      <c r="G449" s="129" t="s">
        <v>2345</v>
      </c>
      <c r="H449" s="129" t="s">
        <v>5844</v>
      </c>
      <c r="I449" s="129" t="s">
        <v>40</v>
      </c>
      <c r="J449" s="188">
        <v>36788</v>
      </c>
      <c r="K449" s="129" t="s">
        <v>41</v>
      </c>
      <c r="L449" s="129" t="s">
        <v>42</v>
      </c>
      <c r="M449" s="163" t="s">
        <v>4016</v>
      </c>
      <c r="N449" s="188">
        <v>45053</v>
      </c>
      <c r="O449" s="124" t="s">
        <v>44</v>
      </c>
      <c r="P449" s="129" t="s">
        <v>2347</v>
      </c>
      <c r="Q449" s="129" t="s">
        <v>3676</v>
      </c>
      <c r="R449" s="163" t="s">
        <v>5845</v>
      </c>
      <c r="S449" s="124">
        <f>VLOOKUP(B449,'[1]SN Salary Sheet'!$A$4:$D$207,4,0)</f>
        <v>29096</v>
      </c>
      <c r="T449" s="144">
        <f>VLOOKUP(B449,[5]Sheet1!$B$104:$F$114,5,0)</f>
        <v>101944305610</v>
      </c>
      <c r="U449" s="126" t="s">
        <v>6178</v>
      </c>
      <c r="V449" s="151">
        <v>3714852603</v>
      </c>
      <c r="W449" s="145" t="s">
        <v>5846</v>
      </c>
      <c r="X449" s="145" t="s">
        <v>5847</v>
      </c>
      <c r="Y449" s="149" t="s">
        <v>132</v>
      </c>
      <c r="Z449" s="145" t="s">
        <v>5848</v>
      </c>
      <c r="AA449" s="149" t="s">
        <v>5838</v>
      </c>
      <c r="AB449" s="149" t="s">
        <v>5849</v>
      </c>
      <c r="AC449" s="189" t="s">
        <v>5841</v>
      </c>
      <c r="AD449" s="145"/>
      <c r="AE449" s="145"/>
      <c r="AF449" s="145"/>
      <c r="AG449" s="187" t="s">
        <v>5918</v>
      </c>
      <c r="AH449" s="145"/>
      <c r="AI449" s="145"/>
      <c r="AJ449" s="127"/>
      <c r="AK449" s="202" t="s">
        <v>5850</v>
      </c>
      <c r="AL449" s="158"/>
      <c r="AM449" s="158"/>
      <c r="AN449" s="4"/>
    </row>
    <row r="450" spans="1:40" ht="28.5">
      <c r="A450" s="137">
        <f>SUBTOTAL(3,$B$3:B450)</f>
        <v>448</v>
      </c>
      <c r="B450" s="121" t="s">
        <v>5851</v>
      </c>
      <c r="C450" s="165" t="s">
        <v>5852</v>
      </c>
      <c r="D450" s="163" t="s">
        <v>5853</v>
      </c>
      <c r="E450" s="129" t="s">
        <v>136</v>
      </c>
      <c r="F450" s="129" t="s">
        <v>5854</v>
      </c>
      <c r="G450" s="129" t="s">
        <v>2389</v>
      </c>
      <c r="H450" s="129" t="s">
        <v>5855</v>
      </c>
      <c r="I450" s="129" t="s">
        <v>40</v>
      </c>
      <c r="J450" s="188">
        <v>36996</v>
      </c>
      <c r="K450" s="129" t="s">
        <v>41</v>
      </c>
      <c r="L450" s="129" t="s">
        <v>42</v>
      </c>
      <c r="M450" s="163" t="s">
        <v>4016</v>
      </c>
      <c r="N450" s="188">
        <v>45100</v>
      </c>
      <c r="O450" s="124" t="s">
        <v>44</v>
      </c>
      <c r="P450" s="129" t="s">
        <v>2347</v>
      </c>
      <c r="Q450" s="129" t="s">
        <v>3676</v>
      </c>
      <c r="R450" s="163" t="s">
        <v>5856</v>
      </c>
      <c r="S450" s="124">
        <f>VLOOKUP(B450,'[1]SN Salary Sheet'!$A$4:$D$207,4,0)</f>
        <v>29097</v>
      </c>
      <c r="T450" s="144">
        <f>VLOOKUP(B450,[5]Sheet1!$B$104:$F$114,5,0)</f>
        <v>101813966063</v>
      </c>
      <c r="U450" s="145" t="s">
        <v>5857</v>
      </c>
      <c r="V450" s="151">
        <v>3714852625</v>
      </c>
      <c r="W450" s="145" t="s">
        <v>5858</v>
      </c>
      <c r="X450" s="145" t="s">
        <v>5859</v>
      </c>
      <c r="Y450" s="149" t="s">
        <v>326</v>
      </c>
      <c r="Z450" s="145" t="s">
        <v>5860</v>
      </c>
      <c r="AA450" s="149" t="s">
        <v>5861</v>
      </c>
      <c r="AB450" s="149" t="s">
        <v>5862</v>
      </c>
      <c r="AC450" s="189" t="s">
        <v>5851</v>
      </c>
      <c r="AD450" s="145"/>
      <c r="AE450" s="145"/>
      <c r="AF450" s="145"/>
      <c r="AG450" s="187" t="s">
        <v>5919</v>
      </c>
      <c r="AH450" s="145"/>
      <c r="AI450" s="145"/>
      <c r="AJ450" s="127"/>
      <c r="AK450" s="202" t="s">
        <v>5863</v>
      </c>
      <c r="AL450" s="158"/>
      <c r="AM450" s="158"/>
      <c r="AN450" s="4"/>
    </row>
    <row r="451" spans="1:40" ht="28.5">
      <c r="A451" s="137">
        <f>SUBTOTAL(3,$B$3:B451)</f>
        <v>449</v>
      </c>
      <c r="B451" s="121" t="s">
        <v>5864</v>
      </c>
      <c r="C451" s="165" t="s">
        <v>5865</v>
      </c>
      <c r="D451" s="163" t="s">
        <v>5866</v>
      </c>
      <c r="E451" s="129" t="s">
        <v>5867</v>
      </c>
      <c r="F451" s="129" t="s">
        <v>5868</v>
      </c>
      <c r="G451" s="129" t="s">
        <v>2389</v>
      </c>
      <c r="H451" s="129" t="s">
        <v>5869</v>
      </c>
      <c r="I451" s="129" t="s">
        <v>40</v>
      </c>
      <c r="J451" s="188">
        <v>36942</v>
      </c>
      <c r="K451" s="129" t="s">
        <v>41</v>
      </c>
      <c r="L451" s="129" t="s">
        <v>42</v>
      </c>
      <c r="M451" s="163" t="s">
        <v>4016</v>
      </c>
      <c r="N451" s="188">
        <v>45056</v>
      </c>
      <c r="O451" s="124" t="s">
        <v>44</v>
      </c>
      <c r="P451" s="129" t="s">
        <v>2347</v>
      </c>
      <c r="Q451" s="129" t="s">
        <v>3676</v>
      </c>
      <c r="R451" s="163" t="s">
        <v>5870</v>
      </c>
      <c r="S451" s="124">
        <f>VLOOKUP(B451,'[1]SN Salary Sheet'!$A$4:$D$207,4,0)</f>
        <v>29094</v>
      </c>
      <c r="T451" s="144">
        <f>VLOOKUP(B451,[5]Sheet1!$B$104:$F$114,5,0)</f>
        <v>101864387697</v>
      </c>
      <c r="U451" s="126" t="s">
        <v>6178</v>
      </c>
      <c r="V451" s="151">
        <v>3714852658</v>
      </c>
      <c r="W451" s="145" t="s">
        <v>5871</v>
      </c>
      <c r="X451" s="145" t="s">
        <v>5872</v>
      </c>
      <c r="Y451" s="149" t="s">
        <v>65</v>
      </c>
      <c r="Z451" s="145" t="s">
        <v>5873</v>
      </c>
      <c r="AA451" s="149" t="s">
        <v>5874</v>
      </c>
      <c r="AB451" s="149" t="s">
        <v>5874</v>
      </c>
      <c r="AC451" s="189" t="s">
        <v>5864</v>
      </c>
      <c r="AD451" s="145"/>
      <c r="AE451" s="145"/>
      <c r="AF451" s="145"/>
      <c r="AG451" s="187" t="s">
        <v>5924</v>
      </c>
      <c r="AH451" s="145"/>
      <c r="AI451" s="145"/>
      <c r="AJ451" s="127"/>
      <c r="AK451" s="229"/>
      <c r="AL451" s="230"/>
      <c r="AM451" s="231"/>
      <c r="AN451" s="4"/>
    </row>
    <row r="452" spans="1:40" ht="28.5">
      <c r="A452" s="137">
        <f>SUBTOTAL(3,$B$3:B452)</f>
        <v>450</v>
      </c>
      <c r="B452" s="190" t="s">
        <v>5875</v>
      </c>
      <c r="C452" s="124" t="s">
        <v>5876</v>
      </c>
      <c r="D452" s="163" t="s">
        <v>5876</v>
      </c>
      <c r="E452" s="129" t="s">
        <v>263</v>
      </c>
      <c r="F452" s="129" t="s">
        <v>124</v>
      </c>
      <c r="G452" s="129" t="s">
        <v>2389</v>
      </c>
      <c r="H452" s="129" t="s">
        <v>5877</v>
      </c>
      <c r="I452" s="129" t="s">
        <v>5878</v>
      </c>
      <c r="J452" s="188">
        <v>35616</v>
      </c>
      <c r="K452" s="129" t="s">
        <v>41</v>
      </c>
      <c r="L452" s="129" t="s">
        <v>42</v>
      </c>
      <c r="M452" s="163" t="s">
        <v>4016</v>
      </c>
      <c r="N452" s="188">
        <v>45056</v>
      </c>
      <c r="O452" s="124" t="s">
        <v>44</v>
      </c>
      <c r="P452" s="129" t="s">
        <v>2347</v>
      </c>
      <c r="Q452" s="129" t="s">
        <v>3676</v>
      </c>
      <c r="R452" s="163" t="s">
        <v>5879</v>
      </c>
      <c r="S452" s="124" t="e">
        <f>VLOOKUP(B452,'[1]SN Salary Sheet'!$A$4:$D$207,4,0)</f>
        <v>#N/A</v>
      </c>
      <c r="T452" s="144">
        <f>VLOOKUP(B452,[5]Sheet1!$B$104:$F$114,5,0)</f>
        <v>101792209587</v>
      </c>
      <c r="U452" s="145" t="s">
        <v>5880</v>
      </c>
      <c r="V452" s="151">
        <v>3714852763</v>
      </c>
      <c r="W452" s="145" t="s">
        <v>5881</v>
      </c>
      <c r="X452" s="145" t="s">
        <v>5882</v>
      </c>
      <c r="Y452" s="149" t="s">
        <v>146</v>
      </c>
      <c r="Z452" s="145" t="s">
        <v>447</v>
      </c>
      <c r="AA452" s="149" t="s">
        <v>5883</v>
      </c>
      <c r="AB452" s="149" t="s">
        <v>5883</v>
      </c>
      <c r="AC452" s="189" t="s">
        <v>5875</v>
      </c>
      <c r="AD452" s="145"/>
      <c r="AE452" s="145"/>
      <c r="AF452" s="145"/>
      <c r="AG452" s="187" t="s">
        <v>5920</v>
      </c>
      <c r="AH452" s="145"/>
      <c r="AI452" s="145"/>
      <c r="AJ452" s="127"/>
      <c r="AK452" s="202" t="s">
        <v>5884</v>
      </c>
      <c r="AL452" s="158"/>
      <c r="AM452" s="158"/>
      <c r="AN452" s="4"/>
    </row>
    <row r="453" spans="1:40" ht="28.5">
      <c r="A453" s="137">
        <f>SUBTOTAL(3,$B$3:B453)</f>
        <v>451</v>
      </c>
      <c r="B453" s="121" t="s">
        <v>5885</v>
      </c>
      <c r="C453" s="165" t="s">
        <v>5886</v>
      </c>
      <c r="D453" s="163" t="s">
        <v>5887</v>
      </c>
      <c r="E453" s="129" t="s">
        <v>5888</v>
      </c>
      <c r="F453" s="129" t="s">
        <v>5889</v>
      </c>
      <c r="G453" s="129" t="s">
        <v>2345</v>
      </c>
      <c r="H453" s="129" t="s">
        <v>5890</v>
      </c>
      <c r="I453" s="129" t="s">
        <v>40</v>
      </c>
      <c r="J453" s="188">
        <v>36392</v>
      </c>
      <c r="K453" s="129" t="s">
        <v>41</v>
      </c>
      <c r="L453" s="129" t="s">
        <v>42</v>
      </c>
      <c r="M453" s="163" t="s">
        <v>4016</v>
      </c>
      <c r="N453" s="188">
        <v>45057</v>
      </c>
      <c r="O453" s="124" t="s">
        <v>44</v>
      </c>
      <c r="P453" s="129" t="s">
        <v>2347</v>
      </c>
      <c r="Q453" s="129" t="s">
        <v>3676</v>
      </c>
      <c r="R453" s="163" t="s">
        <v>5891</v>
      </c>
      <c r="S453" s="124">
        <f>VLOOKUP(B453,'[1]SN Salary Sheet'!$A$4:$D$207,4,0)</f>
        <v>29089</v>
      </c>
      <c r="T453" s="144">
        <f>VLOOKUP(B453,[5]Sheet1!$B$104:$F$114,5,0)</f>
        <v>101944302181</v>
      </c>
      <c r="U453" s="145" t="s">
        <v>5892</v>
      </c>
      <c r="V453" s="151">
        <v>3714852694</v>
      </c>
      <c r="W453" s="145" t="s">
        <v>5893</v>
      </c>
      <c r="X453" s="145" t="s">
        <v>5894</v>
      </c>
      <c r="Y453" s="149" t="s">
        <v>132</v>
      </c>
      <c r="Z453" s="145" t="s">
        <v>803</v>
      </c>
      <c r="AA453" s="149" t="s">
        <v>5895</v>
      </c>
      <c r="AB453" s="149" t="s">
        <v>5895</v>
      </c>
      <c r="AC453" s="189" t="s">
        <v>5885</v>
      </c>
      <c r="AD453" s="145"/>
      <c r="AE453" s="145"/>
      <c r="AF453" s="145"/>
      <c r="AG453" s="187" t="s">
        <v>5925</v>
      </c>
      <c r="AH453" s="145"/>
      <c r="AI453" s="145"/>
      <c r="AJ453" s="127"/>
      <c r="AK453" s="229"/>
      <c r="AL453" s="230"/>
      <c r="AM453" s="231"/>
      <c r="AN453" s="4"/>
    </row>
    <row r="454" spans="1:40" ht="28.5">
      <c r="A454" s="137">
        <f>SUBTOTAL(3,$B$3:B454)</f>
        <v>452</v>
      </c>
      <c r="B454" s="121" t="s">
        <v>5957</v>
      </c>
      <c r="C454" s="165" t="s">
        <v>5958</v>
      </c>
      <c r="D454" s="163" t="s">
        <v>5958</v>
      </c>
      <c r="E454" s="129" t="s">
        <v>3426</v>
      </c>
      <c r="F454" s="129" t="s">
        <v>5959</v>
      </c>
      <c r="G454" s="129" t="s">
        <v>2345</v>
      </c>
      <c r="H454" s="129" t="s">
        <v>5960</v>
      </c>
      <c r="I454" s="129" t="s">
        <v>40</v>
      </c>
      <c r="J454" s="188">
        <v>37339</v>
      </c>
      <c r="K454" s="129" t="s">
        <v>41</v>
      </c>
      <c r="L454" s="129" t="s">
        <v>42</v>
      </c>
      <c r="M454" s="163" t="s">
        <v>4016</v>
      </c>
      <c r="N454" s="188">
        <v>45058</v>
      </c>
      <c r="O454" s="163" t="s">
        <v>44</v>
      </c>
      <c r="P454" s="129" t="s">
        <v>2347</v>
      </c>
      <c r="Q454" s="129" t="s">
        <v>3676</v>
      </c>
      <c r="R454" s="163">
        <v>9328650255</v>
      </c>
      <c r="S454" s="124">
        <f>VLOOKUP(B454,'[1]SN Salary Sheet'!$A$4:$D$207,4,0)</f>
        <v>29174</v>
      </c>
      <c r="T454" s="144">
        <v>101952303624</v>
      </c>
      <c r="U454" s="126" t="s">
        <v>6178</v>
      </c>
      <c r="V454" s="151">
        <v>3714876381</v>
      </c>
      <c r="W454" s="145" t="s">
        <v>5961</v>
      </c>
      <c r="X454" s="145" t="s">
        <v>5962</v>
      </c>
      <c r="Y454" s="149" t="s">
        <v>65</v>
      </c>
      <c r="Z454" s="145" t="s">
        <v>5963</v>
      </c>
      <c r="AA454" s="149" t="s">
        <v>5964</v>
      </c>
      <c r="AB454" s="149" t="s">
        <v>5964</v>
      </c>
      <c r="AC454" s="189" t="s">
        <v>5957</v>
      </c>
      <c r="AD454" s="145"/>
      <c r="AE454" s="145"/>
      <c r="AF454" s="145"/>
      <c r="AG454" s="187" t="s">
        <v>6116</v>
      </c>
      <c r="AH454" s="145"/>
      <c r="AI454" s="145"/>
      <c r="AJ454" s="127"/>
      <c r="AK454" s="202" t="s">
        <v>5965</v>
      </c>
      <c r="AL454" s="158"/>
      <c r="AM454" s="158"/>
      <c r="AN454" s="4"/>
    </row>
    <row r="455" spans="1:40" ht="28.5">
      <c r="A455" s="137">
        <f>SUBTOTAL(3,$B$3:B455)</f>
        <v>453</v>
      </c>
      <c r="B455" s="121" t="s">
        <v>5966</v>
      </c>
      <c r="C455" s="165" t="s">
        <v>5967</v>
      </c>
      <c r="D455" s="163" t="s">
        <v>5968</v>
      </c>
      <c r="E455" s="129" t="s">
        <v>5969</v>
      </c>
      <c r="F455" s="129" t="s">
        <v>971</v>
      </c>
      <c r="G455" s="129" t="s">
        <v>2345</v>
      </c>
      <c r="H455" s="129" t="s">
        <v>1899</v>
      </c>
      <c r="I455" s="129" t="s">
        <v>40</v>
      </c>
      <c r="J455" s="188">
        <v>37273</v>
      </c>
      <c r="K455" s="129" t="s">
        <v>41</v>
      </c>
      <c r="L455" s="129" t="s">
        <v>42</v>
      </c>
      <c r="M455" s="163" t="s">
        <v>4016</v>
      </c>
      <c r="N455" s="188">
        <v>45060</v>
      </c>
      <c r="O455" s="163" t="s">
        <v>44</v>
      </c>
      <c r="P455" s="129" t="s">
        <v>2347</v>
      </c>
      <c r="Q455" s="129" t="s">
        <v>3676</v>
      </c>
      <c r="R455" s="163" t="s">
        <v>5970</v>
      </c>
      <c r="S455" s="124">
        <f>VLOOKUP(B455,'[1]SN Salary Sheet'!$A$4:$D$207,4,0)</f>
        <v>29175</v>
      </c>
      <c r="T455" s="144">
        <v>101952303630</v>
      </c>
      <c r="U455" s="126" t="s">
        <v>6178</v>
      </c>
      <c r="V455" s="151">
        <v>3714876424</v>
      </c>
      <c r="W455" s="145" t="s">
        <v>5971</v>
      </c>
      <c r="X455" s="145" t="s">
        <v>5972</v>
      </c>
      <c r="Y455" s="149" t="s">
        <v>619</v>
      </c>
      <c r="Z455" s="145" t="s">
        <v>5973</v>
      </c>
      <c r="AA455" s="149" t="s">
        <v>5805</v>
      </c>
      <c r="AB455" s="149" t="s">
        <v>5974</v>
      </c>
      <c r="AC455" s="189" t="s">
        <v>5966</v>
      </c>
      <c r="AD455" s="145"/>
      <c r="AE455" s="145"/>
      <c r="AF455" s="145"/>
      <c r="AG455" s="187" t="s">
        <v>6034</v>
      </c>
      <c r="AH455" s="145"/>
      <c r="AI455" s="145"/>
      <c r="AJ455" s="127"/>
      <c r="AK455" s="202" t="s">
        <v>5975</v>
      </c>
      <c r="AL455" s="158"/>
      <c r="AM455" s="158"/>
      <c r="AN455" s="4"/>
    </row>
    <row r="456" spans="1:40" ht="28.5">
      <c r="A456" s="137">
        <f>SUBTOTAL(3,$B$3:B456)</f>
        <v>454</v>
      </c>
      <c r="B456" s="121" t="s">
        <v>5976</v>
      </c>
      <c r="C456" s="165" t="s">
        <v>5977</v>
      </c>
      <c r="D456" s="163" t="s">
        <v>5978</v>
      </c>
      <c r="E456" s="129" t="s">
        <v>4116</v>
      </c>
      <c r="F456" s="129" t="s">
        <v>5979</v>
      </c>
      <c r="G456" s="129" t="s">
        <v>2345</v>
      </c>
      <c r="H456" s="129" t="s">
        <v>799</v>
      </c>
      <c r="I456" s="129" t="s">
        <v>40</v>
      </c>
      <c r="J456" s="188">
        <v>37193</v>
      </c>
      <c r="K456" s="129" t="s">
        <v>41</v>
      </c>
      <c r="L456" s="129" t="s">
        <v>42</v>
      </c>
      <c r="M456" s="163" t="s">
        <v>4016</v>
      </c>
      <c r="N456" s="188">
        <v>45062</v>
      </c>
      <c r="O456" s="163" t="s">
        <v>44</v>
      </c>
      <c r="P456" s="129" t="s">
        <v>2347</v>
      </c>
      <c r="Q456" s="129" t="s">
        <v>3676</v>
      </c>
      <c r="R456" s="163">
        <v>9327345300</v>
      </c>
      <c r="S456" s="124">
        <f>VLOOKUP(B456,'[1]SN Salary Sheet'!$A$4:$D$207,4,0)</f>
        <v>29185</v>
      </c>
      <c r="T456" s="144">
        <v>101936008161</v>
      </c>
      <c r="U456" s="145" t="s">
        <v>5980</v>
      </c>
      <c r="V456" s="145" t="s">
        <v>6330</v>
      </c>
      <c r="W456" s="145" t="s">
        <v>5981</v>
      </c>
      <c r="X456" s="145" t="s">
        <v>6329</v>
      </c>
      <c r="Y456" s="149" t="s">
        <v>619</v>
      </c>
      <c r="Z456" s="145" t="s">
        <v>3614</v>
      </c>
      <c r="AA456" s="149" t="s">
        <v>5982</v>
      </c>
      <c r="AB456" s="149" t="s">
        <v>5982</v>
      </c>
      <c r="AC456" s="189" t="s">
        <v>5976</v>
      </c>
      <c r="AD456" s="145"/>
      <c r="AE456" s="145"/>
      <c r="AF456" s="145"/>
      <c r="AG456" s="187" t="s">
        <v>6035</v>
      </c>
      <c r="AH456" s="145"/>
      <c r="AI456" s="145"/>
      <c r="AJ456" s="127"/>
      <c r="AK456" s="202" t="s">
        <v>5983</v>
      </c>
      <c r="AL456" s="158"/>
      <c r="AM456" s="158"/>
      <c r="AN456" s="4"/>
    </row>
    <row r="457" spans="1:40" ht="28.5">
      <c r="A457" s="137">
        <f>SUBTOTAL(3,$B$3:B457)</f>
        <v>455</v>
      </c>
      <c r="B457" s="121" t="s">
        <v>5984</v>
      </c>
      <c r="C457" s="165" t="s">
        <v>5985</v>
      </c>
      <c r="D457" s="163" t="s">
        <v>5985</v>
      </c>
      <c r="E457" s="129" t="s">
        <v>3645</v>
      </c>
      <c r="F457" s="129" t="s">
        <v>5986</v>
      </c>
      <c r="G457" s="129" t="s">
        <v>2345</v>
      </c>
      <c r="H457" s="129" t="s">
        <v>2422</v>
      </c>
      <c r="I457" s="129" t="s">
        <v>40</v>
      </c>
      <c r="J457" s="188">
        <v>37437</v>
      </c>
      <c r="K457" s="129" t="s">
        <v>41</v>
      </c>
      <c r="L457" s="129" t="s">
        <v>42</v>
      </c>
      <c r="M457" s="163" t="s">
        <v>4016</v>
      </c>
      <c r="N457" s="188">
        <v>45062</v>
      </c>
      <c r="O457" s="163" t="s">
        <v>44</v>
      </c>
      <c r="P457" s="129" t="s">
        <v>2347</v>
      </c>
      <c r="Q457" s="129" t="s">
        <v>3676</v>
      </c>
      <c r="R457" s="163" t="s">
        <v>5987</v>
      </c>
      <c r="S457" s="124" t="e">
        <f>VLOOKUP(B457,'[1]SN Salary Sheet'!$A$4:$D$207,4,0)</f>
        <v>#N/A</v>
      </c>
      <c r="T457" s="144">
        <v>101936008064</v>
      </c>
      <c r="U457" s="145" t="s">
        <v>5988</v>
      </c>
      <c r="V457" s="151">
        <v>3714876689</v>
      </c>
      <c r="W457" s="145" t="s">
        <v>5989</v>
      </c>
      <c r="X457" s="145" t="s">
        <v>5990</v>
      </c>
      <c r="Y457" s="149" t="s">
        <v>65</v>
      </c>
      <c r="Z457" s="145" t="s">
        <v>5991</v>
      </c>
      <c r="AA457" s="149" t="s">
        <v>5992</v>
      </c>
      <c r="AB457" s="149" t="s">
        <v>5992</v>
      </c>
      <c r="AC457" s="189" t="s">
        <v>5984</v>
      </c>
      <c r="AD457" s="145"/>
      <c r="AE457" s="145"/>
      <c r="AF457" s="145"/>
      <c r="AG457" s="187" t="s">
        <v>6036</v>
      </c>
      <c r="AH457" s="145"/>
      <c r="AI457" s="145"/>
      <c r="AJ457" s="127"/>
      <c r="AK457" s="202" t="s">
        <v>5993</v>
      </c>
      <c r="AL457" s="158"/>
      <c r="AM457" s="158"/>
      <c r="AN457" s="4"/>
    </row>
    <row r="458" spans="1:40" ht="28.5">
      <c r="A458" s="137">
        <f>SUBTOTAL(3,$B$3:B458)</f>
        <v>456</v>
      </c>
      <c r="B458" s="121" t="s">
        <v>5994</v>
      </c>
      <c r="C458" s="165" t="s">
        <v>5995</v>
      </c>
      <c r="D458" s="163" t="s">
        <v>5995</v>
      </c>
      <c r="E458" s="129" t="s">
        <v>5996</v>
      </c>
      <c r="F458" s="129" t="s">
        <v>5997</v>
      </c>
      <c r="G458" s="129" t="s">
        <v>2345</v>
      </c>
      <c r="H458" s="129" t="s">
        <v>694</v>
      </c>
      <c r="I458" s="129" t="s">
        <v>40</v>
      </c>
      <c r="J458" s="188">
        <v>37231</v>
      </c>
      <c r="K458" s="129" t="s">
        <v>41</v>
      </c>
      <c r="L458" s="129" t="s">
        <v>42</v>
      </c>
      <c r="M458" s="163" t="s">
        <v>4016</v>
      </c>
      <c r="N458" s="188">
        <v>45062</v>
      </c>
      <c r="O458" s="163" t="s">
        <v>44</v>
      </c>
      <c r="P458" s="129" t="s">
        <v>2347</v>
      </c>
      <c r="Q458" s="129" t="s">
        <v>3676</v>
      </c>
      <c r="R458" s="163">
        <v>8141599656</v>
      </c>
      <c r="S458" s="124">
        <f>VLOOKUP(B458,'[1]SN Salary Sheet'!$A$4:$D$207,4,0)</f>
        <v>29166</v>
      </c>
      <c r="T458" s="144">
        <v>101936008119</v>
      </c>
      <c r="U458" s="145" t="s">
        <v>5998</v>
      </c>
      <c r="V458" s="151">
        <v>3714876719</v>
      </c>
      <c r="W458" s="145" t="s">
        <v>5999</v>
      </c>
      <c r="X458" s="145" t="s">
        <v>6000</v>
      </c>
      <c r="Y458" s="149" t="s">
        <v>65</v>
      </c>
      <c r="Z458" s="145" t="s">
        <v>6001</v>
      </c>
      <c r="AA458" s="149" t="s">
        <v>6002</v>
      </c>
      <c r="AB458" s="149" t="s">
        <v>6002</v>
      </c>
      <c r="AC458" s="189" t="s">
        <v>5994</v>
      </c>
      <c r="AD458" s="145"/>
      <c r="AE458" s="145"/>
      <c r="AF458" s="145"/>
      <c r="AG458" s="187" t="s">
        <v>6037</v>
      </c>
      <c r="AH458" s="145"/>
      <c r="AI458" s="145"/>
      <c r="AJ458" s="127"/>
      <c r="AK458" s="202" t="s">
        <v>6003</v>
      </c>
      <c r="AL458" s="158"/>
      <c r="AM458" s="158"/>
      <c r="AN458" s="4"/>
    </row>
    <row r="459" spans="1:40" ht="28.5">
      <c r="A459" s="137">
        <f>SUBTOTAL(3,$B$3:B459)</f>
        <v>457</v>
      </c>
      <c r="B459" s="121" t="s">
        <v>6004</v>
      </c>
      <c r="C459" s="165" t="s">
        <v>6005</v>
      </c>
      <c r="D459" s="163" t="s">
        <v>6006</v>
      </c>
      <c r="E459" s="129" t="s">
        <v>1366</v>
      </c>
      <c r="F459" s="129" t="s">
        <v>3564</v>
      </c>
      <c r="G459" s="129" t="s">
        <v>2345</v>
      </c>
      <c r="H459" s="129" t="s">
        <v>1019</v>
      </c>
      <c r="I459" s="129" t="s">
        <v>40</v>
      </c>
      <c r="J459" s="188">
        <v>36396</v>
      </c>
      <c r="K459" s="129" t="s">
        <v>41</v>
      </c>
      <c r="L459" s="129" t="s">
        <v>42</v>
      </c>
      <c r="M459" s="163" t="s">
        <v>4016</v>
      </c>
      <c r="N459" s="188">
        <v>45063</v>
      </c>
      <c r="O459" s="163" t="s">
        <v>44</v>
      </c>
      <c r="P459" s="129" t="s">
        <v>2347</v>
      </c>
      <c r="Q459" s="129" t="s">
        <v>3676</v>
      </c>
      <c r="R459" s="163">
        <v>7490883859</v>
      </c>
      <c r="S459" s="124" t="e">
        <f>VLOOKUP(B459,'[1]SN Salary Sheet'!$A$4:$D$207,4,0)</f>
        <v>#N/A</v>
      </c>
      <c r="T459" s="144">
        <v>101766712076</v>
      </c>
      <c r="U459" s="126" t="s">
        <v>6178</v>
      </c>
      <c r="V459" s="151">
        <v>3714876729</v>
      </c>
      <c r="W459" s="145" t="s">
        <v>6007</v>
      </c>
      <c r="X459" s="145" t="s">
        <v>6008</v>
      </c>
      <c r="Y459" s="149" t="s">
        <v>146</v>
      </c>
      <c r="Z459" s="145" t="s">
        <v>2352</v>
      </c>
      <c r="AA459" s="149" t="s">
        <v>6009</v>
      </c>
      <c r="AB459" s="149" t="s">
        <v>6010</v>
      </c>
      <c r="AC459" s="189" t="s">
        <v>6004</v>
      </c>
      <c r="AD459" s="145"/>
      <c r="AE459" s="145"/>
      <c r="AF459" s="145"/>
      <c r="AG459" s="145"/>
      <c r="AH459" s="145"/>
      <c r="AI459" s="145"/>
      <c r="AJ459" s="127"/>
      <c r="AK459" s="158"/>
      <c r="AL459" s="158"/>
      <c r="AM459" s="158"/>
      <c r="AN459" s="4"/>
    </row>
    <row r="460" spans="1:40" ht="42.75">
      <c r="A460" s="137">
        <f>SUBTOTAL(3,$B$3:B460)</f>
        <v>458</v>
      </c>
      <c r="B460" s="121" t="s">
        <v>6011</v>
      </c>
      <c r="C460" s="165" t="s">
        <v>6012</v>
      </c>
      <c r="D460" s="163" t="s">
        <v>6012</v>
      </c>
      <c r="E460" s="129" t="s">
        <v>6013</v>
      </c>
      <c r="F460" s="129" t="s">
        <v>6014</v>
      </c>
      <c r="G460" s="129" t="s">
        <v>2345</v>
      </c>
      <c r="H460" s="129" t="s">
        <v>6015</v>
      </c>
      <c r="I460" s="129" t="s">
        <v>40</v>
      </c>
      <c r="J460" s="188">
        <v>37419</v>
      </c>
      <c r="K460" s="129" t="s">
        <v>41</v>
      </c>
      <c r="L460" s="129" t="s">
        <v>42</v>
      </c>
      <c r="M460" s="163" t="s">
        <v>4016</v>
      </c>
      <c r="N460" s="188">
        <v>45063</v>
      </c>
      <c r="O460" s="163" t="s">
        <v>44</v>
      </c>
      <c r="P460" s="129" t="s">
        <v>2347</v>
      </c>
      <c r="Q460" s="129" t="s">
        <v>3676</v>
      </c>
      <c r="R460" s="163">
        <v>9316330353</v>
      </c>
      <c r="S460" s="124">
        <f>VLOOKUP(B460,'[1]SN Salary Sheet'!$A$4:$D$207,4,0)</f>
        <v>29163</v>
      </c>
      <c r="T460" s="144">
        <v>101952302560</v>
      </c>
      <c r="U460" s="126" t="s">
        <v>6178</v>
      </c>
      <c r="V460" s="151">
        <v>3714876832</v>
      </c>
      <c r="W460" s="145" t="s">
        <v>6016</v>
      </c>
      <c r="X460" s="145" t="s">
        <v>6017</v>
      </c>
      <c r="Y460" s="149" t="s">
        <v>363</v>
      </c>
      <c r="Z460" s="145" t="s">
        <v>6018</v>
      </c>
      <c r="AA460" s="149" t="s">
        <v>6019</v>
      </c>
      <c r="AB460" s="149" t="s">
        <v>6019</v>
      </c>
      <c r="AC460" s="189" t="s">
        <v>6011</v>
      </c>
      <c r="AD460" s="145"/>
      <c r="AE460" s="145"/>
      <c r="AF460" s="145"/>
      <c r="AG460" s="145"/>
      <c r="AH460" s="145"/>
      <c r="AI460" s="145"/>
      <c r="AJ460" s="127"/>
      <c r="AK460" s="202" t="s">
        <v>6020</v>
      </c>
      <c r="AL460" s="158"/>
      <c r="AM460" s="158"/>
      <c r="AN460" s="4"/>
    </row>
    <row r="461" spans="1:40" ht="28.5">
      <c r="A461" s="137">
        <f>SUBTOTAL(3,$B$3:B461)</f>
        <v>459</v>
      </c>
      <c r="B461" s="190" t="s">
        <v>6021</v>
      </c>
      <c r="C461" s="165" t="s">
        <v>6022</v>
      </c>
      <c r="D461" s="163" t="s">
        <v>6022</v>
      </c>
      <c r="E461" s="129" t="s">
        <v>263</v>
      </c>
      <c r="F461" s="129" t="s">
        <v>6023</v>
      </c>
      <c r="G461" s="129" t="s">
        <v>2345</v>
      </c>
      <c r="H461" s="129" t="s">
        <v>6024</v>
      </c>
      <c r="I461" s="129" t="s">
        <v>40</v>
      </c>
      <c r="J461" s="188">
        <v>34067</v>
      </c>
      <c r="K461" s="129" t="s">
        <v>280</v>
      </c>
      <c r="L461" s="129" t="s">
        <v>42</v>
      </c>
      <c r="M461" s="163" t="s">
        <v>5812</v>
      </c>
      <c r="N461" s="188">
        <v>45063</v>
      </c>
      <c r="O461" s="163" t="s">
        <v>2291</v>
      </c>
      <c r="P461" s="129" t="s">
        <v>2347</v>
      </c>
      <c r="Q461" s="129" t="s">
        <v>3676</v>
      </c>
      <c r="R461" s="163">
        <v>6352007813</v>
      </c>
      <c r="S461" s="124" t="e">
        <f>VLOOKUP(B461,'[2]CL SAL SHEET'!$A$4:$D$57,4,0)</f>
        <v>#N/A</v>
      </c>
      <c r="T461" s="144">
        <v>101952302587</v>
      </c>
      <c r="U461" s="145" t="s">
        <v>6025</v>
      </c>
      <c r="V461" s="151">
        <v>3714876866</v>
      </c>
      <c r="W461" s="145" t="s">
        <v>6026</v>
      </c>
      <c r="X461" s="145" t="s">
        <v>6027</v>
      </c>
      <c r="Y461" s="149" t="s">
        <v>65</v>
      </c>
      <c r="Z461" s="145" t="s">
        <v>6028</v>
      </c>
      <c r="AA461" s="149" t="s">
        <v>6029</v>
      </c>
      <c r="AB461" s="149" t="s">
        <v>6029</v>
      </c>
      <c r="AC461" s="189" t="s">
        <v>6021</v>
      </c>
      <c r="AD461" s="145"/>
      <c r="AE461" s="145"/>
      <c r="AF461" s="145"/>
      <c r="AG461" s="145"/>
      <c r="AH461" s="145"/>
      <c r="AI461" s="145"/>
      <c r="AJ461" s="127"/>
      <c r="AK461" s="158"/>
      <c r="AL461" s="158"/>
      <c r="AM461" s="158"/>
      <c r="AN461" s="4"/>
    </row>
    <row r="462" spans="1:40" ht="28.5">
      <c r="A462" s="137">
        <f>SUBTOTAL(3,$B$3:B462)</f>
        <v>460</v>
      </c>
      <c r="B462" s="121" t="s">
        <v>6117</v>
      </c>
      <c r="C462" s="165" t="s">
        <v>6118</v>
      </c>
      <c r="D462" s="163" t="s">
        <v>6119</v>
      </c>
      <c r="E462" s="129" t="s">
        <v>6120</v>
      </c>
      <c r="F462" s="129" t="s">
        <v>6121</v>
      </c>
      <c r="G462" s="129" t="s">
        <v>2345</v>
      </c>
      <c r="H462" s="129" t="s">
        <v>6122</v>
      </c>
      <c r="I462" s="129" t="s">
        <v>40</v>
      </c>
      <c r="J462" s="188">
        <v>36766</v>
      </c>
      <c r="K462" s="129" t="s">
        <v>41</v>
      </c>
      <c r="L462" s="129" t="s">
        <v>42</v>
      </c>
      <c r="M462" s="163" t="s">
        <v>4016</v>
      </c>
      <c r="N462" s="188">
        <v>45069</v>
      </c>
      <c r="O462" s="163" t="s">
        <v>44</v>
      </c>
      <c r="P462" s="129" t="s">
        <v>2347</v>
      </c>
      <c r="Q462" s="129" t="s">
        <v>3676</v>
      </c>
      <c r="R462" s="163" t="s">
        <v>6123</v>
      </c>
      <c r="S462" s="124">
        <f>VLOOKUP(B462,'[1]SN Salary Sheet'!$A$4:$D$207,4,0)</f>
        <v>29190</v>
      </c>
      <c r="T462" s="144">
        <v>101843640033</v>
      </c>
      <c r="U462" s="145" t="s">
        <v>6124</v>
      </c>
      <c r="V462" s="151">
        <v>3714385612</v>
      </c>
      <c r="W462" s="145" t="s">
        <v>6127</v>
      </c>
      <c r="X462" s="145" t="s">
        <v>6125</v>
      </c>
      <c r="Y462" s="149" t="s">
        <v>65</v>
      </c>
      <c r="Z462" s="145" t="s">
        <v>5934</v>
      </c>
      <c r="AA462" s="149" t="s">
        <v>6126</v>
      </c>
      <c r="AB462" s="149" t="s">
        <v>6128</v>
      </c>
      <c r="AC462" s="189" t="s">
        <v>6117</v>
      </c>
      <c r="AD462" s="145"/>
      <c r="AE462" s="145"/>
      <c r="AF462" s="145"/>
      <c r="AG462" s="145"/>
      <c r="AH462" s="145"/>
      <c r="AI462" s="145"/>
      <c r="AJ462" s="146"/>
      <c r="AK462" s="202" t="s">
        <v>6129</v>
      </c>
      <c r="AL462" s="158"/>
      <c r="AM462" s="158"/>
      <c r="AN462" s="4"/>
    </row>
    <row r="463" spans="1:40" ht="28.5">
      <c r="A463" s="205">
        <f>SUBTOTAL(3,$B$3:B463)</f>
        <v>461</v>
      </c>
      <c r="B463" s="206" t="s">
        <v>6131</v>
      </c>
      <c r="C463" s="194" t="s">
        <v>6132</v>
      </c>
      <c r="D463" s="195" t="s">
        <v>6132</v>
      </c>
      <c r="E463" s="196" t="s">
        <v>1366</v>
      </c>
      <c r="F463" s="196" t="s">
        <v>6133</v>
      </c>
      <c r="G463" s="196" t="s">
        <v>2345</v>
      </c>
      <c r="H463" s="196" t="s">
        <v>6134</v>
      </c>
      <c r="I463" s="196" t="s">
        <v>702</v>
      </c>
      <c r="J463" s="197">
        <v>37061</v>
      </c>
      <c r="K463" s="196" t="s">
        <v>280</v>
      </c>
      <c r="L463" s="196" t="s">
        <v>42</v>
      </c>
      <c r="M463" s="195" t="s">
        <v>3103</v>
      </c>
      <c r="N463" s="197">
        <v>45064</v>
      </c>
      <c r="O463" s="195" t="s">
        <v>44</v>
      </c>
      <c r="P463" s="196" t="s">
        <v>2347</v>
      </c>
      <c r="Q463" s="196" t="s">
        <v>3676</v>
      </c>
      <c r="R463" s="195" t="s">
        <v>6135</v>
      </c>
      <c r="S463" s="124" t="e">
        <f>VLOOKUP(B463,'[1]SN Salary Sheet'!$A$4:$D$207,4,0)</f>
        <v>#N/A</v>
      </c>
      <c r="T463" s="144">
        <v>101952302600</v>
      </c>
      <c r="U463" s="157" t="s">
        <v>6136</v>
      </c>
      <c r="V463" s="151">
        <v>3714876948</v>
      </c>
      <c r="W463" s="157" t="s">
        <v>6137</v>
      </c>
      <c r="X463" s="157" t="s">
        <v>6138</v>
      </c>
      <c r="Y463" s="198" t="s">
        <v>65</v>
      </c>
      <c r="Z463" s="157" t="s">
        <v>2103</v>
      </c>
      <c r="AA463" s="198" t="s">
        <v>6139</v>
      </c>
      <c r="AB463" s="198" t="s">
        <v>6140</v>
      </c>
      <c r="AC463" s="199" t="s">
        <v>6131</v>
      </c>
      <c r="AD463" s="157"/>
      <c r="AE463" s="157"/>
      <c r="AF463" s="157"/>
      <c r="AG463" s="157"/>
      <c r="AH463" s="157"/>
      <c r="AI463" s="157"/>
      <c r="AJ463" s="146"/>
      <c r="AK463" s="202" t="s">
        <v>6141</v>
      </c>
      <c r="AL463" s="158"/>
      <c r="AM463" s="158"/>
      <c r="AN463" s="4"/>
    </row>
    <row r="464" spans="1:40" ht="42.75">
      <c r="A464" s="137">
        <f>SUBTOTAL(3,$B$3:B464)</f>
        <v>462</v>
      </c>
      <c r="B464" s="121" t="s">
        <v>6142</v>
      </c>
      <c r="C464" s="165" t="s">
        <v>6143</v>
      </c>
      <c r="D464" s="163" t="s">
        <v>6143</v>
      </c>
      <c r="E464" s="129" t="s">
        <v>4847</v>
      </c>
      <c r="F464" s="129" t="s">
        <v>6144</v>
      </c>
      <c r="G464" s="129" t="s">
        <v>2389</v>
      </c>
      <c r="H464" s="129" t="s">
        <v>6145</v>
      </c>
      <c r="I464" s="129" t="s">
        <v>40</v>
      </c>
      <c r="J464" s="188">
        <v>37245</v>
      </c>
      <c r="K464" s="129" t="s">
        <v>41</v>
      </c>
      <c r="L464" s="129" t="s">
        <v>42</v>
      </c>
      <c r="M464" s="163" t="s">
        <v>4016</v>
      </c>
      <c r="N464" s="188">
        <v>45070</v>
      </c>
      <c r="O464" s="163" t="s">
        <v>44</v>
      </c>
      <c r="P464" s="129" t="s">
        <v>2347</v>
      </c>
      <c r="Q464" s="129" t="s">
        <v>3676</v>
      </c>
      <c r="R464" s="163" t="s">
        <v>6146</v>
      </c>
      <c r="S464" s="124">
        <f>VLOOKUP(B464,'[1]SN Salary Sheet'!$A$4:$D$207,4,0)</f>
        <v>29187</v>
      </c>
      <c r="T464" s="144">
        <v>101952303695</v>
      </c>
      <c r="U464" s="126" t="s">
        <v>6178</v>
      </c>
      <c r="V464" s="145" t="s">
        <v>6457</v>
      </c>
      <c r="W464" s="145" t="s">
        <v>6147</v>
      </c>
      <c r="X464" s="145" t="s">
        <v>6331</v>
      </c>
      <c r="Y464" s="149" t="s">
        <v>146</v>
      </c>
      <c r="Z464" s="145" t="s">
        <v>6148</v>
      </c>
      <c r="AA464" s="149" t="s">
        <v>6149</v>
      </c>
      <c r="AB464" s="149" t="s">
        <v>6149</v>
      </c>
      <c r="AC464" s="189" t="s">
        <v>6142</v>
      </c>
      <c r="AD464" s="145"/>
      <c r="AE464" s="145"/>
      <c r="AF464" s="145"/>
      <c r="AG464" s="145"/>
      <c r="AH464" s="145"/>
      <c r="AI464" s="145"/>
      <c r="AJ464" s="127"/>
      <c r="AK464" s="202" t="s">
        <v>6150</v>
      </c>
      <c r="AL464" s="158"/>
      <c r="AM464" s="158"/>
      <c r="AN464" s="4"/>
    </row>
    <row r="465" spans="1:40" ht="28.5">
      <c r="A465" s="137">
        <f>SUBTOTAL(3,$B$3:B465)</f>
        <v>463</v>
      </c>
      <c r="B465" s="121" t="s">
        <v>6151</v>
      </c>
      <c r="C465" s="165" t="s">
        <v>6152</v>
      </c>
      <c r="D465" s="163" t="s">
        <v>6343</v>
      </c>
      <c r="E465" s="129" t="s">
        <v>6153</v>
      </c>
      <c r="F465" s="129" t="s">
        <v>4370</v>
      </c>
      <c r="G465" s="129" t="s">
        <v>2345</v>
      </c>
      <c r="H465" s="129" t="s">
        <v>6154</v>
      </c>
      <c r="I465" s="129" t="s">
        <v>40</v>
      </c>
      <c r="J465" s="188">
        <v>37333</v>
      </c>
      <c r="K465" s="129" t="s">
        <v>41</v>
      </c>
      <c r="L465" s="129" t="s">
        <v>42</v>
      </c>
      <c r="M465" s="163" t="s">
        <v>4016</v>
      </c>
      <c r="N465" s="188">
        <v>45070</v>
      </c>
      <c r="O465" s="163" t="s">
        <v>44</v>
      </c>
      <c r="P465" s="129" t="s">
        <v>2347</v>
      </c>
      <c r="Q465" s="129" t="s">
        <v>3676</v>
      </c>
      <c r="R465" s="163">
        <v>9316404118</v>
      </c>
      <c r="S465" s="124">
        <f>VLOOKUP(B465,'[1]SN Salary Sheet'!$A$4:$D$207,4,0)</f>
        <v>29182</v>
      </c>
      <c r="T465" s="144">
        <v>101952303669</v>
      </c>
      <c r="U465" s="145" t="s">
        <v>6155</v>
      </c>
      <c r="V465" s="151">
        <v>3714896207</v>
      </c>
      <c r="W465" s="145" t="s">
        <v>6156</v>
      </c>
      <c r="X465" s="145" t="s">
        <v>6344</v>
      </c>
      <c r="Y465" s="149" t="s">
        <v>132</v>
      </c>
      <c r="Z465" s="145" t="s">
        <v>6345</v>
      </c>
      <c r="AA465" s="149" t="s">
        <v>6157</v>
      </c>
      <c r="AB465" s="149" t="s">
        <v>6158</v>
      </c>
      <c r="AC465" s="189" t="s">
        <v>6151</v>
      </c>
      <c r="AD465" s="145"/>
      <c r="AE465" s="145"/>
      <c r="AF465" s="145"/>
      <c r="AG465" s="145"/>
      <c r="AH465" s="145"/>
      <c r="AI465" s="145"/>
      <c r="AJ465" s="127"/>
      <c r="AK465" s="202" t="s">
        <v>6159</v>
      </c>
      <c r="AL465" s="158"/>
      <c r="AM465" s="158"/>
      <c r="AN465" s="4"/>
    </row>
    <row r="466" spans="1:40" ht="28.5">
      <c r="A466" s="137">
        <f>SUBTOTAL(3,$B$3:B466)</f>
        <v>464</v>
      </c>
      <c r="B466" s="121" t="s">
        <v>6168</v>
      </c>
      <c r="C466" s="165" t="s">
        <v>6169</v>
      </c>
      <c r="D466" s="163" t="s">
        <v>6170</v>
      </c>
      <c r="E466" s="129" t="s">
        <v>6171</v>
      </c>
      <c r="F466" s="129" t="s">
        <v>6172</v>
      </c>
      <c r="G466" s="129" t="s">
        <v>2345</v>
      </c>
      <c r="H466" s="129" t="s">
        <v>3158</v>
      </c>
      <c r="I466" s="129" t="s">
        <v>40</v>
      </c>
      <c r="J466" s="188">
        <v>36547</v>
      </c>
      <c r="K466" s="129" t="s">
        <v>41</v>
      </c>
      <c r="L466" s="129" t="s">
        <v>42</v>
      </c>
      <c r="M466" s="163" t="s">
        <v>6173</v>
      </c>
      <c r="N466" s="188">
        <v>45071</v>
      </c>
      <c r="O466" s="163" t="s">
        <v>6174</v>
      </c>
      <c r="P466" s="129" t="s">
        <v>2347</v>
      </c>
      <c r="Q466" s="129" t="s">
        <v>3676</v>
      </c>
      <c r="R466" s="163">
        <v>8200645615</v>
      </c>
      <c r="S466" s="124">
        <f>VLOOKUP(B466,'[2]CL SAL SHEET'!$A$4:$D$57,4,0)</f>
        <v>29181</v>
      </c>
      <c r="T466" s="144">
        <v>101952303653</v>
      </c>
      <c r="U466" s="126" t="s">
        <v>6178</v>
      </c>
      <c r="V466" s="151">
        <v>3714877032</v>
      </c>
      <c r="W466" s="145" t="s">
        <v>6175</v>
      </c>
      <c r="X466" s="145" t="s">
        <v>6177</v>
      </c>
      <c r="Y466" s="149" t="s">
        <v>271</v>
      </c>
      <c r="Z466" s="145" t="s">
        <v>6179</v>
      </c>
      <c r="AA466" s="149" t="s">
        <v>6581</v>
      </c>
      <c r="AB466" s="149" t="s">
        <v>6581</v>
      </c>
      <c r="AC466" s="189" t="s">
        <v>6168</v>
      </c>
      <c r="AD466" s="145"/>
      <c r="AE466" s="145"/>
      <c r="AF466" s="145"/>
      <c r="AG466" s="145"/>
      <c r="AH466" s="145"/>
      <c r="AI466" s="145"/>
      <c r="AJ466" s="127"/>
      <c r="AK466" s="202" t="s">
        <v>6176</v>
      </c>
      <c r="AL466" s="158"/>
      <c r="AM466" s="158"/>
      <c r="AN466" s="4"/>
    </row>
    <row r="467" spans="1:40" ht="28.5">
      <c r="A467" s="137">
        <f>SUBTOTAL(3,$B$3:B467)</f>
        <v>465</v>
      </c>
      <c r="B467" s="121" t="s">
        <v>6160</v>
      </c>
      <c r="C467" s="165" t="s">
        <v>6161</v>
      </c>
      <c r="D467" s="163" t="s">
        <v>6161</v>
      </c>
      <c r="E467" s="129" t="s">
        <v>6162</v>
      </c>
      <c r="F467" s="129" t="s">
        <v>2357</v>
      </c>
      <c r="G467" s="129" t="s">
        <v>2345</v>
      </c>
      <c r="H467" s="129" t="s">
        <v>672</v>
      </c>
      <c r="I467" s="129" t="s">
        <v>40</v>
      </c>
      <c r="J467" s="188">
        <v>37367</v>
      </c>
      <c r="K467" s="129" t="s">
        <v>41</v>
      </c>
      <c r="L467" s="129" t="s">
        <v>42</v>
      </c>
      <c r="M467" s="163" t="s">
        <v>4016</v>
      </c>
      <c r="N467" s="188">
        <v>45071</v>
      </c>
      <c r="O467" s="163" t="s">
        <v>44</v>
      </c>
      <c r="P467" s="129" t="s">
        <v>2347</v>
      </c>
      <c r="Q467" s="129" t="s">
        <v>3676</v>
      </c>
      <c r="R467" s="163">
        <v>9316537322</v>
      </c>
      <c r="S467" s="124">
        <f>VLOOKUP(B467,'[1]SN Salary Sheet'!$A$4:$D$207,4,0)</f>
        <v>29173</v>
      </c>
      <c r="T467" s="144">
        <v>101935301505</v>
      </c>
      <c r="U467" s="126" t="s">
        <v>6178</v>
      </c>
      <c r="V467" s="151">
        <v>3714877058</v>
      </c>
      <c r="W467" s="145" t="s">
        <v>6163</v>
      </c>
      <c r="X467" s="145" t="s">
        <v>6164</v>
      </c>
      <c r="Y467" s="149" t="s">
        <v>132</v>
      </c>
      <c r="Z467" s="145" t="s">
        <v>6165</v>
      </c>
      <c r="AA467" s="149" t="s">
        <v>6166</v>
      </c>
      <c r="AB467" s="149" t="s">
        <v>6166</v>
      </c>
      <c r="AC467" s="189" t="s">
        <v>6160</v>
      </c>
      <c r="AD467" s="145"/>
      <c r="AE467" s="145"/>
      <c r="AF467" s="145"/>
      <c r="AG467" s="145"/>
      <c r="AH467" s="145"/>
      <c r="AI467" s="145"/>
      <c r="AJ467" s="127"/>
      <c r="AK467" s="202" t="s">
        <v>6167</v>
      </c>
      <c r="AL467" s="158"/>
      <c r="AM467" s="158"/>
      <c r="AN467" s="4"/>
    </row>
    <row r="468" spans="1:40" ht="28.5">
      <c r="A468" s="137">
        <f>SUBTOTAL(3,$B$3:B468)</f>
        <v>466</v>
      </c>
      <c r="B468" s="121" t="s">
        <v>6180</v>
      </c>
      <c r="C468" s="165" t="s">
        <v>6183</v>
      </c>
      <c r="D468" s="163" t="s">
        <v>6184</v>
      </c>
      <c r="E468" s="129" t="s">
        <v>6185</v>
      </c>
      <c r="F468" s="129" t="s">
        <v>6186</v>
      </c>
      <c r="G468" s="129" t="s">
        <v>2345</v>
      </c>
      <c r="H468" s="129" t="s">
        <v>711</v>
      </c>
      <c r="I468" s="129" t="s">
        <v>40</v>
      </c>
      <c r="J468" s="188">
        <v>37212</v>
      </c>
      <c r="K468" s="129" t="s">
        <v>41</v>
      </c>
      <c r="L468" s="129" t="s">
        <v>42</v>
      </c>
      <c r="M468" s="163" t="s">
        <v>4016</v>
      </c>
      <c r="N468" s="188">
        <v>45073</v>
      </c>
      <c r="O468" s="163" t="s">
        <v>44</v>
      </c>
      <c r="P468" s="129" t="s">
        <v>2347</v>
      </c>
      <c r="Q468" s="129" t="s">
        <v>3676</v>
      </c>
      <c r="R468" s="163" t="s">
        <v>6187</v>
      </c>
      <c r="S468" s="124">
        <f>VLOOKUP(B468,'[1]SN Salary Sheet'!$A$4:$D$207,4,0)</f>
        <v>29161</v>
      </c>
      <c r="T468" s="144">
        <v>101952302556</v>
      </c>
      <c r="U468" s="126" t="s">
        <v>6178</v>
      </c>
      <c r="V468" s="145" t="s">
        <v>6332</v>
      </c>
      <c r="W468" s="145" t="s">
        <v>6188</v>
      </c>
      <c r="X468" s="145" t="s">
        <v>6189</v>
      </c>
      <c r="Y468" s="149" t="s">
        <v>363</v>
      </c>
      <c r="Z468" s="145" t="s">
        <v>6018</v>
      </c>
      <c r="AA468" s="149" t="s">
        <v>6190</v>
      </c>
      <c r="AB468" s="149" t="s">
        <v>6191</v>
      </c>
      <c r="AC468" s="189" t="s">
        <v>6180</v>
      </c>
      <c r="AD468" s="145"/>
      <c r="AE468" s="145"/>
      <c r="AF468" s="145"/>
      <c r="AG468" s="145"/>
      <c r="AH468" s="145"/>
      <c r="AI468" s="145"/>
      <c r="AJ468" s="127"/>
      <c r="AK468" s="202" t="s">
        <v>6192</v>
      </c>
      <c r="AL468" s="158"/>
      <c r="AM468" s="158"/>
      <c r="AN468" s="4"/>
    </row>
    <row r="469" spans="1:40" ht="28.5">
      <c r="A469" s="137">
        <f>SUBTOTAL(3,$B$3:B469)</f>
        <v>467</v>
      </c>
      <c r="B469" s="121" t="s">
        <v>6181</v>
      </c>
      <c r="C469" s="165" t="s">
        <v>6193</v>
      </c>
      <c r="D469" s="163" t="s">
        <v>6194</v>
      </c>
      <c r="E469" s="129" t="s">
        <v>249</v>
      </c>
      <c r="F469" s="129" t="s">
        <v>6195</v>
      </c>
      <c r="G469" s="129" t="s">
        <v>2345</v>
      </c>
      <c r="H469" s="129" t="s">
        <v>38</v>
      </c>
      <c r="I469" s="129" t="s">
        <v>40</v>
      </c>
      <c r="J469" s="188">
        <v>36985</v>
      </c>
      <c r="K469" s="129" t="s">
        <v>41</v>
      </c>
      <c r="L469" s="129" t="s">
        <v>42</v>
      </c>
      <c r="M469" s="163" t="s">
        <v>4016</v>
      </c>
      <c r="N469" s="188">
        <v>45073</v>
      </c>
      <c r="O469" s="163" t="s">
        <v>44</v>
      </c>
      <c r="P469" s="129" t="s">
        <v>2347</v>
      </c>
      <c r="Q469" s="129" t="s">
        <v>3676</v>
      </c>
      <c r="R469" s="163" t="s">
        <v>6196</v>
      </c>
      <c r="S469" s="124">
        <f>VLOOKUP(B469,'[1]SN Salary Sheet'!$A$4:$D$207,4,0)</f>
        <v>29183</v>
      </c>
      <c r="T469" s="144">
        <v>101952303676</v>
      </c>
      <c r="U469" s="145" t="s">
        <v>6197</v>
      </c>
      <c r="V469" s="145" t="s">
        <v>6333</v>
      </c>
      <c r="W469" s="145" t="s">
        <v>6198</v>
      </c>
      <c r="X469" s="145" t="s">
        <v>6260</v>
      </c>
      <c r="Y469" s="149" t="s">
        <v>65</v>
      </c>
      <c r="Z469" s="145" t="s">
        <v>91</v>
      </c>
      <c r="AA469" s="149" t="s">
        <v>6199</v>
      </c>
      <c r="AB469" s="149" t="s">
        <v>6199</v>
      </c>
      <c r="AC469" s="189" t="s">
        <v>6181</v>
      </c>
      <c r="AD469" s="145"/>
      <c r="AE469" s="145"/>
      <c r="AF469" s="145"/>
      <c r="AG469" s="145"/>
      <c r="AH469" s="145"/>
      <c r="AI469" s="145"/>
      <c r="AJ469" s="127"/>
      <c r="AK469" s="202" t="s">
        <v>6200</v>
      </c>
      <c r="AL469" s="158"/>
      <c r="AM469" s="158"/>
      <c r="AN469" s="4"/>
    </row>
    <row r="470" spans="1:40" ht="28.5">
      <c r="A470" s="137">
        <f>SUBTOTAL(3,$B$3:B470)</f>
        <v>468</v>
      </c>
      <c r="B470" s="121" t="s">
        <v>6182</v>
      </c>
      <c r="C470" s="165" t="s">
        <v>6201</v>
      </c>
      <c r="D470" s="163" t="s">
        <v>6201</v>
      </c>
      <c r="E470" s="129" t="s">
        <v>70</v>
      </c>
      <c r="F470" s="129" t="s">
        <v>6202</v>
      </c>
      <c r="G470" s="129" t="s">
        <v>2389</v>
      </c>
      <c r="H470" s="129" t="s">
        <v>1224</v>
      </c>
      <c r="I470" s="129" t="s">
        <v>40</v>
      </c>
      <c r="J470" s="188">
        <v>37200</v>
      </c>
      <c r="K470" s="129" t="s">
        <v>41</v>
      </c>
      <c r="L470" s="129" t="s">
        <v>42</v>
      </c>
      <c r="M470" s="163" t="s">
        <v>4016</v>
      </c>
      <c r="N470" s="188">
        <v>45073</v>
      </c>
      <c r="O470" s="163" t="s">
        <v>44</v>
      </c>
      <c r="P470" s="129" t="s">
        <v>2347</v>
      </c>
      <c r="Q470" s="129" t="s">
        <v>3676</v>
      </c>
      <c r="R470" s="163">
        <v>8200885279</v>
      </c>
      <c r="S470" s="124">
        <f>VLOOKUP(B470,'[1]SN Salary Sheet'!$A$4:$D$207,4,0)</f>
        <v>29188</v>
      </c>
      <c r="T470" s="144">
        <v>101952303703</v>
      </c>
      <c r="U470" s="126" t="s">
        <v>6178</v>
      </c>
      <c r="V470" s="145" t="s">
        <v>6373</v>
      </c>
      <c r="W470" s="145" t="s">
        <v>6203</v>
      </c>
      <c r="X470" s="145" t="s">
        <v>6204</v>
      </c>
      <c r="Y470" s="149" t="s">
        <v>65</v>
      </c>
      <c r="Z470" s="145" t="s">
        <v>91</v>
      </c>
      <c r="AA470" s="149" t="s">
        <v>6205</v>
      </c>
      <c r="AB470" s="149" t="s">
        <v>6205</v>
      </c>
      <c r="AC470" s="189" t="s">
        <v>6182</v>
      </c>
      <c r="AD470" s="145"/>
      <c r="AE470" s="145"/>
      <c r="AF470" s="145"/>
      <c r="AG470" s="145"/>
      <c r="AH470" s="145"/>
      <c r="AI470" s="145"/>
      <c r="AJ470" s="127"/>
      <c r="AK470" s="202" t="s">
        <v>6206</v>
      </c>
      <c r="AL470" s="158"/>
      <c r="AM470" s="158"/>
      <c r="AN470" s="4"/>
    </row>
    <row r="471" spans="1:40" ht="28.5">
      <c r="A471" s="137">
        <f>SUBTOTAL(3,$B$3:B471)</f>
        <v>469</v>
      </c>
      <c r="B471" s="121" t="s">
        <v>6207</v>
      </c>
      <c r="C471" s="165" t="s">
        <v>6208</v>
      </c>
      <c r="D471" s="163" t="s">
        <v>6208</v>
      </c>
      <c r="E471" s="129" t="s">
        <v>4694</v>
      </c>
      <c r="F471" s="129" t="s">
        <v>6209</v>
      </c>
      <c r="G471" s="129" t="s">
        <v>2345</v>
      </c>
      <c r="H471" s="129" t="s">
        <v>711</v>
      </c>
      <c r="I471" s="129" t="s">
        <v>40</v>
      </c>
      <c r="J471" s="188">
        <v>37436</v>
      </c>
      <c r="K471" s="129" t="s">
        <v>41</v>
      </c>
      <c r="L471" s="129" t="s">
        <v>42</v>
      </c>
      <c r="M471" s="163" t="s">
        <v>4016</v>
      </c>
      <c r="N471" s="188">
        <v>45075</v>
      </c>
      <c r="O471" s="163" t="s">
        <v>44</v>
      </c>
      <c r="P471" s="129" t="s">
        <v>2347</v>
      </c>
      <c r="Q471" s="129" t="s">
        <v>3676</v>
      </c>
      <c r="R471" s="163">
        <v>8799546358</v>
      </c>
      <c r="S471" s="124">
        <f>VLOOKUP(B471,'[1]SN Salary Sheet'!$A$4:$D$207,4,0)</f>
        <v>29177</v>
      </c>
      <c r="T471" s="144">
        <v>101923575890</v>
      </c>
      <c r="U471" s="145" t="s">
        <v>6210</v>
      </c>
      <c r="V471" s="145" t="s">
        <v>6334</v>
      </c>
      <c r="W471" s="145" t="s">
        <v>6211</v>
      </c>
      <c r="X471" s="145" t="s">
        <v>6212</v>
      </c>
      <c r="Y471" s="149" t="s">
        <v>146</v>
      </c>
      <c r="Z471" s="145" t="s">
        <v>6213</v>
      </c>
      <c r="AA471" s="149" t="s">
        <v>6214</v>
      </c>
      <c r="AB471" s="149" t="s">
        <v>6214</v>
      </c>
      <c r="AC471" s="189" t="s">
        <v>6207</v>
      </c>
      <c r="AD471" s="145"/>
      <c r="AE471" s="145"/>
      <c r="AF471" s="145"/>
      <c r="AG471" s="145"/>
      <c r="AH471" s="145"/>
      <c r="AI471" s="145"/>
      <c r="AJ471" s="127"/>
      <c r="AK471" s="158"/>
      <c r="AL471" s="158"/>
      <c r="AM471" s="158"/>
      <c r="AN471" s="4"/>
    </row>
    <row r="472" spans="1:40" ht="42.75">
      <c r="A472" s="137">
        <f>SUBTOTAL(3,$B$3:B472)</f>
        <v>470</v>
      </c>
      <c r="B472" s="121" t="s">
        <v>6215</v>
      </c>
      <c r="C472" s="165" t="s">
        <v>6216</v>
      </c>
      <c r="D472" s="163" t="s">
        <v>6217</v>
      </c>
      <c r="E472" s="129" t="s">
        <v>531</v>
      </c>
      <c r="F472" s="129" t="s">
        <v>6218</v>
      </c>
      <c r="G472" s="129" t="s">
        <v>2345</v>
      </c>
      <c r="H472" s="129" t="s">
        <v>6219</v>
      </c>
      <c r="I472" s="129" t="s">
        <v>40</v>
      </c>
      <c r="J472" s="188">
        <v>36077</v>
      </c>
      <c r="K472" s="129" t="s">
        <v>41</v>
      </c>
      <c r="L472" s="129" t="s">
        <v>42</v>
      </c>
      <c r="M472" s="124" t="s">
        <v>3684</v>
      </c>
      <c r="N472" s="188">
        <v>45075</v>
      </c>
      <c r="O472" s="163" t="s">
        <v>2621</v>
      </c>
      <c r="P472" s="129" t="s">
        <v>2347</v>
      </c>
      <c r="Q472" s="129" t="s">
        <v>3676</v>
      </c>
      <c r="R472" s="163" t="s">
        <v>6220</v>
      </c>
      <c r="S472" s="124">
        <f>VLOOKUP(B472,'[2]CL SAL SHEET'!$A$4:$D$57,4,0)</f>
        <v>29164</v>
      </c>
      <c r="T472" s="144">
        <v>101944070181</v>
      </c>
      <c r="U472" s="145" t="s">
        <v>6221</v>
      </c>
      <c r="V472" s="145" t="s">
        <v>6335</v>
      </c>
      <c r="W472" s="145" t="s">
        <v>6222</v>
      </c>
      <c r="X472" s="145" t="s">
        <v>6223</v>
      </c>
      <c r="Y472" s="149" t="s">
        <v>472</v>
      </c>
      <c r="Z472" s="145" t="s">
        <v>6224</v>
      </c>
      <c r="AA472" s="149" t="s">
        <v>6225</v>
      </c>
      <c r="AB472" s="149" t="s">
        <v>6225</v>
      </c>
      <c r="AC472" s="189" t="s">
        <v>6215</v>
      </c>
      <c r="AD472" s="145"/>
      <c r="AE472" s="145"/>
      <c r="AF472" s="145"/>
      <c r="AG472" s="145"/>
      <c r="AH472" s="145"/>
      <c r="AI472" s="145"/>
      <c r="AJ472" s="127"/>
      <c r="AK472" s="202" t="s">
        <v>6226</v>
      </c>
      <c r="AL472" s="158"/>
      <c r="AM472" s="158"/>
      <c r="AN472" s="4"/>
    </row>
    <row r="473" spans="1:40" ht="28.5">
      <c r="A473" s="137">
        <f>SUBTOTAL(3,$B$3:B473)</f>
        <v>471</v>
      </c>
      <c r="B473" s="121" t="s">
        <v>6227</v>
      </c>
      <c r="C473" s="165" t="s">
        <v>6323</v>
      </c>
      <c r="D473" s="163" t="s">
        <v>6322</v>
      </c>
      <c r="E473" s="129" t="s">
        <v>4406</v>
      </c>
      <c r="F473" s="129" t="s">
        <v>6228</v>
      </c>
      <c r="G473" s="129" t="s">
        <v>2345</v>
      </c>
      <c r="H473" s="129" t="s">
        <v>6324</v>
      </c>
      <c r="I473" s="129" t="s">
        <v>40</v>
      </c>
      <c r="J473" s="188">
        <v>35293</v>
      </c>
      <c r="K473" s="129" t="s">
        <v>41</v>
      </c>
      <c r="L473" s="129" t="s">
        <v>42</v>
      </c>
      <c r="M473" s="163" t="s">
        <v>6173</v>
      </c>
      <c r="N473" s="188">
        <v>45078</v>
      </c>
      <c r="O473" s="163" t="s">
        <v>6174</v>
      </c>
      <c r="P473" s="129" t="s">
        <v>2347</v>
      </c>
      <c r="Q473" s="129" t="s">
        <v>3676</v>
      </c>
      <c r="R473" s="163" t="s">
        <v>6229</v>
      </c>
      <c r="S473" s="124">
        <f>VLOOKUP(B473,'[2]CL SAL SHEET'!$A$4:$D$57,4,0)</f>
        <v>29179</v>
      </c>
      <c r="T473" s="144">
        <v>101952303648</v>
      </c>
      <c r="U473" s="126" t="s">
        <v>6178</v>
      </c>
      <c r="V473" s="145" t="s">
        <v>6336</v>
      </c>
      <c r="W473" s="145" t="s">
        <v>6230</v>
      </c>
      <c r="X473" s="145" t="s">
        <v>6325</v>
      </c>
      <c r="Y473" s="149" t="s">
        <v>619</v>
      </c>
      <c r="Z473" s="145" t="s">
        <v>6326</v>
      </c>
      <c r="AA473" s="149" t="s">
        <v>6231</v>
      </c>
      <c r="AB473" s="149" t="s">
        <v>6231</v>
      </c>
      <c r="AC473" s="189" t="s">
        <v>6227</v>
      </c>
      <c r="AD473" s="145"/>
      <c r="AE473" s="145"/>
      <c r="AF473" s="145"/>
      <c r="AG473" s="145"/>
      <c r="AH473" s="145"/>
      <c r="AI473" s="145"/>
      <c r="AJ473" s="127"/>
      <c r="AK473" s="224" t="s">
        <v>6232</v>
      </c>
      <c r="AL473" s="225"/>
      <c r="AM473" s="225"/>
      <c r="AN473" s="4"/>
    </row>
    <row r="474" spans="1:40" ht="28.5">
      <c r="A474" s="137">
        <f>SUBTOTAL(3,$B$3:B474)</f>
        <v>472</v>
      </c>
      <c r="B474" s="121" t="s">
        <v>6234</v>
      </c>
      <c r="C474" s="165" t="s">
        <v>6235</v>
      </c>
      <c r="D474" s="163" t="s">
        <v>6235</v>
      </c>
      <c r="E474" s="129" t="s">
        <v>6236</v>
      </c>
      <c r="F474" s="129" t="s">
        <v>851</v>
      </c>
      <c r="G474" s="129" t="s">
        <v>2389</v>
      </c>
      <c r="H474" s="129" t="s">
        <v>507</v>
      </c>
      <c r="I474" s="129" t="s">
        <v>40</v>
      </c>
      <c r="J474" s="188">
        <v>36885</v>
      </c>
      <c r="K474" s="129" t="s">
        <v>41</v>
      </c>
      <c r="L474" s="129" t="s">
        <v>42</v>
      </c>
      <c r="M474" s="163" t="s">
        <v>1044</v>
      </c>
      <c r="N474" s="188">
        <v>45078</v>
      </c>
      <c r="O474" s="163" t="s">
        <v>2991</v>
      </c>
      <c r="P474" s="129" t="s">
        <v>2347</v>
      </c>
      <c r="Q474" s="129" t="s">
        <v>3676</v>
      </c>
      <c r="R474" s="163" t="s">
        <v>6237</v>
      </c>
      <c r="S474" s="124">
        <f>VLOOKUP(B474,'[3]NCL SAL. SHEET'!$A$4:$D$126,4,0)</f>
        <v>29171</v>
      </c>
      <c r="T474" s="144">
        <v>101952303611</v>
      </c>
      <c r="U474" s="145" t="s">
        <v>6238</v>
      </c>
      <c r="V474" s="145" t="s">
        <v>6337</v>
      </c>
      <c r="W474" s="145" t="s">
        <v>6239</v>
      </c>
      <c r="X474" s="145" t="s">
        <v>6240</v>
      </c>
      <c r="Y474" s="149" t="s">
        <v>132</v>
      </c>
      <c r="Z474" s="145" t="s">
        <v>3129</v>
      </c>
      <c r="AA474" s="149" t="s">
        <v>6241</v>
      </c>
      <c r="AB474" s="149" t="s">
        <v>6242</v>
      </c>
      <c r="AC474" s="189" t="s">
        <v>6234</v>
      </c>
      <c r="AD474" s="145"/>
      <c r="AE474" s="145"/>
      <c r="AF474" s="145"/>
      <c r="AG474" s="145"/>
      <c r="AH474" s="145"/>
      <c r="AI474" s="145"/>
      <c r="AJ474" s="127"/>
      <c r="AK474" s="202" t="s">
        <v>6243</v>
      </c>
      <c r="AL474" s="158"/>
      <c r="AM474" s="158"/>
      <c r="AN474" s="4"/>
    </row>
    <row r="475" spans="1:40" ht="28.5">
      <c r="A475" s="137">
        <f>SUBTOTAL(3,$B$3:B475)</f>
        <v>473</v>
      </c>
      <c r="B475" s="190" t="s">
        <v>6244</v>
      </c>
      <c r="C475" s="163" t="s">
        <v>6287</v>
      </c>
      <c r="D475" s="163" t="s">
        <v>6287</v>
      </c>
      <c r="E475" s="129" t="s">
        <v>428</v>
      </c>
      <c r="F475" s="129" t="s">
        <v>4667</v>
      </c>
      <c r="G475" s="129" t="s">
        <v>2345</v>
      </c>
      <c r="H475" s="129" t="s">
        <v>6288</v>
      </c>
      <c r="I475" s="129" t="s">
        <v>40</v>
      </c>
      <c r="J475" s="188">
        <v>37461</v>
      </c>
      <c r="K475" s="129" t="s">
        <v>41</v>
      </c>
      <c r="L475" s="129" t="s">
        <v>42</v>
      </c>
      <c r="M475" s="163" t="s">
        <v>4016</v>
      </c>
      <c r="N475" s="188">
        <v>45078</v>
      </c>
      <c r="O475" s="163" t="s">
        <v>44</v>
      </c>
      <c r="P475" s="129" t="s">
        <v>2347</v>
      </c>
      <c r="Q475" s="129" t="s">
        <v>3676</v>
      </c>
      <c r="R475" s="163">
        <v>6359581799</v>
      </c>
      <c r="S475" s="124" t="e">
        <f>VLOOKUP(B475,'[1]SN Salary Sheet'!$A$4:$D$207,4,0)</f>
        <v>#N/A</v>
      </c>
      <c r="T475" s="144">
        <v>101952302594</v>
      </c>
      <c r="U475" s="126" t="s">
        <v>6178</v>
      </c>
      <c r="V475" s="145" t="s">
        <v>6338</v>
      </c>
      <c r="W475" s="145" t="s">
        <v>6289</v>
      </c>
      <c r="X475" s="145" t="s">
        <v>6290</v>
      </c>
      <c r="Y475" s="149" t="s">
        <v>65</v>
      </c>
      <c r="Z475" s="145" t="s">
        <v>513</v>
      </c>
      <c r="AA475" s="149" t="s">
        <v>6291</v>
      </c>
      <c r="AB475" s="149" t="s">
        <v>6291</v>
      </c>
      <c r="AC475" s="189" t="s">
        <v>6244</v>
      </c>
      <c r="AD475" s="145"/>
      <c r="AE475" s="145"/>
      <c r="AF475" s="145"/>
      <c r="AG475" s="145"/>
      <c r="AH475" s="145"/>
      <c r="AI475" s="145"/>
      <c r="AJ475" s="127"/>
      <c r="AK475" s="202" t="s">
        <v>6292</v>
      </c>
      <c r="AL475" s="158"/>
      <c r="AM475" s="158"/>
      <c r="AN475" s="4"/>
    </row>
    <row r="476" spans="1:40" ht="42.75">
      <c r="A476" s="137">
        <f>SUBTOTAL(3,$B$3:B476)</f>
        <v>474</v>
      </c>
      <c r="B476" s="121" t="s">
        <v>6245</v>
      </c>
      <c r="C476" s="165" t="s">
        <v>6261</v>
      </c>
      <c r="D476" s="163" t="s">
        <v>6261</v>
      </c>
      <c r="E476" s="129" t="s">
        <v>2322</v>
      </c>
      <c r="F476" s="129" t="s">
        <v>6262</v>
      </c>
      <c r="G476" s="129" t="s">
        <v>2389</v>
      </c>
      <c r="H476" s="129" t="s">
        <v>6263</v>
      </c>
      <c r="I476" s="129" t="s">
        <v>40</v>
      </c>
      <c r="J476" s="188">
        <v>37129</v>
      </c>
      <c r="K476" s="129" t="s">
        <v>280</v>
      </c>
      <c r="L476" s="129" t="s">
        <v>42</v>
      </c>
      <c r="M476" s="163" t="s">
        <v>4016</v>
      </c>
      <c r="N476" s="188">
        <v>45078</v>
      </c>
      <c r="O476" s="163" t="s">
        <v>44</v>
      </c>
      <c r="P476" s="129" t="s">
        <v>2347</v>
      </c>
      <c r="Q476" s="129" t="s">
        <v>3676</v>
      </c>
      <c r="R476" s="163">
        <v>9537801942</v>
      </c>
      <c r="S476" s="124">
        <f>VLOOKUP(B476,'[1]SN Salary Sheet'!$A$4:$D$207,4,0)</f>
        <v>29189</v>
      </c>
      <c r="T476" s="144">
        <v>101952303719</v>
      </c>
      <c r="U476" s="126" t="s">
        <v>6178</v>
      </c>
      <c r="V476" s="148">
        <v>3714896060</v>
      </c>
      <c r="W476" s="145" t="s">
        <v>6264</v>
      </c>
      <c r="X476" s="145" t="s">
        <v>6265</v>
      </c>
      <c r="Y476" s="149" t="s">
        <v>146</v>
      </c>
      <c r="Z476" s="145" t="s">
        <v>826</v>
      </c>
      <c r="AA476" s="149" t="s">
        <v>6266</v>
      </c>
      <c r="AB476" s="149" t="s">
        <v>6266</v>
      </c>
      <c r="AC476" s="189" t="s">
        <v>6245</v>
      </c>
      <c r="AD476" s="145"/>
      <c r="AE476" s="145"/>
      <c r="AF476" s="145"/>
      <c r="AG476" s="145"/>
      <c r="AH476" s="145"/>
      <c r="AI476" s="145"/>
      <c r="AJ476" s="127"/>
      <c r="AK476" s="202" t="s">
        <v>6267</v>
      </c>
      <c r="AL476" s="158"/>
      <c r="AM476" s="158"/>
      <c r="AN476" s="4"/>
    </row>
    <row r="477" spans="1:40" ht="28.5">
      <c r="A477" s="205">
        <f>SUBTOTAL(3,$B$3:B477)</f>
        <v>475</v>
      </c>
      <c r="B477" s="121" t="s">
        <v>6246</v>
      </c>
      <c r="C477" s="165" t="s">
        <v>6268</v>
      </c>
      <c r="D477" s="163" t="s">
        <v>6268</v>
      </c>
      <c r="E477" s="129" t="s">
        <v>6269</v>
      </c>
      <c r="F477" s="129" t="s">
        <v>949</v>
      </c>
      <c r="G477" s="129" t="s">
        <v>2345</v>
      </c>
      <c r="H477" s="129" t="s">
        <v>6270</v>
      </c>
      <c r="I477" s="129" t="s">
        <v>40</v>
      </c>
      <c r="J477" s="188">
        <v>37068</v>
      </c>
      <c r="K477" s="129" t="s">
        <v>41</v>
      </c>
      <c r="L477" s="129" t="s">
        <v>42</v>
      </c>
      <c r="M477" s="163" t="s">
        <v>4016</v>
      </c>
      <c r="N477" s="188">
        <v>45078</v>
      </c>
      <c r="O477" s="163" t="s">
        <v>44</v>
      </c>
      <c r="P477" s="129" t="s">
        <v>2347</v>
      </c>
      <c r="Q477" s="129" t="s">
        <v>3676</v>
      </c>
      <c r="R477" s="163" t="s">
        <v>6271</v>
      </c>
      <c r="S477" s="124">
        <f>VLOOKUP(B477,'[1]SN Salary Sheet'!$A$4:$D$207,4,0)</f>
        <v>29169</v>
      </c>
      <c r="T477" s="144">
        <v>101942586357</v>
      </c>
      <c r="U477" s="145" t="s">
        <v>6272</v>
      </c>
      <c r="V477" s="145" t="s">
        <v>6339</v>
      </c>
      <c r="W477" s="145" t="s">
        <v>6273</v>
      </c>
      <c r="X477" s="145" t="s">
        <v>6274</v>
      </c>
      <c r="Y477" s="149" t="s">
        <v>65</v>
      </c>
      <c r="Z477" s="145" t="s">
        <v>6275</v>
      </c>
      <c r="AA477" s="149" t="s">
        <v>6276</v>
      </c>
      <c r="AB477" s="149" t="s">
        <v>6276</v>
      </c>
      <c r="AC477" s="189" t="s">
        <v>6246</v>
      </c>
      <c r="AD477" s="145"/>
      <c r="AE477" s="145"/>
      <c r="AF477" s="145"/>
      <c r="AG477" s="145"/>
      <c r="AH477" s="145"/>
      <c r="AI477" s="145"/>
      <c r="AJ477" s="127"/>
      <c r="AK477" s="158"/>
      <c r="AL477" s="158"/>
      <c r="AM477" s="158"/>
      <c r="AN477" s="4"/>
    </row>
    <row r="478" spans="1:40" ht="28.5">
      <c r="A478" s="137">
        <f>SUBTOTAL(3,$B$3:B478)</f>
        <v>476</v>
      </c>
      <c r="B478" s="121" t="s">
        <v>6247</v>
      </c>
      <c r="C478" s="165" t="s">
        <v>6248</v>
      </c>
      <c r="D478" s="163" t="s">
        <v>6249</v>
      </c>
      <c r="E478" s="129" t="s">
        <v>754</v>
      </c>
      <c r="F478" s="129" t="s">
        <v>6250</v>
      </c>
      <c r="G478" s="129" t="s">
        <v>2389</v>
      </c>
      <c r="H478" s="129" t="s">
        <v>2120</v>
      </c>
      <c r="I478" s="129" t="s">
        <v>40</v>
      </c>
      <c r="J478" s="188">
        <v>31674</v>
      </c>
      <c r="K478" s="129" t="s">
        <v>280</v>
      </c>
      <c r="L478" s="129" t="s">
        <v>42</v>
      </c>
      <c r="M478" s="163" t="s">
        <v>6251</v>
      </c>
      <c r="N478" s="188">
        <v>45078</v>
      </c>
      <c r="O478" s="163" t="s">
        <v>6252</v>
      </c>
      <c r="P478" s="129" t="s">
        <v>2347</v>
      </c>
      <c r="Q478" s="129" t="s">
        <v>3676</v>
      </c>
      <c r="R478" s="163" t="s">
        <v>6253</v>
      </c>
      <c r="S478" s="124">
        <f>VLOOKUP(B478,'[3]NCL SAL. SHEET'!$A$4:$D$126,4,0)</f>
        <v>29186</v>
      </c>
      <c r="T478" s="144">
        <v>101155329130</v>
      </c>
      <c r="U478" s="145" t="s">
        <v>6254</v>
      </c>
      <c r="V478" s="145" t="s">
        <v>6255</v>
      </c>
      <c r="W478" s="145" t="s">
        <v>6256</v>
      </c>
      <c r="X478" s="145" t="s">
        <v>6327</v>
      </c>
      <c r="Y478" s="149" t="s">
        <v>65</v>
      </c>
      <c r="Z478" s="145" t="s">
        <v>6328</v>
      </c>
      <c r="AA478" s="149" t="s">
        <v>6257</v>
      </c>
      <c r="AB478" s="149" t="s">
        <v>6258</v>
      </c>
      <c r="AC478" s="189" t="s">
        <v>6247</v>
      </c>
      <c r="AD478" s="145"/>
      <c r="AE478" s="145"/>
      <c r="AF478" s="145"/>
      <c r="AG478" s="145"/>
      <c r="AH478" s="145"/>
      <c r="AI478" s="145"/>
      <c r="AJ478" s="127"/>
      <c r="AK478" s="202" t="s">
        <v>6259</v>
      </c>
      <c r="AL478" s="158"/>
      <c r="AM478" s="158"/>
      <c r="AN478" s="4"/>
    </row>
    <row r="479" spans="1:40" ht="42.75">
      <c r="A479" s="137">
        <f>SUBTOTAL(3,$B$3:B479)</f>
        <v>477</v>
      </c>
      <c r="B479" s="121" t="s">
        <v>6277</v>
      </c>
      <c r="C479" s="165" t="s">
        <v>6278</v>
      </c>
      <c r="D479" s="163" t="s">
        <v>6278</v>
      </c>
      <c r="E479" s="129" t="s">
        <v>1366</v>
      </c>
      <c r="F479" s="129" t="s">
        <v>6279</v>
      </c>
      <c r="G479" s="129" t="s">
        <v>2345</v>
      </c>
      <c r="H479" s="129" t="s">
        <v>4396</v>
      </c>
      <c r="I479" s="129" t="s">
        <v>40</v>
      </c>
      <c r="J479" s="188">
        <v>35371</v>
      </c>
      <c r="K479" s="129" t="s">
        <v>41</v>
      </c>
      <c r="L479" s="129" t="s">
        <v>42</v>
      </c>
      <c r="M479" s="163" t="s">
        <v>4016</v>
      </c>
      <c r="N479" s="188">
        <v>45079</v>
      </c>
      <c r="O479" s="163" t="s">
        <v>44</v>
      </c>
      <c r="P479" s="129" t="s">
        <v>2347</v>
      </c>
      <c r="Q479" s="129" t="s">
        <v>3676</v>
      </c>
      <c r="R479" s="163" t="s">
        <v>6280</v>
      </c>
      <c r="S479" s="124">
        <f>VLOOKUP(B479,'[1]SN Salary Sheet'!$A$4:$D$207,4,0)</f>
        <v>29178</v>
      </c>
      <c r="T479" s="144">
        <v>101354738850</v>
      </c>
      <c r="U479" s="145" t="s">
        <v>6281</v>
      </c>
      <c r="V479" s="145" t="s">
        <v>6340</v>
      </c>
      <c r="W479" s="145" t="s">
        <v>6282</v>
      </c>
      <c r="X479" s="145" t="s">
        <v>6283</v>
      </c>
      <c r="Y479" s="149" t="s">
        <v>65</v>
      </c>
      <c r="Z479" s="145" t="s">
        <v>6284</v>
      </c>
      <c r="AA479" s="149" t="s">
        <v>6285</v>
      </c>
      <c r="AB479" s="149" t="s">
        <v>6285</v>
      </c>
      <c r="AC479" s="189" t="s">
        <v>6277</v>
      </c>
      <c r="AD479" s="145"/>
      <c r="AE479" s="145"/>
      <c r="AF479" s="145"/>
      <c r="AG479" s="145"/>
      <c r="AH479" s="145"/>
      <c r="AI479" s="145"/>
      <c r="AJ479" s="127"/>
      <c r="AK479" s="202" t="s">
        <v>6286</v>
      </c>
      <c r="AL479" s="158"/>
      <c r="AM479" s="158"/>
      <c r="AN479" s="4"/>
    </row>
    <row r="480" spans="1:40" ht="28.5">
      <c r="A480" s="137">
        <f>SUBTOTAL(3,$B$3:B480)</f>
        <v>478</v>
      </c>
      <c r="B480" s="121" t="s">
        <v>6293</v>
      </c>
      <c r="C480" s="165" t="s">
        <v>6294</v>
      </c>
      <c r="D480" s="163" t="s">
        <v>6295</v>
      </c>
      <c r="E480" s="129" t="s">
        <v>263</v>
      </c>
      <c r="F480" s="129" t="s">
        <v>1078</v>
      </c>
      <c r="G480" s="129" t="s">
        <v>2345</v>
      </c>
      <c r="H480" s="129" t="s">
        <v>6296</v>
      </c>
      <c r="I480" s="129" t="s">
        <v>40</v>
      </c>
      <c r="J480" s="188">
        <v>37092</v>
      </c>
      <c r="K480" s="129" t="s">
        <v>41</v>
      </c>
      <c r="L480" s="129" t="s">
        <v>42</v>
      </c>
      <c r="M480" s="163" t="s">
        <v>4016</v>
      </c>
      <c r="N480" s="188">
        <v>45080</v>
      </c>
      <c r="O480" s="163" t="s">
        <v>44</v>
      </c>
      <c r="P480" s="129" t="s">
        <v>2347</v>
      </c>
      <c r="Q480" s="129" t="s">
        <v>3676</v>
      </c>
      <c r="R480" s="163" t="s">
        <v>6297</v>
      </c>
      <c r="S480" s="124">
        <f>VLOOKUP(B480,'[1]SN Salary Sheet'!$A$4:$D$207,4,0)</f>
        <v>29184</v>
      </c>
      <c r="T480" s="144">
        <v>101952303682</v>
      </c>
      <c r="U480" s="126" t="s">
        <v>6178</v>
      </c>
      <c r="V480" s="145" t="s">
        <v>6341</v>
      </c>
      <c r="W480" s="145" t="s">
        <v>6298</v>
      </c>
      <c r="X480" s="145" t="s">
        <v>6299</v>
      </c>
      <c r="Y480" s="149" t="s">
        <v>65</v>
      </c>
      <c r="Z480" s="145" t="s">
        <v>6300</v>
      </c>
      <c r="AA480" s="149" t="s">
        <v>6302</v>
      </c>
      <c r="AB480" s="149" t="s">
        <v>6301</v>
      </c>
      <c r="AC480" s="189" t="s">
        <v>6293</v>
      </c>
      <c r="AD480" s="145"/>
      <c r="AE480" s="145"/>
      <c r="AF480" s="145"/>
      <c r="AG480" s="145"/>
      <c r="AH480" s="145"/>
      <c r="AI480" s="145"/>
      <c r="AJ480" s="127"/>
      <c r="AK480" s="158"/>
      <c r="AL480" s="158"/>
      <c r="AM480" s="158"/>
      <c r="AN480" s="4"/>
    </row>
    <row r="481" spans="1:40" ht="28.5">
      <c r="A481" s="137">
        <f>SUBTOTAL(3,$B$3:B481)</f>
        <v>479</v>
      </c>
      <c r="B481" s="121" t="s">
        <v>6303</v>
      </c>
      <c r="C481" s="165" t="s">
        <v>6304</v>
      </c>
      <c r="D481" s="163" t="s">
        <v>6304</v>
      </c>
      <c r="E481" s="129" t="s">
        <v>6305</v>
      </c>
      <c r="F481" s="129" t="s">
        <v>6306</v>
      </c>
      <c r="G481" s="129" t="s">
        <v>2389</v>
      </c>
      <c r="H481" s="129" t="s">
        <v>6307</v>
      </c>
      <c r="I481" s="129" t="s">
        <v>40</v>
      </c>
      <c r="J481" s="188">
        <v>36662</v>
      </c>
      <c r="K481" s="129" t="s">
        <v>41</v>
      </c>
      <c r="L481" s="129" t="s">
        <v>42</v>
      </c>
      <c r="M481" s="163" t="s">
        <v>1044</v>
      </c>
      <c r="N481" s="188">
        <v>45080</v>
      </c>
      <c r="O481" s="163" t="s">
        <v>2991</v>
      </c>
      <c r="P481" s="129" t="s">
        <v>2347</v>
      </c>
      <c r="Q481" s="129" t="s">
        <v>3676</v>
      </c>
      <c r="R481" s="163">
        <v>7043625864</v>
      </c>
      <c r="S481" s="124">
        <f>VLOOKUP(B481,'[3]NCL SAL. SHEET'!$A$4:$D$126,4,0)</f>
        <v>29165</v>
      </c>
      <c r="T481" s="144">
        <v>101952302573</v>
      </c>
      <c r="U481" s="145" t="s">
        <v>6308</v>
      </c>
      <c r="V481" s="145" t="s">
        <v>6342</v>
      </c>
      <c r="W481" s="145" t="s">
        <v>6309</v>
      </c>
      <c r="X481" s="145" t="s">
        <v>6310</v>
      </c>
      <c r="Y481" s="149" t="s">
        <v>271</v>
      </c>
      <c r="Z481" s="145" t="s">
        <v>270</v>
      </c>
      <c r="AA481" s="149" t="s">
        <v>6311</v>
      </c>
      <c r="AB481" s="149" t="s">
        <v>6311</v>
      </c>
      <c r="AC481" s="189" t="s">
        <v>6303</v>
      </c>
      <c r="AD481" s="145"/>
      <c r="AE481" s="145"/>
      <c r="AF481" s="145"/>
      <c r="AG481" s="145"/>
      <c r="AH481" s="145"/>
      <c r="AI481" s="145"/>
      <c r="AJ481" s="127"/>
      <c r="AK481" s="202" t="s">
        <v>6312</v>
      </c>
      <c r="AL481" s="158"/>
      <c r="AM481" s="158"/>
      <c r="AN481" s="4"/>
    </row>
    <row r="482" spans="1:40" ht="28.5">
      <c r="A482" s="137">
        <f>SUBTOTAL(3,$B$3:B482)</f>
        <v>480</v>
      </c>
      <c r="B482" s="121" t="s">
        <v>6313</v>
      </c>
      <c r="C482" s="165" t="s">
        <v>6314</v>
      </c>
      <c r="D482" s="163" t="s">
        <v>6315</v>
      </c>
      <c r="E482" s="129" t="s">
        <v>330</v>
      </c>
      <c r="F482" s="129" t="s">
        <v>6316</v>
      </c>
      <c r="G482" s="129" t="s">
        <v>2389</v>
      </c>
      <c r="H482" s="129" t="s">
        <v>4109</v>
      </c>
      <c r="I482" s="129" t="s">
        <v>40</v>
      </c>
      <c r="J482" s="188">
        <v>34902</v>
      </c>
      <c r="K482" s="129" t="s">
        <v>41</v>
      </c>
      <c r="L482" s="129" t="s">
        <v>42</v>
      </c>
      <c r="M482" s="163" t="s">
        <v>4222</v>
      </c>
      <c r="N482" s="188">
        <v>45080</v>
      </c>
      <c r="O482" s="163" t="s">
        <v>2981</v>
      </c>
      <c r="P482" s="129" t="s">
        <v>2347</v>
      </c>
      <c r="Q482" s="129" t="s">
        <v>3676</v>
      </c>
      <c r="R482" s="163" t="s">
        <v>6317</v>
      </c>
      <c r="S482" s="124">
        <f>VLOOKUP(B482,'[2]CL SAL SHEET'!$A$4:$D$57,4,0)</f>
        <v>29176</v>
      </c>
      <c r="T482" s="144">
        <v>101306459059</v>
      </c>
      <c r="U482" s="145" t="s">
        <v>6318</v>
      </c>
      <c r="V482" s="145" t="s">
        <v>6458</v>
      </c>
      <c r="W482" s="145" t="s">
        <v>6319</v>
      </c>
      <c r="X482" s="145" t="s">
        <v>6346</v>
      </c>
      <c r="Y482" s="149" t="s">
        <v>146</v>
      </c>
      <c r="Z482" s="145" t="s">
        <v>6347</v>
      </c>
      <c r="AA482" s="149" t="s">
        <v>6320</v>
      </c>
      <c r="AB482" s="149" t="s">
        <v>6320</v>
      </c>
      <c r="AC482" s="189" t="s">
        <v>6313</v>
      </c>
      <c r="AD482" s="145"/>
      <c r="AE482" s="145"/>
      <c r="AF482" s="145"/>
      <c r="AG482" s="145"/>
      <c r="AH482" s="145"/>
      <c r="AI482" s="145"/>
      <c r="AJ482" s="127"/>
      <c r="AK482" s="202" t="s">
        <v>6321</v>
      </c>
      <c r="AL482" s="158"/>
      <c r="AM482" s="158"/>
      <c r="AN482" s="4"/>
    </row>
    <row r="483" spans="1:40" ht="28.5">
      <c r="A483" s="137">
        <f>SUBTOTAL(3,$B$3:B483)</f>
        <v>481</v>
      </c>
      <c r="B483" s="190" t="s">
        <v>6348</v>
      </c>
      <c r="C483" s="165" t="s">
        <v>6349</v>
      </c>
      <c r="D483" s="163" t="s">
        <v>6350</v>
      </c>
      <c r="E483" s="129" t="s">
        <v>70</v>
      </c>
      <c r="F483" s="129" t="s">
        <v>4117</v>
      </c>
      <c r="G483" s="129" t="s">
        <v>2345</v>
      </c>
      <c r="H483" s="129" t="s">
        <v>4610</v>
      </c>
      <c r="I483" s="129" t="s">
        <v>40</v>
      </c>
      <c r="J483" s="188">
        <v>36456</v>
      </c>
      <c r="K483" s="129" t="s">
        <v>280</v>
      </c>
      <c r="L483" s="129" t="s">
        <v>42</v>
      </c>
      <c r="M483" s="163" t="s">
        <v>4016</v>
      </c>
      <c r="N483" s="188">
        <v>45082</v>
      </c>
      <c r="O483" s="163" t="s">
        <v>44</v>
      </c>
      <c r="P483" s="129" t="s">
        <v>2347</v>
      </c>
      <c r="Q483" s="129" t="s">
        <v>3676</v>
      </c>
      <c r="R483" s="163" t="s">
        <v>6351</v>
      </c>
      <c r="S483" s="124" t="e">
        <f>VLOOKUP(B483,'[1]SN Salary Sheet'!$A$4:$D$207,4,0)</f>
        <v>#N/A</v>
      </c>
      <c r="T483" s="144">
        <v>101959092171</v>
      </c>
      <c r="U483" s="145" t="s">
        <v>6352</v>
      </c>
      <c r="V483" s="145" t="s">
        <v>6459</v>
      </c>
      <c r="W483" s="145" t="s">
        <v>6353</v>
      </c>
      <c r="X483" s="145" t="s">
        <v>6354</v>
      </c>
      <c r="Y483" s="149" t="s">
        <v>65</v>
      </c>
      <c r="Z483" s="145" t="s">
        <v>6355</v>
      </c>
      <c r="AA483" s="149" t="s">
        <v>6493</v>
      </c>
      <c r="AB483" s="149" t="s">
        <v>6493</v>
      </c>
      <c r="AC483" s="189" t="s">
        <v>6348</v>
      </c>
      <c r="AD483" s="145"/>
      <c r="AE483" s="145"/>
      <c r="AF483" s="145"/>
      <c r="AG483" s="145"/>
      <c r="AH483" s="145"/>
      <c r="AI483" s="145"/>
      <c r="AJ483" s="127"/>
      <c r="AK483" s="202" t="s">
        <v>6356</v>
      </c>
      <c r="AL483" s="158"/>
      <c r="AM483" s="158"/>
      <c r="AN483" s="4"/>
    </row>
    <row r="484" spans="1:40" ht="28.5">
      <c r="A484" s="137">
        <f>SUBTOTAL(3,$B$3:B484)</f>
        <v>482</v>
      </c>
      <c r="B484" s="190" t="s">
        <v>6357</v>
      </c>
      <c r="C484" s="165" t="s">
        <v>6358</v>
      </c>
      <c r="D484" s="163" t="s">
        <v>6358</v>
      </c>
      <c r="E484" s="129" t="s">
        <v>3336</v>
      </c>
      <c r="F484" s="129" t="s">
        <v>6359</v>
      </c>
      <c r="G484" s="129" t="s">
        <v>2389</v>
      </c>
      <c r="H484" s="129" t="s">
        <v>6360</v>
      </c>
      <c r="I484" s="129" t="s">
        <v>40</v>
      </c>
      <c r="J484" s="188">
        <v>36334</v>
      </c>
      <c r="K484" s="129" t="s">
        <v>280</v>
      </c>
      <c r="L484" s="129" t="s">
        <v>42</v>
      </c>
      <c r="M484" s="163" t="s">
        <v>4016</v>
      </c>
      <c r="N484" s="188">
        <v>45082</v>
      </c>
      <c r="O484" s="163" t="s">
        <v>44</v>
      </c>
      <c r="P484" s="129" t="s">
        <v>2347</v>
      </c>
      <c r="Q484" s="129" t="s">
        <v>3676</v>
      </c>
      <c r="R484" s="163" t="s">
        <v>6361</v>
      </c>
      <c r="S484" s="124" t="e">
        <f>VLOOKUP(B484,'[1]SN Salary Sheet'!$A$4:$D$207,4,0)</f>
        <v>#N/A</v>
      </c>
      <c r="T484" s="144">
        <v>101959092205</v>
      </c>
      <c r="U484" s="145" t="s">
        <v>6362</v>
      </c>
      <c r="V484" s="129">
        <v>3714923125</v>
      </c>
      <c r="W484" s="145" t="s">
        <v>6363</v>
      </c>
      <c r="X484" s="145" t="s">
        <v>6364</v>
      </c>
      <c r="Y484" s="149" t="s">
        <v>65</v>
      </c>
      <c r="Z484" s="145" t="s">
        <v>6355</v>
      </c>
      <c r="AA484" s="149" t="s">
        <v>6365</v>
      </c>
      <c r="AB484" s="149" t="s">
        <v>6365</v>
      </c>
      <c r="AC484" s="189" t="s">
        <v>6357</v>
      </c>
      <c r="AD484" s="145"/>
      <c r="AE484" s="145"/>
      <c r="AF484" s="145"/>
      <c r="AG484" s="145"/>
      <c r="AH484" s="145"/>
      <c r="AI484" s="145"/>
      <c r="AJ484" s="127"/>
      <c r="AK484" s="202" t="s">
        <v>6366</v>
      </c>
      <c r="AL484" s="158"/>
      <c r="AM484" s="158"/>
      <c r="AN484" s="4"/>
    </row>
    <row r="485" spans="1:40" ht="42.75">
      <c r="A485" s="205">
        <f>SUBTOTAL(3,$B$3:B485)</f>
        <v>483</v>
      </c>
      <c r="B485" s="121" t="s">
        <v>6367</v>
      </c>
      <c r="C485" s="165" t="s">
        <v>6399</v>
      </c>
      <c r="D485" s="163" t="s">
        <v>6400</v>
      </c>
      <c r="E485" s="129" t="s">
        <v>544</v>
      </c>
      <c r="F485" s="129" t="s">
        <v>6401</v>
      </c>
      <c r="G485" s="129" t="s">
        <v>2389</v>
      </c>
      <c r="H485" s="129" t="s">
        <v>4396</v>
      </c>
      <c r="I485" s="129" t="s">
        <v>40</v>
      </c>
      <c r="J485" s="188">
        <v>36831</v>
      </c>
      <c r="K485" s="129" t="s">
        <v>41</v>
      </c>
      <c r="L485" s="129" t="s">
        <v>42</v>
      </c>
      <c r="M485" s="163" t="s">
        <v>1104</v>
      </c>
      <c r="N485" s="188">
        <v>45083</v>
      </c>
      <c r="O485" s="163" t="s">
        <v>2991</v>
      </c>
      <c r="P485" s="129" t="s">
        <v>2347</v>
      </c>
      <c r="Q485" s="129" t="s">
        <v>3676</v>
      </c>
      <c r="R485" s="163" t="s">
        <v>6402</v>
      </c>
      <c r="S485" s="124">
        <f>VLOOKUP(B485,'[3]NCL SAL. SHEET'!$A$4:$D$126,4,0)</f>
        <v>29289</v>
      </c>
      <c r="T485" s="144">
        <v>101959092192</v>
      </c>
      <c r="U485" s="145" t="s">
        <v>6403</v>
      </c>
      <c r="V485" s="129">
        <v>3714923142</v>
      </c>
      <c r="W485" s="145" t="s">
        <v>6404</v>
      </c>
      <c r="X485" s="145" t="s">
        <v>6405</v>
      </c>
      <c r="Y485" s="149" t="s">
        <v>105</v>
      </c>
      <c r="Z485" s="145" t="s">
        <v>6406</v>
      </c>
      <c r="AA485" s="149" t="s">
        <v>6407</v>
      </c>
      <c r="AB485" s="149" t="s">
        <v>6407</v>
      </c>
      <c r="AC485" s="189" t="s">
        <v>6367</v>
      </c>
      <c r="AD485" s="145"/>
      <c r="AE485" s="145"/>
      <c r="AF485" s="145"/>
      <c r="AG485" s="145"/>
      <c r="AH485" s="145"/>
      <c r="AI485" s="145"/>
      <c r="AJ485" s="127"/>
      <c r="AK485" s="224" t="s">
        <v>6408</v>
      </c>
      <c r="AL485" s="225"/>
      <c r="AM485" s="225"/>
      <c r="AN485" s="4"/>
    </row>
    <row r="486" spans="1:40" ht="42.75">
      <c r="A486" s="137">
        <f>SUBTOTAL(3,$B$3:B486)</f>
        <v>484</v>
      </c>
      <c r="B486" s="121" t="s">
        <v>6368</v>
      </c>
      <c r="C486" s="165" t="s">
        <v>6369</v>
      </c>
      <c r="D486" s="163" t="s">
        <v>6369</v>
      </c>
      <c r="E486" s="129" t="s">
        <v>1378</v>
      </c>
      <c r="F486" s="129" t="s">
        <v>1065</v>
      </c>
      <c r="G486" s="129" t="s">
        <v>2345</v>
      </c>
      <c r="H486" s="129" t="s">
        <v>6370</v>
      </c>
      <c r="I486" s="129" t="s">
        <v>40</v>
      </c>
      <c r="J486" s="188">
        <v>37152</v>
      </c>
      <c r="K486" s="129" t="s">
        <v>41</v>
      </c>
      <c r="L486" s="129" t="s">
        <v>42</v>
      </c>
      <c r="M486" s="163" t="s">
        <v>6371</v>
      </c>
      <c r="N486" s="188">
        <v>45084</v>
      </c>
      <c r="O486" s="163" t="s">
        <v>2621</v>
      </c>
      <c r="P486" s="129" t="s">
        <v>2347</v>
      </c>
      <c r="Q486" s="129" t="s">
        <v>3676</v>
      </c>
      <c r="R486" s="163">
        <v>9328995380</v>
      </c>
      <c r="S486" s="124">
        <f>VLOOKUP(B486,'[2]CL SAL SHEET'!$A$4:$D$57,4,0)</f>
        <v>29288</v>
      </c>
      <c r="T486" s="144">
        <v>101959092185</v>
      </c>
      <c r="U486" s="145" t="s">
        <v>6372</v>
      </c>
      <c r="V486" s="129">
        <v>3714923157</v>
      </c>
      <c r="W486" s="145" t="s">
        <v>6374</v>
      </c>
      <c r="X486" s="145" t="s">
        <v>6375</v>
      </c>
      <c r="Y486" s="149" t="s">
        <v>146</v>
      </c>
      <c r="Z486" s="145" t="s">
        <v>460</v>
      </c>
      <c r="AA486" s="149" t="s">
        <v>6376</v>
      </c>
      <c r="AB486" s="149" t="s">
        <v>6376</v>
      </c>
      <c r="AC486" s="189" t="s">
        <v>6368</v>
      </c>
      <c r="AD486" s="145"/>
      <c r="AE486" s="145"/>
      <c r="AF486" s="145"/>
      <c r="AG486" s="145"/>
      <c r="AH486" s="145"/>
      <c r="AI486" s="145"/>
      <c r="AJ486" s="127"/>
      <c r="AK486" s="202" t="s">
        <v>6377</v>
      </c>
      <c r="AL486" s="158"/>
      <c r="AM486" s="158"/>
      <c r="AN486" s="4"/>
    </row>
    <row r="487" spans="1:40" ht="28.5">
      <c r="A487" s="137">
        <f>SUBTOTAL(3,$B$3:B487)</f>
        <v>485</v>
      </c>
      <c r="B487" s="190" t="s">
        <v>6378</v>
      </c>
      <c r="C487" s="165" t="s">
        <v>6379</v>
      </c>
      <c r="D487" s="163" t="s">
        <v>6379</v>
      </c>
      <c r="E487" s="129" t="s">
        <v>263</v>
      </c>
      <c r="F487" s="129" t="s">
        <v>6380</v>
      </c>
      <c r="G487" s="129" t="s">
        <v>2345</v>
      </c>
      <c r="H487" s="129" t="s">
        <v>570</v>
      </c>
      <c r="I487" s="129" t="s">
        <v>40</v>
      </c>
      <c r="J487" s="188">
        <v>36543</v>
      </c>
      <c r="K487" s="129" t="s">
        <v>280</v>
      </c>
      <c r="L487" s="129" t="s">
        <v>42</v>
      </c>
      <c r="M487" s="163" t="s">
        <v>4016</v>
      </c>
      <c r="N487" s="188">
        <v>45086</v>
      </c>
      <c r="O487" s="163" t="s">
        <v>44</v>
      </c>
      <c r="P487" s="129" t="s">
        <v>2347</v>
      </c>
      <c r="Q487" s="129" t="s">
        <v>3676</v>
      </c>
      <c r="R487" s="163" t="s">
        <v>6381</v>
      </c>
      <c r="S487" s="124" t="e">
        <f>VLOOKUP(B487,'[1]SN Salary Sheet'!$A$4:$D$207,4,0)</f>
        <v>#N/A</v>
      </c>
      <c r="T487" s="144">
        <v>101706328152</v>
      </c>
      <c r="U487" s="145" t="s">
        <v>6382</v>
      </c>
      <c r="V487" s="129">
        <v>3714923196</v>
      </c>
      <c r="W487" s="145" t="s">
        <v>6383</v>
      </c>
      <c r="X487" s="145" t="s">
        <v>6384</v>
      </c>
      <c r="Y487" s="149" t="s">
        <v>65</v>
      </c>
      <c r="Z487" s="145" t="s">
        <v>6385</v>
      </c>
      <c r="AA487" s="149" t="s">
        <v>6387</v>
      </c>
      <c r="AB487" s="149" t="s">
        <v>6386</v>
      </c>
      <c r="AC487" s="189" t="s">
        <v>6378</v>
      </c>
      <c r="AD487" s="145"/>
      <c r="AE487" s="145"/>
      <c r="AF487" s="145"/>
      <c r="AG487" s="145"/>
      <c r="AH487" s="145"/>
      <c r="AI487" s="145"/>
      <c r="AJ487" s="129"/>
      <c r="AK487" s="158"/>
      <c r="AL487" s="121"/>
      <c r="AM487" s="121"/>
      <c r="AN487" s="4"/>
    </row>
    <row r="488" spans="1:40" ht="42.75">
      <c r="A488" s="137">
        <f>SUBTOTAL(3,$B$3:B488)</f>
        <v>486</v>
      </c>
      <c r="B488" s="121" t="s">
        <v>6388</v>
      </c>
      <c r="C488" s="165" t="s">
        <v>6389</v>
      </c>
      <c r="D488" s="163" t="s">
        <v>6389</v>
      </c>
      <c r="E488" s="129" t="s">
        <v>6390</v>
      </c>
      <c r="F488" s="129" t="s">
        <v>6391</v>
      </c>
      <c r="G488" s="129" t="s">
        <v>2345</v>
      </c>
      <c r="H488" s="129" t="s">
        <v>6392</v>
      </c>
      <c r="I488" s="129" t="s">
        <v>40</v>
      </c>
      <c r="J488" s="188">
        <v>35062</v>
      </c>
      <c r="K488" s="129" t="s">
        <v>41</v>
      </c>
      <c r="L488" s="129" t="s">
        <v>42</v>
      </c>
      <c r="M488" s="163" t="s">
        <v>6393</v>
      </c>
      <c r="N488" s="188">
        <v>45087</v>
      </c>
      <c r="O488" s="163" t="s">
        <v>2621</v>
      </c>
      <c r="P488" s="129" t="s">
        <v>2347</v>
      </c>
      <c r="Q488" s="129" t="s">
        <v>3676</v>
      </c>
      <c r="R488" s="163">
        <v>9725869940</v>
      </c>
      <c r="S488" s="124">
        <f>VLOOKUP(B488,'[2]CL SAL SHEET'!$A$4:$D$57,4,0)</f>
        <v>29286</v>
      </c>
      <c r="T488" s="144">
        <v>101265077908</v>
      </c>
      <c r="U488" s="126" t="s">
        <v>6178</v>
      </c>
      <c r="V488" s="129">
        <v>3714923209</v>
      </c>
      <c r="W488" s="145" t="s">
        <v>6394</v>
      </c>
      <c r="X488" s="145" t="s">
        <v>6395</v>
      </c>
      <c r="Y488" s="149" t="s">
        <v>65</v>
      </c>
      <c r="Z488" s="145" t="s">
        <v>6396</v>
      </c>
      <c r="AA488" s="149" t="s">
        <v>6397</v>
      </c>
      <c r="AB488" s="149" t="s">
        <v>6397</v>
      </c>
      <c r="AC488" s="189" t="s">
        <v>6388</v>
      </c>
      <c r="AD488" s="145"/>
      <c r="AE488" s="145"/>
      <c r="AF488" s="145"/>
      <c r="AG488" s="145"/>
      <c r="AH488" s="145"/>
      <c r="AI488" s="145"/>
      <c r="AJ488" s="129"/>
      <c r="AK488" s="202" t="s">
        <v>6398</v>
      </c>
      <c r="AL488" s="121"/>
      <c r="AM488" s="121"/>
      <c r="AN488" s="4"/>
    </row>
    <row r="489" spans="1:40" ht="42.75">
      <c r="A489" s="137">
        <f>SUBTOTAL(3,$B$3:B489)</f>
        <v>487</v>
      </c>
      <c r="B489" s="190" t="s">
        <v>6411</v>
      </c>
      <c r="C489" s="165" t="s">
        <v>6432</v>
      </c>
      <c r="D489" s="163" t="s">
        <v>6432</v>
      </c>
      <c r="E489" s="129" t="s">
        <v>1308</v>
      </c>
      <c r="F489" s="129" t="s">
        <v>6433</v>
      </c>
      <c r="G489" s="129" t="s">
        <v>2345</v>
      </c>
      <c r="H489" s="129" t="s">
        <v>6434</v>
      </c>
      <c r="I489" s="129" t="s">
        <v>40</v>
      </c>
      <c r="J489" s="188">
        <v>36635</v>
      </c>
      <c r="K489" s="129" t="s">
        <v>41</v>
      </c>
      <c r="L489" s="129" t="s">
        <v>42</v>
      </c>
      <c r="M489" s="163" t="s">
        <v>5812</v>
      </c>
      <c r="N489" s="188">
        <v>45097</v>
      </c>
      <c r="O489" s="163" t="s">
        <v>2291</v>
      </c>
      <c r="P489" s="129" t="s">
        <v>2347</v>
      </c>
      <c r="Q489" s="129" t="s">
        <v>3676</v>
      </c>
      <c r="R489" s="163">
        <v>8238816957</v>
      </c>
      <c r="S489" s="124" t="e">
        <f>VLOOKUP(B489,'[2]CL SAL SHEET'!$A$4:$D$57,4,0)</f>
        <v>#N/A</v>
      </c>
      <c r="T489" s="144">
        <v>101962641445</v>
      </c>
      <c r="U489" s="145" t="s">
        <v>6435</v>
      </c>
      <c r="V489" s="129">
        <v>3714943169</v>
      </c>
      <c r="W489" s="145" t="s">
        <v>6436</v>
      </c>
      <c r="X489" s="145" t="s">
        <v>6437</v>
      </c>
      <c r="Y489" s="149" t="s">
        <v>65</v>
      </c>
      <c r="Z489" s="145" t="s">
        <v>6438</v>
      </c>
      <c r="AA489" s="149" t="s">
        <v>6439</v>
      </c>
      <c r="AB489" s="149" t="s">
        <v>6439</v>
      </c>
      <c r="AC489" s="189" t="s">
        <v>6411</v>
      </c>
      <c r="AD489" s="145"/>
      <c r="AE489" s="145"/>
      <c r="AF489" s="145"/>
      <c r="AG489" s="145"/>
      <c r="AH489" s="145"/>
      <c r="AI489" s="145"/>
      <c r="AJ489" s="129"/>
      <c r="AK489" s="202" t="s">
        <v>6440</v>
      </c>
      <c r="AL489" s="121"/>
      <c r="AM489" s="121"/>
      <c r="AN489" s="4"/>
    </row>
    <row r="490" spans="1:40" ht="28.5">
      <c r="A490" s="137">
        <f>SUBTOTAL(3,$B$3:B490)</f>
        <v>488</v>
      </c>
      <c r="B490" s="190" t="s">
        <v>6412</v>
      </c>
      <c r="C490" s="165" t="s">
        <v>6413</v>
      </c>
      <c r="D490" s="163" t="s">
        <v>6413</v>
      </c>
      <c r="E490" s="129" t="s">
        <v>6414</v>
      </c>
      <c r="F490" s="129" t="s">
        <v>6415</v>
      </c>
      <c r="G490" s="129" t="s">
        <v>2389</v>
      </c>
      <c r="H490" s="129" t="s">
        <v>6416</v>
      </c>
      <c r="I490" s="129" t="s">
        <v>40</v>
      </c>
      <c r="J490" s="188">
        <v>37418</v>
      </c>
      <c r="K490" s="129" t="s">
        <v>41</v>
      </c>
      <c r="L490" s="129" t="s">
        <v>42</v>
      </c>
      <c r="M490" s="163" t="s">
        <v>4016</v>
      </c>
      <c r="N490" s="188">
        <v>45097</v>
      </c>
      <c r="O490" s="163" t="s">
        <v>44</v>
      </c>
      <c r="P490" s="129" t="s">
        <v>2347</v>
      </c>
      <c r="Q490" s="129" t="s">
        <v>3676</v>
      </c>
      <c r="R490" s="163">
        <v>9327095892</v>
      </c>
      <c r="S490" s="124" t="e">
        <f>VLOOKUP(B490,'[1]SN Salary Sheet'!$A$4:$D$207,4,0)</f>
        <v>#N/A</v>
      </c>
      <c r="T490" s="144">
        <v>101952156635</v>
      </c>
      <c r="U490" s="145" t="s">
        <v>6417</v>
      </c>
      <c r="V490" s="129">
        <v>3714943209</v>
      </c>
      <c r="W490" s="145" t="s">
        <v>6418</v>
      </c>
      <c r="X490" s="145" t="s">
        <v>6419</v>
      </c>
      <c r="Y490" s="149" t="s">
        <v>363</v>
      </c>
      <c r="Z490" s="145" t="s">
        <v>6018</v>
      </c>
      <c r="AA490" s="149" t="s">
        <v>6421</v>
      </c>
      <c r="AB490" s="149" t="s">
        <v>6420</v>
      </c>
      <c r="AC490" s="189" t="s">
        <v>6412</v>
      </c>
      <c r="AD490" s="145"/>
      <c r="AE490" s="145"/>
      <c r="AF490" s="145"/>
      <c r="AG490" s="145"/>
      <c r="AH490" s="145"/>
      <c r="AI490" s="145"/>
      <c r="AJ490" s="129"/>
      <c r="AK490" s="202" t="s">
        <v>6422</v>
      </c>
      <c r="AL490" s="121"/>
      <c r="AM490" s="121"/>
      <c r="AN490" s="4"/>
    </row>
    <row r="491" spans="1:40" ht="28.5">
      <c r="A491" s="137">
        <f>SUBTOTAL(3,$B$3:B491)</f>
        <v>489</v>
      </c>
      <c r="B491" s="190" t="s">
        <v>6423</v>
      </c>
      <c r="C491" s="165" t="s">
        <v>6424</v>
      </c>
      <c r="D491" s="163" t="s">
        <v>6424</v>
      </c>
      <c r="E491" s="129" t="s">
        <v>263</v>
      </c>
      <c r="F491" s="129" t="s">
        <v>6425</v>
      </c>
      <c r="G491" s="129" t="s">
        <v>2345</v>
      </c>
      <c r="H491" s="129" t="s">
        <v>381</v>
      </c>
      <c r="I491" s="129" t="s">
        <v>40</v>
      </c>
      <c r="J491" s="188">
        <v>36920</v>
      </c>
      <c r="K491" s="129" t="s">
        <v>41</v>
      </c>
      <c r="L491" s="129" t="s">
        <v>42</v>
      </c>
      <c r="M491" s="163" t="s">
        <v>4016</v>
      </c>
      <c r="N491" s="188">
        <v>45100</v>
      </c>
      <c r="O491" s="163" t="s">
        <v>44</v>
      </c>
      <c r="P491" s="129" t="s">
        <v>2347</v>
      </c>
      <c r="Q491" s="129" t="s">
        <v>3676</v>
      </c>
      <c r="R491" s="163" t="s">
        <v>6426</v>
      </c>
      <c r="S491" s="124" t="e">
        <f>VLOOKUP(B491,'[1]SN Salary Sheet'!$A$4:$D$207,4,0)</f>
        <v>#N/A</v>
      </c>
      <c r="T491" s="144">
        <v>101936008190</v>
      </c>
      <c r="U491" s="145" t="s">
        <v>6427</v>
      </c>
      <c r="V491" s="129">
        <v>3714943253</v>
      </c>
      <c r="W491" s="145" t="s">
        <v>6428</v>
      </c>
      <c r="X491" s="145" t="s">
        <v>6429</v>
      </c>
      <c r="Y491" s="149" t="s">
        <v>65</v>
      </c>
      <c r="Z491" s="145" t="s">
        <v>6430</v>
      </c>
      <c r="AA491" s="149" t="s">
        <v>6431</v>
      </c>
      <c r="AB491" s="149" t="s">
        <v>6431</v>
      </c>
      <c r="AC491" s="189" t="s">
        <v>6423</v>
      </c>
      <c r="AD491" s="145"/>
      <c r="AE491" s="145"/>
      <c r="AF491" s="145"/>
      <c r="AG491" s="145"/>
      <c r="AH491" s="145"/>
      <c r="AI491" s="145"/>
      <c r="AJ491" s="129"/>
      <c r="AK491" s="158"/>
      <c r="AL491" s="121"/>
      <c r="AM491" s="121"/>
      <c r="AN491" s="4"/>
    </row>
    <row r="492" spans="1:40" ht="28.5">
      <c r="A492" s="137">
        <f>SUBTOTAL(3,$B$3:B492)</f>
        <v>490</v>
      </c>
      <c r="B492" s="121" t="s">
        <v>6441</v>
      </c>
      <c r="C492" s="163" t="s">
        <v>6442</v>
      </c>
      <c r="D492" s="163" t="s">
        <v>6443</v>
      </c>
      <c r="E492" s="129" t="s">
        <v>249</v>
      </c>
      <c r="F492" s="129" t="s">
        <v>6444</v>
      </c>
      <c r="G492" s="129" t="s">
        <v>2389</v>
      </c>
      <c r="H492" s="129" t="s">
        <v>2277</v>
      </c>
      <c r="I492" s="129" t="s">
        <v>40</v>
      </c>
      <c r="J492" s="188">
        <v>36280</v>
      </c>
      <c r="K492" s="129" t="s">
        <v>41</v>
      </c>
      <c r="L492" s="129" t="s">
        <v>42</v>
      </c>
      <c r="M492" s="163" t="s">
        <v>4016</v>
      </c>
      <c r="N492" s="188">
        <v>45104</v>
      </c>
      <c r="O492" s="163" t="s">
        <v>44</v>
      </c>
      <c r="P492" s="129" t="s">
        <v>2347</v>
      </c>
      <c r="Q492" s="129" t="s">
        <v>3676</v>
      </c>
      <c r="R492" s="163" t="s">
        <v>6445</v>
      </c>
      <c r="S492" s="124">
        <f>VLOOKUP(B492,'[1]SN Salary Sheet'!$A$4:$D$207,4,0)</f>
        <v>29312</v>
      </c>
      <c r="T492" s="144">
        <v>101716991695</v>
      </c>
      <c r="U492" s="126" t="s">
        <v>6178</v>
      </c>
      <c r="V492" s="129">
        <v>3714943300</v>
      </c>
      <c r="W492" s="145" t="s">
        <v>6446</v>
      </c>
      <c r="X492" s="145"/>
      <c r="Y492" s="149"/>
      <c r="Z492" s="145"/>
      <c r="AA492" s="149" t="s">
        <v>6447</v>
      </c>
      <c r="AB492" s="149" t="s">
        <v>6447</v>
      </c>
      <c r="AC492" s="189" t="s">
        <v>6441</v>
      </c>
      <c r="AD492" s="145"/>
      <c r="AE492" s="145"/>
      <c r="AF492" s="145"/>
      <c r="AG492" s="145"/>
      <c r="AH492" s="145"/>
      <c r="AI492" s="145"/>
      <c r="AJ492" s="129"/>
      <c r="AK492" s="158"/>
      <c r="AL492" s="121"/>
      <c r="AM492" s="121"/>
      <c r="AN492" s="4"/>
    </row>
    <row r="493" spans="1:40" ht="28.5">
      <c r="A493" s="137">
        <f>SUBTOTAL(3,$B$3:B493)</f>
        <v>491</v>
      </c>
      <c r="B493" s="121" t="s">
        <v>6448</v>
      </c>
      <c r="C493" s="165" t="s">
        <v>6449</v>
      </c>
      <c r="D493" s="163" t="s">
        <v>6449</v>
      </c>
      <c r="E493" s="129" t="s">
        <v>6450</v>
      </c>
      <c r="F493" s="129" t="s">
        <v>6451</v>
      </c>
      <c r="G493" s="129" t="s">
        <v>2345</v>
      </c>
      <c r="H493" s="129" t="s">
        <v>1681</v>
      </c>
      <c r="I493" s="129" t="s">
        <v>40</v>
      </c>
      <c r="J493" s="188">
        <v>37237</v>
      </c>
      <c r="K493" s="129" t="s">
        <v>41</v>
      </c>
      <c r="L493" s="129" t="s">
        <v>42</v>
      </c>
      <c r="M493" s="163" t="s">
        <v>6371</v>
      </c>
      <c r="N493" s="188">
        <v>45107</v>
      </c>
      <c r="O493" s="163" t="s">
        <v>2621</v>
      </c>
      <c r="P493" s="129" t="s">
        <v>2347</v>
      </c>
      <c r="Q493" s="129" t="s">
        <v>3676</v>
      </c>
      <c r="R493" s="163">
        <v>6354868486</v>
      </c>
      <c r="S493" s="124">
        <f>VLOOKUP(B493,'[2]CL SAL SHEET'!$A$4:$D$57,4,0)</f>
        <v>29310</v>
      </c>
      <c r="T493" s="144">
        <v>101962641432</v>
      </c>
      <c r="U493" s="126" t="s">
        <v>6178</v>
      </c>
      <c r="V493" s="129">
        <v>3714943334</v>
      </c>
      <c r="W493" s="145" t="s">
        <v>6452</v>
      </c>
      <c r="X493" s="145" t="s">
        <v>6453</v>
      </c>
      <c r="Y493" s="149" t="s">
        <v>65</v>
      </c>
      <c r="Z493" s="145" t="s">
        <v>6454</v>
      </c>
      <c r="AA493" s="149" t="s">
        <v>6455</v>
      </c>
      <c r="AB493" s="149" t="s">
        <v>6455</v>
      </c>
      <c r="AC493" s="189" t="s">
        <v>6448</v>
      </c>
      <c r="AD493" s="145"/>
      <c r="AE493" s="145"/>
      <c r="AF493" s="145"/>
      <c r="AG493" s="145"/>
      <c r="AH493" s="145"/>
      <c r="AI493" s="145"/>
      <c r="AJ493" s="129"/>
      <c r="AK493" s="202" t="s">
        <v>6456</v>
      </c>
      <c r="AL493" s="121"/>
      <c r="AM493" s="121"/>
      <c r="AN493" s="4"/>
    </row>
    <row r="494" spans="1:40" ht="42.75">
      <c r="A494" s="137">
        <f>SUBTOTAL(3,$B$3:B494)</f>
        <v>492</v>
      </c>
      <c r="B494" s="121" t="s">
        <v>6537</v>
      </c>
      <c r="C494" s="165" t="s">
        <v>6538</v>
      </c>
      <c r="D494" s="163" t="s">
        <v>6538</v>
      </c>
      <c r="E494" s="129" t="s">
        <v>6539</v>
      </c>
      <c r="F494" s="129" t="s">
        <v>6540</v>
      </c>
      <c r="G494" s="129" t="s">
        <v>2345</v>
      </c>
      <c r="H494" s="129" t="s">
        <v>6541</v>
      </c>
      <c r="I494" s="129" t="s">
        <v>40</v>
      </c>
      <c r="J494" s="188">
        <v>35791</v>
      </c>
      <c r="K494" s="129" t="s">
        <v>41</v>
      </c>
      <c r="L494" s="129" t="s">
        <v>42</v>
      </c>
      <c r="M494" s="163" t="s">
        <v>4016</v>
      </c>
      <c r="N494" s="188">
        <v>45117</v>
      </c>
      <c r="O494" s="163" t="s">
        <v>44</v>
      </c>
      <c r="P494" s="129" t="s">
        <v>2347</v>
      </c>
      <c r="Q494" s="129" t="s">
        <v>3676</v>
      </c>
      <c r="R494" s="163">
        <v>7069839441</v>
      </c>
      <c r="S494" s="124">
        <f>VLOOKUP(B494,'[1]SN Salary Sheet'!$A$4:$D$207,4,0)</f>
        <v>29360</v>
      </c>
      <c r="T494" s="145" t="s">
        <v>6606</v>
      </c>
      <c r="U494" s="145" t="s">
        <v>6542</v>
      </c>
      <c r="V494" s="151">
        <v>3714963775</v>
      </c>
      <c r="W494" s="145" t="s">
        <v>6543</v>
      </c>
      <c r="X494" s="145" t="s">
        <v>6544</v>
      </c>
      <c r="Y494" s="149" t="s">
        <v>271</v>
      </c>
      <c r="Z494" s="145" t="s">
        <v>1274</v>
      </c>
      <c r="AA494" s="149" t="s">
        <v>6545</v>
      </c>
      <c r="AB494" s="149" t="s">
        <v>6545</v>
      </c>
      <c r="AC494" s="189" t="s">
        <v>6537</v>
      </c>
      <c r="AD494" s="145"/>
      <c r="AE494" s="145"/>
      <c r="AF494" s="145"/>
      <c r="AG494" s="145"/>
      <c r="AH494" s="145"/>
      <c r="AI494" s="145"/>
      <c r="AJ494" s="129"/>
      <c r="AK494" s="202" t="s">
        <v>6546</v>
      </c>
      <c r="AL494" s="121"/>
      <c r="AM494" s="121"/>
      <c r="AN494" s="4"/>
    </row>
    <row r="495" spans="1:40" ht="28.5">
      <c r="A495" s="137">
        <f>SUBTOTAL(3,$B$3:B495)</f>
        <v>493</v>
      </c>
      <c r="B495" s="121" t="s">
        <v>6547</v>
      </c>
      <c r="C495" s="163" t="s">
        <v>6548</v>
      </c>
      <c r="D495" s="163" t="s">
        <v>6548</v>
      </c>
      <c r="E495" s="129" t="s">
        <v>6549</v>
      </c>
      <c r="F495" s="129" t="s">
        <v>6550</v>
      </c>
      <c r="G495" s="129" t="s">
        <v>2345</v>
      </c>
      <c r="H495" s="129" t="s">
        <v>6551</v>
      </c>
      <c r="I495" s="129" t="s">
        <v>40</v>
      </c>
      <c r="J495" s="188">
        <v>36531</v>
      </c>
      <c r="K495" s="129" t="s">
        <v>41</v>
      </c>
      <c r="L495" s="129" t="s">
        <v>42</v>
      </c>
      <c r="M495" s="163" t="s">
        <v>1175</v>
      </c>
      <c r="N495" s="188">
        <v>45119</v>
      </c>
      <c r="O495" s="163" t="s">
        <v>2644</v>
      </c>
      <c r="P495" s="129" t="s">
        <v>2347</v>
      </c>
      <c r="Q495" s="129" t="s">
        <v>3676</v>
      </c>
      <c r="R495" s="163">
        <v>6353873696</v>
      </c>
      <c r="S495" s="124" t="e">
        <f>VLOOKUP(B495,'[2]CL SAL SHEET'!$A$4:$D$57,4,0)</f>
        <v>#N/A</v>
      </c>
      <c r="T495" s="145" t="s">
        <v>6607</v>
      </c>
      <c r="U495" s="126" t="s">
        <v>6178</v>
      </c>
      <c r="V495" s="148">
        <v>3714971548</v>
      </c>
      <c r="W495" s="145" t="s">
        <v>6552</v>
      </c>
      <c r="X495" s="145" t="s">
        <v>6577</v>
      </c>
      <c r="Y495" s="149" t="s">
        <v>6578</v>
      </c>
      <c r="Z495" s="145" t="s">
        <v>6579</v>
      </c>
      <c r="AA495" s="149" t="s">
        <v>6553</v>
      </c>
      <c r="AB495" s="149" t="s">
        <v>6553</v>
      </c>
      <c r="AC495" s="189" t="s">
        <v>6547</v>
      </c>
      <c r="AD495" s="145"/>
      <c r="AE495" s="145"/>
      <c r="AF495" s="145"/>
      <c r="AG495" s="145"/>
      <c r="AH495" s="145"/>
      <c r="AI495" s="145"/>
      <c r="AJ495" s="129"/>
      <c r="AK495" s="158"/>
      <c r="AL495" s="121"/>
      <c r="AM495" s="121"/>
      <c r="AN495" s="4"/>
    </row>
    <row r="496" spans="1:40" ht="42.75">
      <c r="A496" s="137">
        <f>SUBTOTAL(3,$B$3:B496)</f>
        <v>494</v>
      </c>
      <c r="B496" s="121" t="s">
        <v>6554</v>
      </c>
      <c r="C496" s="163" t="s">
        <v>6555</v>
      </c>
      <c r="D496" s="163" t="s">
        <v>6556</v>
      </c>
      <c r="E496" s="129" t="s">
        <v>6557</v>
      </c>
      <c r="F496" s="129" t="s">
        <v>6558</v>
      </c>
      <c r="G496" s="129" t="s">
        <v>2389</v>
      </c>
      <c r="H496" s="129" t="s">
        <v>6559</v>
      </c>
      <c r="I496" s="129" t="s">
        <v>40</v>
      </c>
      <c r="J496" s="188">
        <v>36748</v>
      </c>
      <c r="K496" s="129" t="s">
        <v>41</v>
      </c>
      <c r="L496" s="129" t="s">
        <v>42</v>
      </c>
      <c r="M496" s="163" t="s">
        <v>6560</v>
      </c>
      <c r="N496" s="188">
        <v>45121</v>
      </c>
      <c r="O496" s="163" t="s">
        <v>2193</v>
      </c>
      <c r="P496" s="137" t="s">
        <v>3048</v>
      </c>
      <c r="Q496" s="129" t="s">
        <v>3676</v>
      </c>
      <c r="R496" s="163">
        <v>9099530320</v>
      </c>
      <c r="S496" s="124">
        <f>VLOOKUP(B496,'[3]NCL SAL. SHEET'!$A$4:$D$126,4,0)</f>
        <v>29441</v>
      </c>
      <c r="T496" s="145" t="s">
        <v>6608</v>
      </c>
      <c r="U496" s="145" t="s">
        <v>6561</v>
      </c>
      <c r="V496" s="145" t="s">
        <v>6580</v>
      </c>
      <c r="W496" s="145" t="s">
        <v>6562</v>
      </c>
      <c r="X496" s="145" t="s">
        <v>6563</v>
      </c>
      <c r="Y496" s="149" t="s">
        <v>65</v>
      </c>
      <c r="Z496" s="145" t="s">
        <v>1361</v>
      </c>
      <c r="AA496" s="149" t="s">
        <v>6564</v>
      </c>
      <c r="AB496" s="149" t="s">
        <v>6564</v>
      </c>
      <c r="AC496" s="189" t="s">
        <v>6554</v>
      </c>
      <c r="AD496" s="145"/>
      <c r="AE496" s="145"/>
      <c r="AF496" s="145"/>
      <c r="AG496" s="145"/>
      <c r="AH496" s="145"/>
      <c r="AI496" s="145"/>
      <c r="AJ496" s="129"/>
      <c r="AK496" s="202" t="s">
        <v>6565</v>
      </c>
      <c r="AL496" s="121"/>
      <c r="AM496" s="121"/>
      <c r="AN496" s="4"/>
    </row>
    <row r="497" spans="1:40" ht="42.75">
      <c r="A497" s="137">
        <f>SUBTOTAL(3,$B$3:B497)</f>
        <v>495</v>
      </c>
      <c r="B497" s="121" t="s">
        <v>6566</v>
      </c>
      <c r="C497" s="163" t="s">
        <v>6567</v>
      </c>
      <c r="D497" s="163" t="s">
        <v>6567</v>
      </c>
      <c r="E497" s="129" t="s">
        <v>2322</v>
      </c>
      <c r="F497" s="129" t="s">
        <v>6568</v>
      </c>
      <c r="G497" s="129" t="s">
        <v>2389</v>
      </c>
      <c r="H497" s="129" t="s">
        <v>6569</v>
      </c>
      <c r="I497" s="129" t="s">
        <v>40</v>
      </c>
      <c r="J497" s="188">
        <v>33371</v>
      </c>
      <c r="K497" s="129" t="s">
        <v>280</v>
      </c>
      <c r="L497" s="129" t="s">
        <v>42</v>
      </c>
      <c r="M497" s="163" t="s">
        <v>6570</v>
      </c>
      <c r="N497" s="188">
        <v>45121</v>
      </c>
      <c r="O497" s="163" t="s">
        <v>2111</v>
      </c>
      <c r="P497" s="129" t="s">
        <v>2347</v>
      </c>
      <c r="Q497" s="129" t="s">
        <v>3676</v>
      </c>
      <c r="R497" s="163">
        <v>9723077401</v>
      </c>
      <c r="S497" s="124">
        <f>VLOOKUP(B497,'[3]NCL SAL. SHEET'!$A$4:$D$126,4,0)</f>
        <v>29440</v>
      </c>
      <c r="T497" s="145" t="s">
        <v>6609</v>
      </c>
      <c r="U497" s="145" t="s">
        <v>6571</v>
      </c>
      <c r="V497" s="151">
        <v>3714971621</v>
      </c>
      <c r="W497" s="145" t="s">
        <v>6572</v>
      </c>
      <c r="X497" s="145" t="s">
        <v>6573</v>
      </c>
      <c r="Y497" s="149" t="s">
        <v>146</v>
      </c>
      <c r="Z497" s="145" t="s">
        <v>6574</v>
      </c>
      <c r="AA497" s="149" t="s">
        <v>6575</v>
      </c>
      <c r="AB497" s="149" t="s">
        <v>6575</v>
      </c>
      <c r="AC497" s="189" t="s">
        <v>6566</v>
      </c>
      <c r="AD497" s="145"/>
      <c r="AE497" s="145"/>
      <c r="AF497" s="145"/>
      <c r="AG497" s="145"/>
      <c r="AH497" s="145"/>
      <c r="AI497" s="145"/>
      <c r="AJ497" s="129"/>
      <c r="AK497" s="202" t="s">
        <v>6576</v>
      </c>
      <c r="AL497" s="121"/>
      <c r="AM497" s="121"/>
      <c r="AN497" s="4"/>
    </row>
    <row r="498" spans="1:40" ht="28.5">
      <c r="A498" s="137">
        <f>SUBTOTAL(3,$B$3:B498)</f>
        <v>496</v>
      </c>
      <c r="B498" s="121" t="s">
        <v>6582</v>
      </c>
      <c r="C498" s="163" t="s">
        <v>6583</v>
      </c>
      <c r="D498" s="163" t="s">
        <v>6584</v>
      </c>
      <c r="E498" s="129" t="s">
        <v>754</v>
      </c>
      <c r="F498" s="129" t="s">
        <v>2536</v>
      </c>
      <c r="G498" s="129" t="s">
        <v>2345</v>
      </c>
      <c r="H498" s="129" t="s">
        <v>711</v>
      </c>
      <c r="I498" s="129" t="s">
        <v>40</v>
      </c>
      <c r="J498" s="188">
        <v>35757</v>
      </c>
      <c r="K498" s="129" t="s">
        <v>280</v>
      </c>
      <c r="L498" s="129" t="s">
        <v>42</v>
      </c>
      <c r="M498" s="163" t="s">
        <v>3103</v>
      </c>
      <c r="N498" s="188">
        <v>45132</v>
      </c>
      <c r="O498" s="163" t="s">
        <v>44</v>
      </c>
      <c r="P498" s="129" t="s">
        <v>2347</v>
      </c>
      <c r="Q498" s="129" t="s">
        <v>3676</v>
      </c>
      <c r="R498" s="163" t="s">
        <v>6585</v>
      </c>
      <c r="S498" s="124">
        <f>VLOOKUP(B498,'[1]SN Salary Sheet'!$A$4:$D$207,4,0)</f>
        <v>29443</v>
      </c>
      <c r="T498" s="145" t="s">
        <v>6586</v>
      </c>
      <c r="U498" s="145" t="s">
        <v>6587</v>
      </c>
      <c r="V498" s="145" t="s">
        <v>6588</v>
      </c>
      <c r="W498" s="145" t="s">
        <v>6589</v>
      </c>
      <c r="X498" s="145" t="s">
        <v>6590</v>
      </c>
      <c r="Y498" s="149" t="s">
        <v>65</v>
      </c>
      <c r="Z498" s="145" t="s">
        <v>6591</v>
      </c>
      <c r="AA498" s="149" t="s">
        <v>6592</v>
      </c>
      <c r="AB498" s="149" t="s">
        <v>6592</v>
      </c>
      <c r="AC498" s="189" t="s">
        <v>6582</v>
      </c>
      <c r="AD498" s="145"/>
      <c r="AE498" s="145"/>
      <c r="AF498" s="145"/>
      <c r="AG498" s="145"/>
      <c r="AH498" s="145"/>
      <c r="AI498" s="145"/>
      <c r="AJ498" s="129"/>
      <c r="AK498" s="202" t="s">
        <v>6593</v>
      </c>
      <c r="AL498" s="121"/>
      <c r="AM498" s="121"/>
      <c r="AN498" s="4"/>
    </row>
    <row r="499" spans="1:40" ht="28.5">
      <c r="A499" s="137">
        <f>SUBTOTAL(3,$B$3:B499)</f>
        <v>497</v>
      </c>
      <c r="B499" s="121" t="s">
        <v>6604</v>
      </c>
      <c r="C499" s="163" t="s">
        <v>6595</v>
      </c>
      <c r="D499" s="163" t="s">
        <v>6595</v>
      </c>
      <c r="E499" s="129" t="s">
        <v>754</v>
      </c>
      <c r="F499" s="129" t="s">
        <v>6596</v>
      </c>
      <c r="G499" s="129" t="s">
        <v>2345</v>
      </c>
      <c r="H499" s="129" t="s">
        <v>533</v>
      </c>
      <c r="I499" s="129" t="s">
        <v>40</v>
      </c>
      <c r="J499" s="188">
        <v>37002</v>
      </c>
      <c r="K499" s="129" t="s">
        <v>41</v>
      </c>
      <c r="L499" s="129" t="s">
        <v>42</v>
      </c>
      <c r="M499" s="183" t="s">
        <v>9053</v>
      </c>
      <c r="N499" s="188">
        <v>45139</v>
      </c>
      <c r="O499" s="163" t="s">
        <v>2159</v>
      </c>
      <c r="P499" s="129" t="s">
        <v>2347</v>
      </c>
      <c r="Q499" s="129" t="s">
        <v>3676</v>
      </c>
      <c r="R499" s="163" t="s">
        <v>6597</v>
      </c>
      <c r="S499" s="124">
        <f>VLOOKUP(B499,'[3]NCL SAL. SHEET'!$A$4:$D$126,4,0)</f>
        <v>29439</v>
      </c>
      <c r="T499" s="145" t="s">
        <v>6610</v>
      </c>
      <c r="U499" s="145" t="s">
        <v>6598</v>
      </c>
      <c r="V499" s="151">
        <v>3714995638</v>
      </c>
      <c r="W499" s="145" t="s">
        <v>6599</v>
      </c>
      <c r="X499" s="145" t="s">
        <v>6600</v>
      </c>
      <c r="Y499" s="149" t="s">
        <v>146</v>
      </c>
      <c r="Z499" s="145" t="s">
        <v>6605</v>
      </c>
      <c r="AA499" s="149" t="s">
        <v>6601</v>
      </c>
      <c r="AB499" s="149" t="s">
        <v>6601</v>
      </c>
      <c r="AC499" s="189" t="s">
        <v>6604</v>
      </c>
      <c r="AD499" s="145"/>
      <c r="AE499" s="145"/>
      <c r="AF499" s="145"/>
      <c r="AG499" s="145"/>
      <c r="AH499" s="145"/>
      <c r="AI499" s="145"/>
      <c r="AJ499" s="129"/>
      <c r="AK499" s="202" t="s">
        <v>6602</v>
      </c>
      <c r="AL499" s="121"/>
      <c r="AM499" s="121"/>
      <c r="AN499" s="4"/>
    </row>
    <row r="500" spans="1:40" ht="42.75">
      <c r="A500" s="137">
        <f>SUBTOTAL(3,$B$3:B500)</f>
        <v>498</v>
      </c>
      <c r="B500" s="121" t="s">
        <v>6622</v>
      </c>
      <c r="C500" s="163" t="s">
        <v>6623</v>
      </c>
      <c r="D500" s="163" t="s">
        <v>6623</v>
      </c>
      <c r="E500" s="129" t="s">
        <v>6624</v>
      </c>
      <c r="F500" s="129" t="s">
        <v>6625</v>
      </c>
      <c r="G500" s="129" t="s">
        <v>2345</v>
      </c>
      <c r="H500" s="129" t="s">
        <v>6626</v>
      </c>
      <c r="I500" s="129" t="s">
        <v>40</v>
      </c>
      <c r="J500" s="188">
        <v>36488</v>
      </c>
      <c r="K500" s="129" t="s">
        <v>41</v>
      </c>
      <c r="L500" s="129" t="s">
        <v>42</v>
      </c>
      <c r="M500" s="163" t="s">
        <v>6627</v>
      </c>
      <c r="N500" s="188">
        <v>45145</v>
      </c>
      <c r="O500" s="163" t="s">
        <v>2291</v>
      </c>
      <c r="P500" s="129" t="s">
        <v>2347</v>
      </c>
      <c r="Q500" s="129" t="s">
        <v>3676</v>
      </c>
      <c r="R500" s="163" t="s">
        <v>6628</v>
      </c>
      <c r="S500" s="124">
        <f>VLOOKUP(B500,'[2]CL SAL SHEET'!$A$4:$D$57,4,0)</f>
        <v>29526</v>
      </c>
      <c r="T500" s="145" t="s">
        <v>7196</v>
      </c>
      <c r="U500" s="145" t="s">
        <v>6629</v>
      </c>
      <c r="V500" s="151">
        <v>3715014382</v>
      </c>
      <c r="W500" s="145" t="s">
        <v>6630</v>
      </c>
      <c r="X500" s="145" t="s">
        <v>6631</v>
      </c>
      <c r="Y500" s="149" t="s">
        <v>65</v>
      </c>
      <c r="Z500" s="145" t="s">
        <v>6632</v>
      </c>
      <c r="AA500" s="149" t="s">
        <v>6633</v>
      </c>
      <c r="AB500" s="149" t="s">
        <v>6635</v>
      </c>
      <c r="AC500" s="189" t="s">
        <v>6622</v>
      </c>
      <c r="AD500" s="145"/>
      <c r="AE500" s="145"/>
      <c r="AF500" s="145"/>
      <c r="AG500" s="145"/>
      <c r="AH500" s="145"/>
      <c r="AI500" s="145"/>
      <c r="AJ500" s="129"/>
      <c r="AK500" s="202" t="s">
        <v>6634</v>
      </c>
      <c r="AL500" s="121"/>
      <c r="AM500" s="121"/>
      <c r="AN500" s="4"/>
    </row>
    <row r="501" spans="1:40" ht="28.5">
      <c r="A501" s="137">
        <f>SUBTOTAL(3,$B$3:B501)</f>
        <v>499</v>
      </c>
      <c r="B501" s="121" t="s">
        <v>6636</v>
      </c>
      <c r="C501" s="163" t="s">
        <v>6637</v>
      </c>
      <c r="D501" s="163" t="s">
        <v>6637</v>
      </c>
      <c r="E501" s="129" t="s">
        <v>110</v>
      </c>
      <c r="F501" s="129" t="s">
        <v>6638</v>
      </c>
      <c r="G501" s="129" t="s">
        <v>2345</v>
      </c>
      <c r="H501" s="129" t="s">
        <v>6639</v>
      </c>
      <c r="I501" s="129" t="s">
        <v>40</v>
      </c>
      <c r="J501" s="188">
        <v>37113</v>
      </c>
      <c r="K501" s="129" t="s">
        <v>41</v>
      </c>
      <c r="L501" s="129" t="s">
        <v>42</v>
      </c>
      <c r="M501" s="163" t="s">
        <v>4016</v>
      </c>
      <c r="N501" s="188">
        <v>45153</v>
      </c>
      <c r="O501" s="163" t="s">
        <v>44</v>
      </c>
      <c r="P501" s="129" t="s">
        <v>2347</v>
      </c>
      <c r="Q501" s="129" t="s">
        <v>3676</v>
      </c>
      <c r="R501" s="163">
        <v>9327660916</v>
      </c>
      <c r="S501" s="124">
        <f>VLOOKUP(B501,'[1]SN Salary Sheet'!$A$4:$D$207,4,0)</f>
        <v>29528</v>
      </c>
      <c r="T501" s="145" t="s">
        <v>7199</v>
      </c>
      <c r="U501" s="145" t="s">
        <v>6640</v>
      </c>
      <c r="V501" s="151">
        <v>3715025695</v>
      </c>
      <c r="W501" s="145" t="s">
        <v>6641</v>
      </c>
      <c r="X501" s="145" t="s">
        <v>6642</v>
      </c>
      <c r="Y501" s="149" t="s">
        <v>65</v>
      </c>
      <c r="Z501" s="145" t="s">
        <v>6643</v>
      </c>
      <c r="AA501" s="149" t="s">
        <v>6644</v>
      </c>
      <c r="AB501" s="149" t="s">
        <v>6644</v>
      </c>
      <c r="AC501" s="189" t="s">
        <v>6636</v>
      </c>
      <c r="AD501" s="145"/>
      <c r="AE501" s="145"/>
      <c r="AF501" s="145"/>
      <c r="AG501" s="145"/>
      <c r="AH501" s="145"/>
      <c r="AI501" s="145"/>
      <c r="AJ501" s="129"/>
      <c r="AK501" s="202" t="s">
        <v>6645</v>
      </c>
      <c r="AL501" s="121"/>
      <c r="AM501" s="121"/>
    </row>
    <row r="502" spans="1:40" ht="28.5">
      <c r="A502" s="137">
        <f>SUBTOTAL(3,$B$3:B502)</f>
        <v>500</v>
      </c>
      <c r="B502" s="121" t="s">
        <v>6646</v>
      </c>
      <c r="C502" s="163" t="s">
        <v>6647</v>
      </c>
      <c r="D502" s="163" t="s">
        <v>6647</v>
      </c>
      <c r="E502" s="129" t="s">
        <v>3365</v>
      </c>
      <c r="F502" s="129" t="s">
        <v>6648</v>
      </c>
      <c r="G502" s="129" t="s">
        <v>2345</v>
      </c>
      <c r="H502" s="129" t="s">
        <v>570</v>
      </c>
      <c r="I502" s="129" t="s">
        <v>40</v>
      </c>
      <c r="J502" s="188">
        <v>37047</v>
      </c>
      <c r="K502" s="129" t="s">
        <v>41</v>
      </c>
      <c r="L502" s="129" t="s">
        <v>42</v>
      </c>
      <c r="M502" s="163" t="s">
        <v>3103</v>
      </c>
      <c r="N502" s="188">
        <v>45161</v>
      </c>
      <c r="O502" s="163" t="s">
        <v>44</v>
      </c>
      <c r="P502" s="129" t="s">
        <v>2347</v>
      </c>
      <c r="Q502" s="129" t="s">
        <v>3676</v>
      </c>
      <c r="R502" s="163" t="s">
        <v>6649</v>
      </c>
      <c r="S502" s="124">
        <f>VLOOKUP(B502,'[1]SN Salary Sheet'!$A$4:$D$207,4,0)</f>
        <v>29530</v>
      </c>
      <c r="T502" s="145" t="s">
        <v>7200</v>
      </c>
      <c r="U502" s="145" t="s">
        <v>6650</v>
      </c>
      <c r="V502" s="151">
        <v>3715033535</v>
      </c>
      <c r="W502" s="145" t="s">
        <v>6651</v>
      </c>
      <c r="X502" s="145" t="s">
        <v>6654</v>
      </c>
      <c r="Y502" s="149" t="s">
        <v>487</v>
      </c>
      <c r="Z502" s="145" t="s">
        <v>3473</v>
      </c>
      <c r="AA502" s="149" t="s">
        <v>6652</v>
      </c>
      <c r="AB502" s="149" t="s">
        <v>6652</v>
      </c>
      <c r="AC502" s="189" t="s">
        <v>6646</v>
      </c>
      <c r="AD502" s="145"/>
      <c r="AE502" s="145"/>
      <c r="AF502" s="145"/>
      <c r="AG502" s="145"/>
      <c r="AH502" s="145"/>
      <c r="AI502" s="145"/>
      <c r="AJ502" s="129"/>
      <c r="AK502" s="202" t="s">
        <v>6653</v>
      </c>
      <c r="AL502" s="121"/>
      <c r="AM502" s="121"/>
      <c r="AN502" s="108"/>
    </row>
    <row r="503" spans="1:40" ht="28.5">
      <c r="A503" s="137">
        <f>SUBTOTAL(3,$B$3:B503)</f>
        <v>501</v>
      </c>
      <c r="B503" s="121" t="s">
        <v>6655</v>
      </c>
      <c r="C503" s="163" t="s">
        <v>6656</v>
      </c>
      <c r="D503" s="163" t="s">
        <v>6656</v>
      </c>
      <c r="E503" s="129" t="s">
        <v>212</v>
      </c>
      <c r="F503" s="129" t="s">
        <v>6657</v>
      </c>
      <c r="G503" s="129" t="s">
        <v>2345</v>
      </c>
      <c r="H503" s="129" t="s">
        <v>711</v>
      </c>
      <c r="I503" s="129" t="s">
        <v>40</v>
      </c>
      <c r="J503" s="188">
        <v>36925</v>
      </c>
      <c r="K503" s="129" t="s">
        <v>41</v>
      </c>
      <c r="L503" s="129" t="s">
        <v>42</v>
      </c>
      <c r="M503" s="163" t="s">
        <v>5597</v>
      </c>
      <c r="N503" s="188">
        <v>45166</v>
      </c>
      <c r="O503" s="163" t="s">
        <v>2981</v>
      </c>
      <c r="P503" s="129" t="s">
        <v>2347</v>
      </c>
      <c r="Q503" s="129" t="s">
        <v>3676</v>
      </c>
      <c r="R503" s="163">
        <v>8799696956</v>
      </c>
      <c r="S503" s="124">
        <f>VLOOKUP(B503,'[2]CL SAL SHEET'!$A$4:$D$57,4,0)</f>
        <v>29527</v>
      </c>
      <c r="T503" s="145" t="s">
        <v>7197</v>
      </c>
      <c r="U503" s="126" t="s">
        <v>6178</v>
      </c>
      <c r="V503" s="151">
        <v>3715040262</v>
      </c>
      <c r="W503" s="145" t="s">
        <v>6658</v>
      </c>
      <c r="X503" s="145" t="s">
        <v>6659</v>
      </c>
      <c r="Y503" s="149" t="s">
        <v>146</v>
      </c>
      <c r="Z503" s="145" t="s">
        <v>6660</v>
      </c>
      <c r="AA503" s="149" t="s">
        <v>6190</v>
      </c>
      <c r="AB503" s="149" t="s">
        <v>6661</v>
      </c>
      <c r="AC503" s="189" t="s">
        <v>6655</v>
      </c>
      <c r="AD503" s="145"/>
      <c r="AE503" s="145"/>
      <c r="AF503" s="145"/>
      <c r="AG503" s="145"/>
      <c r="AH503" s="145"/>
      <c r="AI503" s="145"/>
      <c r="AJ503" s="129"/>
      <c r="AK503" s="202" t="s">
        <v>6662</v>
      </c>
      <c r="AL503" s="121"/>
      <c r="AM503" s="121"/>
    </row>
    <row r="504" spans="1:40" ht="28.5">
      <c r="A504" s="137">
        <f>SUBTOTAL(3,$B$3:B504)</f>
        <v>502</v>
      </c>
      <c r="B504" s="121" t="s">
        <v>6663</v>
      </c>
      <c r="C504" s="163" t="s">
        <v>6664</v>
      </c>
      <c r="D504" s="163" t="s">
        <v>6665</v>
      </c>
      <c r="E504" s="129" t="s">
        <v>415</v>
      </c>
      <c r="F504" s="129" t="s">
        <v>6666</v>
      </c>
      <c r="G504" s="129" t="s">
        <v>2345</v>
      </c>
      <c r="H504" s="129" t="s">
        <v>138</v>
      </c>
      <c r="I504" s="129" t="s">
        <v>40</v>
      </c>
      <c r="J504" s="188">
        <v>36731</v>
      </c>
      <c r="K504" s="129" t="s">
        <v>41</v>
      </c>
      <c r="L504" s="129" t="s">
        <v>42</v>
      </c>
      <c r="M504" s="163" t="s">
        <v>4016</v>
      </c>
      <c r="N504" s="188">
        <v>45167</v>
      </c>
      <c r="O504" s="163" t="s">
        <v>44</v>
      </c>
      <c r="P504" s="129" t="s">
        <v>2347</v>
      </c>
      <c r="Q504" s="129" t="s">
        <v>3676</v>
      </c>
      <c r="R504" s="163">
        <v>7622946547</v>
      </c>
      <c r="S504" s="124">
        <f>VLOOKUP(B504,'[1]SN Salary Sheet'!$A$4:$D$207,4,0)</f>
        <v>29529</v>
      </c>
      <c r="T504" s="143">
        <f>VLOOKUP(B504,'[1]SN Salary Sheet'!$A$4:$D$207,2,0)</f>
        <v>101806827123</v>
      </c>
      <c r="U504" s="126" t="s">
        <v>6667</v>
      </c>
      <c r="V504" s="151">
        <v>3715040338</v>
      </c>
      <c r="W504" s="145" t="s">
        <v>6668</v>
      </c>
      <c r="X504" s="145" t="s">
        <v>6669</v>
      </c>
      <c r="Y504" s="149" t="s">
        <v>65</v>
      </c>
      <c r="Z504" s="145" t="s">
        <v>1361</v>
      </c>
      <c r="AA504" s="149" t="s">
        <v>6670</v>
      </c>
      <c r="AB504" s="149" t="s">
        <v>6670</v>
      </c>
      <c r="AC504" s="189" t="s">
        <v>6663</v>
      </c>
      <c r="AD504" s="145"/>
      <c r="AE504" s="145"/>
      <c r="AF504" s="145"/>
      <c r="AG504" s="145"/>
      <c r="AH504" s="145"/>
      <c r="AI504" s="145"/>
      <c r="AJ504" s="129"/>
      <c r="AK504" s="202" t="s">
        <v>6671</v>
      </c>
      <c r="AL504" s="121"/>
      <c r="AM504" s="121"/>
    </row>
    <row r="505" spans="1:40" ht="28.5">
      <c r="A505" s="137">
        <f>SUBTOTAL(3,$B$3:B505)</f>
        <v>503</v>
      </c>
      <c r="B505" s="121" t="s">
        <v>6672</v>
      </c>
      <c r="C505" s="163" t="s">
        <v>6673</v>
      </c>
      <c r="D505" s="163" t="s">
        <v>6674</v>
      </c>
      <c r="E505" s="129" t="s">
        <v>6675</v>
      </c>
      <c r="F505" s="129" t="s">
        <v>6676</v>
      </c>
      <c r="G505" s="129" t="s">
        <v>2345</v>
      </c>
      <c r="H505" s="129" t="s">
        <v>861</v>
      </c>
      <c r="I505" s="129" t="s">
        <v>40</v>
      </c>
      <c r="J505" s="188">
        <v>36718</v>
      </c>
      <c r="K505" s="129" t="s">
        <v>41</v>
      </c>
      <c r="L505" s="129" t="s">
        <v>42</v>
      </c>
      <c r="M505" s="163" t="s">
        <v>4016</v>
      </c>
      <c r="N505" s="188">
        <v>45167</v>
      </c>
      <c r="O505" s="163" t="s">
        <v>44</v>
      </c>
      <c r="P505" s="129" t="s">
        <v>2347</v>
      </c>
      <c r="Q505" s="129" t="s">
        <v>3676</v>
      </c>
      <c r="R505" s="163" t="s">
        <v>6677</v>
      </c>
      <c r="S505" s="124">
        <f>VLOOKUP(B505,'[1]SN Salary Sheet'!$A$4:$D$207,4,0)</f>
        <v>29591</v>
      </c>
      <c r="T505" s="143">
        <f>VLOOKUP(B505,'[1]SN Salary Sheet'!$A$4:$D$207,2,0)</f>
        <v>101994020045</v>
      </c>
      <c r="U505" s="126" t="s">
        <v>6678</v>
      </c>
      <c r="V505" s="151">
        <v>3715040287</v>
      </c>
      <c r="W505" s="145" t="s">
        <v>6679</v>
      </c>
      <c r="X505" s="145" t="s">
        <v>6680</v>
      </c>
      <c r="Y505" s="149" t="s">
        <v>65</v>
      </c>
      <c r="Z505" s="145" t="s">
        <v>5015</v>
      </c>
      <c r="AA505" s="149" t="s">
        <v>6681</v>
      </c>
      <c r="AB505" s="149" t="s">
        <v>6681</v>
      </c>
      <c r="AC505" s="189" t="s">
        <v>6672</v>
      </c>
      <c r="AD505" s="145"/>
      <c r="AE505" s="145"/>
      <c r="AF505" s="145"/>
      <c r="AG505" s="145"/>
      <c r="AH505" s="145"/>
      <c r="AI505" s="145"/>
      <c r="AJ505" s="129"/>
      <c r="AK505" s="202" t="s">
        <v>6682</v>
      </c>
      <c r="AL505" s="121"/>
      <c r="AM505" s="121"/>
    </row>
    <row r="506" spans="1:40" ht="28.5">
      <c r="A506" s="137">
        <f>SUBTOTAL(3,$B$3:B506)</f>
        <v>504</v>
      </c>
      <c r="B506" s="121" t="s">
        <v>6692</v>
      </c>
      <c r="C506" s="163" t="s">
        <v>6694</v>
      </c>
      <c r="D506" s="163" t="s">
        <v>6694</v>
      </c>
      <c r="E506" s="129" t="s">
        <v>6695</v>
      </c>
      <c r="F506" s="129" t="s">
        <v>888</v>
      </c>
      <c r="G506" s="129" t="s">
        <v>2389</v>
      </c>
      <c r="H506" s="129" t="s">
        <v>6696</v>
      </c>
      <c r="I506" s="129" t="s">
        <v>40</v>
      </c>
      <c r="J506" s="188">
        <v>36517</v>
      </c>
      <c r="K506" s="129" t="s">
        <v>41</v>
      </c>
      <c r="L506" s="129" t="s">
        <v>42</v>
      </c>
      <c r="M506" s="163" t="s">
        <v>4016</v>
      </c>
      <c r="N506" s="188">
        <v>45174</v>
      </c>
      <c r="O506" s="163" t="s">
        <v>44</v>
      </c>
      <c r="P506" s="129" t="s">
        <v>2347</v>
      </c>
      <c r="Q506" s="129" t="s">
        <v>3676</v>
      </c>
      <c r="R506" s="163">
        <v>6354289161</v>
      </c>
      <c r="S506" s="124" t="e">
        <f>VLOOKUP(B506,'[1]SN Salary Sheet'!$A$4:$D$207,4,0)</f>
        <v>#N/A</v>
      </c>
      <c r="T506" s="143" t="e">
        <f>VLOOKUP(B506,'[1]SN Salary Sheet'!$A$4:$D$207,2,0)</f>
        <v>#N/A</v>
      </c>
      <c r="U506" s="126" t="s">
        <v>6697</v>
      </c>
      <c r="V506" s="151">
        <v>3715054026</v>
      </c>
      <c r="W506" s="145" t="s">
        <v>6698</v>
      </c>
      <c r="X506" s="145" t="s">
        <v>6699</v>
      </c>
      <c r="Y506" s="149" t="s">
        <v>65</v>
      </c>
      <c r="Z506" s="145" t="s">
        <v>4448</v>
      </c>
      <c r="AA506" s="149" t="s">
        <v>6701</v>
      </c>
      <c r="AB506" s="149" t="s">
        <v>6700</v>
      </c>
      <c r="AC506" s="189" t="s">
        <v>6692</v>
      </c>
      <c r="AD506" s="145"/>
      <c r="AE506" s="145"/>
      <c r="AF506" s="145"/>
      <c r="AG506" s="145"/>
      <c r="AH506" s="145"/>
      <c r="AI506" s="145"/>
      <c r="AJ506" s="129"/>
      <c r="AK506" s="202" t="s">
        <v>6702</v>
      </c>
      <c r="AL506" s="121"/>
      <c r="AM506" s="121"/>
    </row>
    <row r="507" spans="1:40" ht="28.5">
      <c r="A507" s="137">
        <f>SUBTOTAL(3,$B$3:B507)</f>
        <v>505</v>
      </c>
      <c r="B507" s="121" t="s">
        <v>6693</v>
      </c>
      <c r="C507" s="163" t="s">
        <v>6704</v>
      </c>
      <c r="D507" s="163" t="s">
        <v>6703</v>
      </c>
      <c r="E507" s="129" t="s">
        <v>3416</v>
      </c>
      <c r="F507" s="129" t="s">
        <v>888</v>
      </c>
      <c r="G507" s="129" t="s">
        <v>2389</v>
      </c>
      <c r="H507" s="129" t="s">
        <v>6705</v>
      </c>
      <c r="I507" s="129" t="s">
        <v>40</v>
      </c>
      <c r="J507" s="188">
        <v>37043</v>
      </c>
      <c r="K507" s="129" t="s">
        <v>41</v>
      </c>
      <c r="L507" s="129" t="s">
        <v>42</v>
      </c>
      <c r="M507" s="163" t="s">
        <v>4016</v>
      </c>
      <c r="N507" s="188">
        <v>45174</v>
      </c>
      <c r="O507" s="163" t="s">
        <v>44</v>
      </c>
      <c r="P507" s="129" t="s">
        <v>2347</v>
      </c>
      <c r="Q507" s="129" t="s">
        <v>3676</v>
      </c>
      <c r="R507" s="163" t="s">
        <v>6706</v>
      </c>
      <c r="S507" s="124">
        <f>VLOOKUP(B507,'[1]SN Salary Sheet'!$A$4:$D$207,4,0)</f>
        <v>29617</v>
      </c>
      <c r="T507" s="143">
        <f>VLOOKUP(B507,'[1]SN Salary Sheet'!$A$4:$D$207,2,0)</f>
        <v>101996246401</v>
      </c>
      <c r="U507" s="126" t="s">
        <v>6707</v>
      </c>
      <c r="V507" s="151">
        <v>3715054042</v>
      </c>
      <c r="W507" s="145" t="s">
        <v>6708</v>
      </c>
      <c r="X507" s="145" t="s">
        <v>6709</v>
      </c>
      <c r="Y507" s="149" t="s">
        <v>619</v>
      </c>
      <c r="Z507" s="145" t="s">
        <v>6710</v>
      </c>
      <c r="AA507" s="149" t="s">
        <v>6701</v>
      </c>
      <c r="AB507" s="149" t="s">
        <v>6711</v>
      </c>
      <c r="AC507" s="189" t="s">
        <v>6693</v>
      </c>
      <c r="AD507" s="145"/>
      <c r="AE507" s="145"/>
      <c r="AF507" s="145"/>
      <c r="AG507" s="145"/>
      <c r="AH507" s="145"/>
      <c r="AI507" s="145"/>
      <c r="AJ507" s="129"/>
      <c r="AK507" s="202" t="s">
        <v>6712</v>
      </c>
      <c r="AL507" s="121"/>
      <c r="AM507" s="121"/>
    </row>
    <row r="508" spans="1:40" ht="42.75">
      <c r="A508" s="137">
        <f>SUBTOTAL(3,$B$3:B508)</f>
        <v>506</v>
      </c>
      <c r="B508" s="190" t="s">
        <v>6740</v>
      </c>
      <c r="C508" s="163" t="s">
        <v>6741</v>
      </c>
      <c r="D508" s="163" t="s">
        <v>6741</v>
      </c>
      <c r="E508" s="129" t="s">
        <v>263</v>
      </c>
      <c r="F508" s="129" t="s">
        <v>6742</v>
      </c>
      <c r="G508" s="129" t="s">
        <v>2345</v>
      </c>
      <c r="H508" s="129" t="s">
        <v>2026</v>
      </c>
      <c r="I508" s="129" t="s">
        <v>702</v>
      </c>
      <c r="J508" s="188">
        <v>36460</v>
      </c>
      <c r="K508" s="129" t="s">
        <v>280</v>
      </c>
      <c r="L508" s="129" t="s">
        <v>42</v>
      </c>
      <c r="M508" s="163" t="s">
        <v>4016</v>
      </c>
      <c r="N508" s="188">
        <v>45175</v>
      </c>
      <c r="O508" s="163" t="s">
        <v>44</v>
      </c>
      <c r="P508" s="129" t="s">
        <v>2347</v>
      </c>
      <c r="Q508" s="129" t="s">
        <v>3676</v>
      </c>
      <c r="R508" s="163" t="s">
        <v>6743</v>
      </c>
      <c r="S508" s="124" t="e">
        <f>VLOOKUP(B508,'[1]SN Salary Sheet'!$A$4:$D$207,4,0)</f>
        <v>#N/A</v>
      </c>
      <c r="T508" s="143" t="e">
        <f>VLOOKUP(B508,'[1]SN Salary Sheet'!$A$4:$D$207,2,0)</f>
        <v>#N/A</v>
      </c>
      <c r="U508" s="126" t="s">
        <v>6744</v>
      </c>
      <c r="V508" s="151">
        <v>3715068566</v>
      </c>
      <c r="W508" s="145" t="s">
        <v>6745</v>
      </c>
      <c r="X508" s="145" t="s">
        <v>6746</v>
      </c>
      <c r="Y508" s="149" t="s">
        <v>146</v>
      </c>
      <c r="Z508" s="145" t="s">
        <v>2352</v>
      </c>
      <c r="AA508" s="149" t="s">
        <v>6747</v>
      </c>
      <c r="AB508" s="149" t="s">
        <v>6747</v>
      </c>
      <c r="AC508" s="189" t="s">
        <v>6740</v>
      </c>
      <c r="AD508" s="145"/>
      <c r="AE508" s="145"/>
      <c r="AF508" s="145"/>
      <c r="AG508" s="145"/>
      <c r="AH508" s="145"/>
      <c r="AI508" s="145"/>
      <c r="AJ508" s="129"/>
      <c r="AK508" s="202" t="s">
        <v>6748</v>
      </c>
      <c r="AL508" s="121"/>
      <c r="AM508" s="121"/>
    </row>
    <row r="509" spans="1:40" ht="28.5">
      <c r="A509" s="137">
        <f>SUBTOTAL(3,$B$3:B509)</f>
        <v>507</v>
      </c>
      <c r="B509" s="121" t="s">
        <v>6749</v>
      </c>
      <c r="C509" s="163" t="s">
        <v>6750</v>
      </c>
      <c r="D509" s="163" t="s">
        <v>6750</v>
      </c>
      <c r="E509" s="129" t="s">
        <v>754</v>
      </c>
      <c r="F509" s="129" t="s">
        <v>6133</v>
      </c>
      <c r="G509" s="129" t="s">
        <v>2345</v>
      </c>
      <c r="H509" s="129" t="s">
        <v>6751</v>
      </c>
      <c r="I509" s="129" t="s">
        <v>702</v>
      </c>
      <c r="J509" s="188">
        <v>37144</v>
      </c>
      <c r="K509" s="129" t="s">
        <v>280</v>
      </c>
      <c r="L509" s="129" t="s">
        <v>42</v>
      </c>
      <c r="M509" s="163" t="s">
        <v>6752</v>
      </c>
      <c r="N509" s="188">
        <v>45177</v>
      </c>
      <c r="O509" s="163" t="s">
        <v>44</v>
      </c>
      <c r="P509" s="129" t="s">
        <v>2347</v>
      </c>
      <c r="Q509" s="129" t="s">
        <v>3676</v>
      </c>
      <c r="R509" s="163" t="s">
        <v>6753</v>
      </c>
      <c r="S509" s="124">
        <f>VLOOKUP(B509,'[1]SN Salary Sheet'!$A$4:$D$207,4,0)</f>
        <v>29615</v>
      </c>
      <c r="T509" s="143">
        <f>VLOOKUP(B509,'[1]SN Salary Sheet'!$A$4:$D$207,2,0)</f>
        <v>101996246396</v>
      </c>
      <c r="U509" s="126" t="s">
        <v>6754</v>
      </c>
      <c r="V509" s="151">
        <v>3715068590</v>
      </c>
      <c r="W509" s="145" t="s">
        <v>6755</v>
      </c>
      <c r="X509" s="145" t="s">
        <v>6756</v>
      </c>
      <c r="Y509" s="149" t="s">
        <v>132</v>
      </c>
      <c r="Z509" s="145" t="s">
        <v>6757</v>
      </c>
      <c r="AA509" s="149" t="s">
        <v>6758</v>
      </c>
      <c r="AB509" s="149" t="s">
        <v>6758</v>
      </c>
      <c r="AC509" s="189" t="s">
        <v>6749</v>
      </c>
      <c r="AD509" s="145"/>
      <c r="AE509" s="145"/>
      <c r="AF509" s="145"/>
      <c r="AG509" s="145"/>
      <c r="AH509" s="145"/>
      <c r="AI509" s="145"/>
      <c r="AJ509" s="129"/>
      <c r="AK509" s="202" t="s">
        <v>6759</v>
      </c>
      <c r="AL509" s="121"/>
      <c r="AM509" s="121"/>
    </row>
    <row r="510" spans="1:40" ht="28.5">
      <c r="A510" s="137">
        <f>SUBTOTAL(3,$B$3:B510)</f>
        <v>508</v>
      </c>
      <c r="B510" s="121" t="s">
        <v>6760</v>
      </c>
      <c r="C510" s="163" t="s">
        <v>6763</v>
      </c>
      <c r="D510" s="163" t="s">
        <v>6763</v>
      </c>
      <c r="E510" s="129" t="s">
        <v>1308</v>
      </c>
      <c r="F510" s="129" t="s">
        <v>3689</v>
      </c>
      <c r="G510" s="129" t="s">
        <v>2345</v>
      </c>
      <c r="H510" s="129" t="s">
        <v>6764</v>
      </c>
      <c r="I510" s="129" t="s">
        <v>40</v>
      </c>
      <c r="J510" s="188">
        <v>37022</v>
      </c>
      <c r="K510" s="129" t="s">
        <v>41</v>
      </c>
      <c r="L510" s="129" t="s">
        <v>42</v>
      </c>
      <c r="M510" s="163" t="s">
        <v>4016</v>
      </c>
      <c r="N510" s="188">
        <v>45190</v>
      </c>
      <c r="O510" s="163" t="s">
        <v>44</v>
      </c>
      <c r="P510" s="129" t="s">
        <v>2347</v>
      </c>
      <c r="Q510" s="129" t="s">
        <v>3676</v>
      </c>
      <c r="R510" s="163">
        <v>9924110343</v>
      </c>
      <c r="S510" s="124">
        <f>VLOOKUP(B510,'[1]SN Salary Sheet'!$A$4:$D$207,4,0)</f>
        <v>29613</v>
      </c>
      <c r="T510" s="143">
        <f>VLOOKUP(B510,'[1]SN Salary Sheet'!$A$4:$D$207,2,0)</f>
        <v>101847616251</v>
      </c>
      <c r="U510" s="126" t="s">
        <v>6765</v>
      </c>
      <c r="V510" s="148">
        <v>3715078860</v>
      </c>
      <c r="W510" s="145" t="s">
        <v>6766</v>
      </c>
      <c r="X510" s="145" t="s">
        <v>6767</v>
      </c>
      <c r="Y510" s="149" t="s">
        <v>65</v>
      </c>
      <c r="Z510" s="145" t="s">
        <v>6768</v>
      </c>
      <c r="AA510" s="149" t="s">
        <v>6769</v>
      </c>
      <c r="AB510" s="149" t="s">
        <v>6770</v>
      </c>
      <c r="AC510" s="189" t="s">
        <v>6760</v>
      </c>
      <c r="AD510" s="145"/>
      <c r="AE510" s="145"/>
      <c r="AF510" s="145"/>
      <c r="AG510" s="145"/>
      <c r="AH510" s="145"/>
      <c r="AI510" s="145"/>
      <c r="AJ510" s="129"/>
      <c r="AK510" s="202"/>
      <c r="AL510" s="121"/>
      <c r="AM510" s="121"/>
    </row>
    <row r="511" spans="1:40" ht="28.5">
      <c r="A511" s="137">
        <f>SUBTOTAL(3,$B$3:B511)</f>
        <v>509</v>
      </c>
      <c r="B511" s="190" t="s">
        <v>6761</v>
      </c>
      <c r="C511" s="184" t="s">
        <v>6773</v>
      </c>
      <c r="D511" s="163" t="s">
        <v>6771</v>
      </c>
      <c r="E511" s="129" t="s">
        <v>2254</v>
      </c>
      <c r="F511" s="129" t="s">
        <v>6772</v>
      </c>
      <c r="G511" s="129" t="s">
        <v>2345</v>
      </c>
      <c r="H511" s="129" t="s">
        <v>4445</v>
      </c>
      <c r="I511" s="129" t="s">
        <v>40</v>
      </c>
      <c r="J511" s="188">
        <v>36986</v>
      </c>
      <c r="K511" s="129" t="s">
        <v>41</v>
      </c>
      <c r="L511" s="129" t="s">
        <v>42</v>
      </c>
      <c r="M511" s="163" t="s">
        <v>4016</v>
      </c>
      <c r="N511" s="188"/>
      <c r="O511" s="163" t="s">
        <v>44</v>
      </c>
      <c r="P511" s="129" t="s">
        <v>2347</v>
      </c>
      <c r="Q511" s="129" t="s">
        <v>3676</v>
      </c>
      <c r="R511" s="163">
        <v>8200925670</v>
      </c>
      <c r="S511" s="124" t="e">
        <f>VLOOKUP(B511,'[1]SN Salary Sheet'!$A$4:$D$207,4,0)</f>
        <v>#N/A</v>
      </c>
      <c r="T511" s="143" t="e">
        <f>VLOOKUP(B511,'[1]SN Salary Sheet'!$A$4:$D$207,2,0)</f>
        <v>#N/A</v>
      </c>
      <c r="U511" s="126" t="s">
        <v>6774</v>
      </c>
      <c r="V511" s="151"/>
      <c r="W511" s="145" t="s">
        <v>6775</v>
      </c>
      <c r="X511" s="145" t="s">
        <v>6776</v>
      </c>
      <c r="Y511" s="149" t="s">
        <v>146</v>
      </c>
      <c r="Z511" s="145" t="s">
        <v>6777</v>
      </c>
      <c r="AA511" s="149" t="s">
        <v>6778</v>
      </c>
      <c r="AB511" s="149" t="s">
        <v>6778</v>
      </c>
      <c r="AC511" s="189" t="s">
        <v>6761</v>
      </c>
      <c r="AD511" s="145"/>
      <c r="AE511" s="145"/>
      <c r="AF511" s="145"/>
      <c r="AG511" s="145"/>
      <c r="AH511" s="145"/>
      <c r="AI511" s="145"/>
      <c r="AJ511" s="129"/>
      <c r="AK511" s="202" t="s">
        <v>6779</v>
      </c>
      <c r="AL511" s="121"/>
      <c r="AM511" s="121"/>
    </row>
    <row r="512" spans="1:40" ht="28.5">
      <c r="A512" s="137">
        <f>SUBTOTAL(3,$B$3:B512)</f>
        <v>510</v>
      </c>
      <c r="B512" s="121" t="s">
        <v>6762</v>
      </c>
      <c r="C512" s="163" t="s">
        <v>6780</v>
      </c>
      <c r="D512" s="163" t="s">
        <v>6780</v>
      </c>
      <c r="E512" s="129" t="s">
        <v>136</v>
      </c>
      <c r="F512" s="129" t="s">
        <v>3232</v>
      </c>
      <c r="G512" s="129" t="s">
        <v>2345</v>
      </c>
      <c r="H512" s="129" t="s">
        <v>694</v>
      </c>
      <c r="I512" s="129" t="s">
        <v>40</v>
      </c>
      <c r="J512" s="188">
        <v>37091</v>
      </c>
      <c r="K512" s="129" t="s">
        <v>41</v>
      </c>
      <c r="L512" s="129" t="s">
        <v>42</v>
      </c>
      <c r="M512" s="163" t="s">
        <v>4016</v>
      </c>
      <c r="N512" s="188">
        <v>45189</v>
      </c>
      <c r="O512" s="163" t="s">
        <v>44</v>
      </c>
      <c r="P512" s="129" t="s">
        <v>2347</v>
      </c>
      <c r="Q512" s="129" t="s">
        <v>3676</v>
      </c>
      <c r="R512" s="163">
        <v>9327890004</v>
      </c>
      <c r="S512" s="124">
        <f>VLOOKUP(B512,'[1]SN Salary Sheet'!$A$4:$D$207,4,0)</f>
        <v>29612</v>
      </c>
      <c r="T512" s="143">
        <f>VLOOKUP(B512,'[1]SN Salary Sheet'!$A$4:$D$207,2,0)</f>
        <v>101973148006</v>
      </c>
      <c r="U512" s="126" t="s">
        <v>6781</v>
      </c>
      <c r="V512" s="151">
        <v>3715078875</v>
      </c>
      <c r="W512" s="145" t="s">
        <v>6782</v>
      </c>
      <c r="X512" s="145" t="s">
        <v>6783</v>
      </c>
      <c r="Y512" s="149" t="s">
        <v>65</v>
      </c>
      <c r="Z512" s="145" t="s">
        <v>6784</v>
      </c>
      <c r="AA512" s="149" t="s">
        <v>6785</v>
      </c>
      <c r="AB512" s="149" t="s">
        <v>6785</v>
      </c>
      <c r="AC512" s="189" t="s">
        <v>6762</v>
      </c>
      <c r="AD512" s="145"/>
      <c r="AE512" s="145"/>
      <c r="AF512" s="145"/>
      <c r="AG512" s="145"/>
      <c r="AH512" s="145"/>
      <c r="AI512" s="145"/>
      <c r="AJ512" s="129"/>
      <c r="AK512" s="202" t="s">
        <v>6786</v>
      </c>
      <c r="AL512" s="121"/>
      <c r="AM512" s="121"/>
    </row>
    <row r="513" spans="1:39" ht="28.5">
      <c r="A513" s="137">
        <f>SUBTOTAL(3,$B$3:B513)</f>
        <v>511</v>
      </c>
      <c r="B513" s="121" t="s">
        <v>6787</v>
      </c>
      <c r="C513" s="163" t="s">
        <v>6788</v>
      </c>
      <c r="D513" s="163" t="s">
        <v>6789</v>
      </c>
      <c r="E513" s="129" t="s">
        <v>1308</v>
      </c>
      <c r="F513" s="129" t="s">
        <v>6790</v>
      </c>
      <c r="G513" s="129" t="s">
        <v>2389</v>
      </c>
      <c r="H513" s="129" t="s">
        <v>305</v>
      </c>
      <c r="I513" s="129" t="s">
        <v>40</v>
      </c>
      <c r="J513" s="188">
        <v>36687</v>
      </c>
      <c r="K513" s="129" t="s">
        <v>41</v>
      </c>
      <c r="L513" s="129" t="s">
        <v>42</v>
      </c>
      <c r="M513" s="163" t="s">
        <v>4016</v>
      </c>
      <c r="N513" s="188">
        <v>45204</v>
      </c>
      <c r="O513" s="163" t="s">
        <v>44</v>
      </c>
      <c r="P513" s="129" t="s">
        <v>2347</v>
      </c>
      <c r="Q513" s="129" t="s">
        <v>3676</v>
      </c>
      <c r="R513" s="163">
        <v>9724606473</v>
      </c>
      <c r="S513" s="124">
        <f>VLOOKUP(B513,'[1]SN Salary Sheet'!$A$4:$D$207,4,0)</f>
        <v>29689</v>
      </c>
      <c r="T513" s="143" t="str">
        <f>VLOOKUP(B513,'[1]SN Salary Sheet'!$A$4:$D$207,2,0)</f>
        <v>102005811417</v>
      </c>
      <c r="U513" s="126" t="s">
        <v>6791</v>
      </c>
      <c r="V513" s="151">
        <v>3715102380</v>
      </c>
      <c r="W513" s="145" t="s">
        <v>6792</v>
      </c>
      <c r="X513" s="145" t="s">
        <v>6793</v>
      </c>
      <c r="Y513" s="149" t="s">
        <v>146</v>
      </c>
      <c r="Z513" s="145" t="s">
        <v>2994</v>
      </c>
      <c r="AA513" s="149" t="s">
        <v>6794</v>
      </c>
      <c r="AB513" s="149" t="s">
        <v>6794</v>
      </c>
      <c r="AC513" s="189" t="s">
        <v>6787</v>
      </c>
      <c r="AD513" s="145"/>
      <c r="AE513" s="145"/>
      <c r="AF513" s="145"/>
      <c r="AG513" s="145"/>
      <c r="AH513" s="145"/>
      <c r="AI513" s="145"/>
      <c r="AJ513" s="129"/>
      <c r="AK513" s="202" t="s">
        <v>6795</v>
      </c>
      <c r="AL513" s="121"/>
      <c r="AM513" s="121"/>
    </row>
    <row r="514" spans="1:39" ht="42.75">
      <c r="A514" s="137">
        <f>SUBTOTAL(3,$B$3:B514)</f>
        <v>512</v>
      </c>
      <c r="B514" s="207" t="s">
        <v>6796</v>
      </c>
      <c r="C514" s="163" t="s">
        <v>6797</v>
      </c>
      <c r="D514" s="163" t="s">
        <v>6797</v>
      </c>
      <c r="E514" s="129" t="s">
        <v>6798</v>
      </c>
      <c r="F514" s="129" t="s">
        <v>6799</v>
      </c>
      <c r="G514" s="129" t="s">
        <v>2345</v>
      </c>
      <c r="H514" s="129" t="s">
        <v>4100</v>
      </c>
      <c r="I514" s="129" t="s">
        <v>40</v>
      </c>
      <c r="J514" s="188">
        <v>34808</v>
      </c>
      <c r="K514" s="129" t="s">
        <v>41</v>
      </c>
      <c r="L514" s="129" t="s">
        <v>42</v>
      </c>
      <c r="M514" s="163" t="s">
        <v>6800</v>
      </c>
      <c r="N514" s="188">
        <v>45208</v>
      </c>
      <c r="O514" s="163" t="s">
        <v>5956</v>
      </c>
      <c r="P514" s="129" t="s">
        <v>2347</v>
      </c>
      <c r="Q514" s="129" t="s">
        <v>3676</v>
      </c>
      <c r="R514" s="163">
        <v>7732881205</v>
      </c>
      <c r="S514" s="124">
        <f>VLOOKUP(B514,'[3]NCL SAL. SHEET'!$A$4:$D$126,4,0)</f>
        <v>29691</v>
      </c>
      <c r="T514" s="145" t="s">
        <v>7194</v>
      </c>
      <c r="U514" s="126" t="s">
        <v>6801</v>
      </c>
      <c r="V514" s="151">
        <v>3715116301</v>
      </c>
      <c r="W514" s="145" t="s">
        <v>6802</v>
      </c>
      <c r="X514" s="145" t="s">
        <v>6803</v>
      </c>
      <c r="Y514" s="149" t="s">
        <v>271</v>
      </c>
      <c r="Z514" s="145" t="s">
        <v>6804</v>
      </c>
      <c r="AA514" s="149" t="s">
        <v>6805</v>
      </c>
      <c r="AB514" s="149" t="s">
        <v>6805</v>
      </c>
      <c r="AC514" s="189" t="s">
        <v>6796</v>
      </c>
      <c r="AD514" s="145"/>
      <c r="AE514" s="145"/>
      <c r="AF514" s="145"/>
      <c r="AG514" s="145"/>
      <c r="AH514" s="145"/>
      <c r="AI514" s="145"/>
      <c r="AJ514" s="129"/>
      <c r="AK514" s="208" t="s">
        <v>6806</v>
      </c>
      <c r="AL514" s="209"/>
      <c r="AM514" s="209"/>
    </row>
    <row r="515" spans="1:39" ht="28.5">
      <c r="A515" s="137">
        <f>SUBTOTAL(3,$B$3:B515)</f>
        <v>513</v>
      </c>
      <c r="B515" s="121" t="s">
        <v>6807</v>
      </c>
      <c r="C515" s="163" t="s">
        <v>6808</v>
      </c>
      <c r="D515" s="163" t="s">
        <v>6809</v>
      </c>
      <c r="E515" s="129" t="s">
        <v>6810</v>
      </c>
      <c r="F515" s="129" t="s">
        <v>6811</v>
      </c>
      <c r="G515" s="129" t="s">
        <v>2345</v>
      </c>
      <c r="H515" s="129" t="s">
        <v>6812</v>
      </c>
      <c r="I515" s="129" t="s">
        <v>40</v>
      </c>
      <c r="J515" s="188">
        <v>36083</v>
      </c>
      <c r="K515" s="129" t="s">
        <v>41</v>
      </c>
      <c r="L515" s="129" t="s">
        <v>42</v>
      </c>
      <c r="M515" s="163" t="s">
        <v>4016</v>
      </c>
      <c r="N515" s="188">
        <v>45216</v>
      </c>
      <c r="O515" s="163" t="s">
        <v>44</v>
      </c>
      <c r="P515" s="129" t="s">
        <v>2347</v>
      </c>
      <c r="Q515" s="129" t="s">
        <v>3676</v>
      </c>
      <c r="R515" s="163" t="s">
        <v>6813</v>
      </c>
      <c r="S515" s="124">
        <f>VLOOKUP(B515,'[1]SN Salary Sheet'!$A$4:$D$207,4,0)</f>
        <v>29692</v>
      </c>
      <c r="T515" s="143" t="str">
        <f>VLOOKUP(B515,'[1]SN Salary Sheet'!$A$4:$D$207,2,0)</f>
        <v>101517232750</v>
      </c>
      <c r="U515" s="126" t="s">
        <v>6814</v>
      </c>
      <c r="V515" s="151">
        <v>3715119046</v>
      </c>
      <c r="W515" s="145" t="s">
        <v>6815</v>
      </c>
      <c r="X515" s="145" t="s">
        <v>6816</v>
      </c>
      <c r="Y515" s="149" t="s">
        <v>146</v>
      </c>
      <c r="Z515" s="145" t="s">
        <v>6817</v>
      </c>
      <c r="AA515" s="149" t="s">
        <v>6818</v>
      </c>
      <c r="AB515" s="149" t="s">
        <v>6818</v>
      </c>
      <c r="AC515" s="189" t="s">
        <v>6807</v>
      </c>
      <c r="AD515" s="145"/>
      <c r="AE515" s="145"/>
      <c r="AF515" s="145"/>
      <c r="AG515" s="145"/>
      <c r="AH515" s="145"/>
      <c r="AI515" s="145"/>
      <c r="AJ515" s="129"/>
      <c r="AK515" s="208" t="s">
        <v>6819</v>
      </c>
      <c r="AL515" s="209"/>
      <c r="AM515" s="209"/>
    </row>
    <row r="516" spans="1:39" ht="28.5">
      <c r="A516" s="137">
        <f>SUBTOTAL(3,$B$3:B516)</f>
        <v>514</v>
      </c>
      <c r="B516" s="121" t="s">
        <v>6820</v>
      </c>
      <c r="C516" s="163" t="s">
        <v>6821</v>
      </c>
      <c r="D516" s="163" t="s">
        <v>6822</v>
      </c>
      <c r="E516" s="129" t="s">
        <v>136</v>
      </c>
      <c r="F516" s="129" t="s">
        <v>2367</v>
      </c>
      <c r="G516" s="129" t="s">
        <v>2345</v>
      </c>
      <c r="H516" s="129" t="s">
        <v>659</v>
      </c>
      <c r="I516" s="129" t="s">
        <v>40</v>
      </c>
      <c r="J516" s="188">
        <v>36385</v>
      </c>
      <c r="K516" s="129" t="s">
        <v>41</v>
      </c>
      <c r="L516" s="129" t="s">
        <v>42</v>
      </c>
      <c r="M516" s="163" t="s">
        <v>1104</v>
      </c>
      <c r="N516" s="188">
        <v>45218</v>
      </c>
      <c r="O516" s="163" t="s">
        <v>2991</v>
      </c>
      <c r="P516" s="129" t="s">
        <v>2347</v>
      </c>
      <c r="Q516" s="129" t="s">
        <v>3676</v>
      </c>
      <c r="R516" s="163" t="s">
        <v>6823</v>
      </c>
      <c r="S516" s="124">
        <f>VLOOKUP(B516,'[3]NCL SAL. SHEET'!$A$4:$D$126,4,0)</f>
        <v>29693</v>
      </c>
      <c r="T516" s="145" t="s">
        <v>7195</v>
      </c>
      <c r="U516" s="126" t="s">
        <v>6824</v>
      </c>
      <c r="V516" s="151">
        <v>3715122225</v>
      </c>
      <c r="W516" s="145" t="s">
        <v>6825</v>
      </c>
      <c r="X516" s="145" t="s">
        <v>6826</v>
      </c>
      <c r="Y516" s="149" t="s">
        <v>146</v>
      </c>
      <c r="Z516" s="145" t="s">
        <v>6827</v>
      </c>
      <c r="AA516" s="149" t="s">
        <v>6828</v>
      </c>
      <c r="AB516" s="149" t="s">
        <v>6828</v>
      </c>
      <c r="AC516" s="189" t="s">
        <v>6820</v>
      </c>
      <c r="AD516" s="145"/>
      <c r="AE516" s="145"/>
      <c r="AF516" s="145"/>
      <c r="AG516" s="145"/>
      <c r="AH516" s="145"/>
      <c r="AI516" s="145"/>
      <c r="AJ516" s="129"/>
      <c r="AK516" s="208" t="s">
        <v>6829</v>
      </c>
      <c r="AL516" s="209"/>
      <c r="AM516" s="209"/>
    </row>
    <row r="517" spans="1:39" ht="42.75">
      <c r="A517" s="137">
        <f>SUBTOTAL(3,$B$3:B517)</f>
        <v>515</v>
      </c>
      <c r="B517" s="121" t="s">
        <v>6830</v>
      </c>
      <c r="C517" s="163" t="s">
        <v>6831</v>
      </c>
      <c r="D517" s="163" t="s">
        <v>6831</v>
      </c>
      <c r="E517" s="129" t="s">
        <v>4406</v>
      </c>
      <c r="F517" s="129" t="s">
        <v>6832</v>
      </c>
      <c r="G517" s="129" t="s">
        <v>2345</v>
      </c>
      <c r="H517" s="129" t="s">
        <v>6833</v>
      </c>
      <c r="I517" s="129" t="s">
        <v>40</v>
      </c>
      <c r="J517" s="188">
        <v>36847</v>
      </c>
      <c r="K517" s="129" t="s">
        <v>41</v>
      </c>
      <c r="L517" s="129" t="s">
        <v>42</v>
      </c>
      <c r="M517" s="163" t="s">
        <v>3066</v>
      </c>
      <c r="N517" s="188">
        <v>45219</v>
      </c>
      <c r="O517" s="163" t="s">
        <v>7201</v>
      </c>
      <c r="P517" s="129" t="s">
        <v>2347</v>
      </c>
      <c r="Q517" s="129" t="s">
        <v>3676</v>
      </c>
      <c r="R517" s="163" t="s">
        <v>6834</v>
      </c>
      <c r="S517" s="124">
        <f>VLOOKUP(B517,'[2]CL SAL SHEET'!$A$4:$D$57,4,0)</f>
        <v>29688</v>
      </c>
      <c r="T517" s="145" t="s">
        <v>7198</v>
      </c>
      <c r="U517" s="126" t="s">
        <v>6835</v>
      </c>
      <c r="V517" s="153">
        <v>3715122248</v>
      </c>
      <c r="W517" s="145" t="s">
        <v>6836</v>
      </c>
      <c r="X517" s="145" t="s">
        <v>6837</v>
      </c>
      <c r="Y517" s="149" t="s">
        <v>132</v>
      </c>
      <c r="Z517" s="145" t="s">
        <v>183</v>
      </c>
      <c r="AA517" s="149" t="s">
        <v>6838</v>
      </c>
      <c r="AB517" s="149" t="s">
        <v>6838</v>
      </c>
      <c r="AC517" s="189" t="s">
        <v>6830</v>
      </c>
      <c r="AD517" s="145"/>
      <c r="AE517" s="145"/>
      <c r="AF517" s="145"/>
      <c r="AG517" s="145"/>
      <c r="AH517" s="145"/>
      <c r="AI517" s="145"/>
      <c r="AJ517" s="129"/>
      <c r="AK517" s="208" t="s">
        <v>6839</v>
      </c>
      <c r="AL517" s="209"/>
      <c r="AM517" s="209"/>
    </row>
    <row r="518" spans="1:39" ht="28.5">
      <c r="A518" s="137">
        <f>SUBTOTAL(3,$B$3:B518)</f>
        <v>516</v>
      </c>
      <c r="B518" s="121" t="s">
        <v>6840</v>
      </c>
      <c r="C518" s="163" t="s">
        <v>6841</v>
      </c>
      <c r="D518" s="163" t="s">
        <v>6841</v>
      </c>
      <c r="E518" s="129" t="s">
        <v>6842</v>
      </c>
      <c r="F518" s="129" t="s">
        <v>6843</v>
      </c>
      <c r="G518" s="129" t="s">
        <v>2345</v>
      </c>
      <c r="H518" s="129" t="s">
        <v>6844</v>
      </c>
      <c r="I518" s="129" t="s">
        <v>40</v>
      </c>
      <c r="J518" s="188">
        <v>36861</v>
      </c>
      <c r="K518" s="129" t="s">
        <v>41</v>
      </c>
      <c r="L518" s="129" t="s">
        <v>42</v>
      </c>
      <c r="M518" s="163" t="s">
        <v>6752</v>
      </c>
      <c r="N518" s="188">
        <v>45223</v>
      </c>
      <c r="O518" s="163" t="s">
        <v>44</v>
      </c>
      <c r="P518" s="129" t="s">
        <v>2347</v>
      </c>
      <c r="Q518" s="129" t="s">
        <v>3676</v>
      </c>
      <c r="R518" s="163" t="s">
        <v>6845</v>
      </c>
      <c r="S518" s="124">
        <f>VLOOKUP(B518,'[1]SN Salary Sheet'!$A$4:$D$207,4,0)</f>
        <v>29690</v>
      </c>
      <c r="T518" s="143" t="str">
        <f>VLOOKUP(B518,'[1]SN Salary Sheet'!$A$4:$D$207,2,0)</f>
        <v>102005811429</v>
      </c>
      <c r="U518" s="126" t="s">
        <v>6846</v>
      </c>
      <c r="V518" s="151">
        <v>3715125556</v>
      </c>
      <c r="W518" s="145" t="s">
        <v>6847</v>
      </c>
      <c r="X518" s="145" t="s">
        <v>6848</v>
      </c>
      <c r="Y518" s="149" t="s">
        <v>65</v>
      </c>
      <c r="Z518" s="145" t="s">
        <v>6849</v>
      </c>
      <c r="AA518" s="149" t="s">
        <v>6850</v>
      </c>
      <c r="AB518" s="149" t="s">
        <v>6850</v>
      </c>
      <c r="AC518" s="189" t="s">
        <v>6840</v>
      </c>
      <c r="AD518" s="145"/>
      <c r="AE518" s="145"/>
      <c r="AF518" s="145"/>
      <c r="AG518" s="145"/>
      <c r="AH518" s="145"/>
      <c r="AI518" s="145"/>
      <c r="AJ518" s="129"/>
      <c r="AK518" s="208" t="s">
        <v>6851</v>
      </c>
      <c r="AL518" s="209"/>
      <c r="AM518" s="209"/>
    </row>
    <row r="519" spans="1:39" ht="28.5">
      <c r="A519" s="137">
        <f>SUBTOTAL(3,$B$3:B519)</f>
        <v>517</v>
      </c>
      <c r="B519" s="121" t="s">
        <v>6852</v>
      </c>
      <c r="C519" s="163" t="s">
        <v>6855</v>
      </c>
      <c r="D519" s="163" t="s">
        <v>6855</v>
      </c>
      <c r="E519" s="129" t="s">
        <v>6856</v>
      </c>
      <c r="F519" s="129" t="s">
        <v>6857</v>
      </c>
      <c r="G519" s="129" t="s">
        <v>2345</v>
      </c>
      <c r="H519" s="129" t="s">
        <v>6858</v>
      </c>
      <c r="I519" s="129" t="s">
        <v>40</v>
      </c>
      <c r="J519" s="188">
        <v>36111</v>
      </c>
      <c r="K519" s="129" t="s">
        <v>280</v>
      </c>
      <c r="L519" s="129" t="s">
        <v>42</v>
      </c>
      <c r="M519" s="163" t="s">
        <v>6752</v>
      </c>
      <c r="N519" s="188">
        <v>45226</v>
      </c>
      <c r="O519" s="163" t="s">
        <v>44</v>
      </c>
      <c r="P519" s="129" t="s">
        <v>2347</v>
      </c>
      <c r="Q519" s="129" t="s">
        <v>3676</v>
      </c>
      <c r="R519" s="163" t="s">
        <v>6859</v>
      </c>
      <c r="S519" s="124">
        <f>VLOOKUP(B519,'[1]SN Salary Sheet'!$A$4:$D$207,4,0)</f>
        <v>29704</v>
      </c>
      <c r="T519" s="143">
        <f>VLOOKUP(B519,'[1]SN Salary Sheet'!$A$4:$D$207,2,0)</f>
        <v>102009004242</v>
      </c>
      <c r="U519" s="126" t="s">
        <v>6860</v>
      </c>
      <c r="V519" s="151">
        <v>3715132935</v>
      </c>
      <c r="W519" s="145" t="s">
        <v>6861</v>
      </c>
      <c r="X519" s="145" t="s">
        <v>6862</v>
      </c>
      <c r="Y519" s="149" t="s">
        <v>65</v>
      </c>
      <c r="Z519" s="145" t="s">
        <v>3298</v>
      </c>
      <c r="AA519" s="149" t="s">
        <v>6863</v>
      </c>
      <c r="AB519" s="149" t="s">
        <v>6863</v>
      </c>
      <c r="AC519" s="189" t="s">
        <v>6852</v>
      </c>
      <c r="AD519" s="145"/>
      <c r="AE519" s="145"/>
      <c r="AF519" s="145"/>
      <c r="AG519" s="145"/>
      <c r="AH519" s="145"/>
      <c r="AI519" s="145"/>
      <c r="AJ519" s="129"/>
      <c r="AK519" s="208" t="s">
        <v>6864</v>
      </c>
      <c r="AL519" s="209"/>
      <c r="AM519" s="209"/>
    </row>
    <row r="520" spans="1:39" ht="28.5">
      <c r="A520" s="137">
        <f>SUBTOTAL(3,$B$3:B520)</f>
        <v>518</v>
      </c>
      <c r="B520" s="121" t="s">
        <v>6853</v>
      </c>
      <c r="C520" s="163" t="s">
        <v>6865</v>
      </c>
      <c r="D520" s="163" t="s">
        <v>6865</v>
      </c>
      <c r="E520" s="129" t="s">
        <v>6866</v>
      </c>
      <c r="F520" s="129" t="s">
        <v>6867</v>
      </c>
      <c r="G520" s="129" t="s">
        <v>2389</v>
      </c>
      <c r="H520" s="129" t="s">
        <v>6868</v>
      </c>
      <c r="I520" s="129" t="s">
        <v>40</v>
      </c>
      <c r="J520" s="188">
        <v>36393</v>
      </c>
      <c r="K520" s="129" t="s">
        <v>41</v>
      </c>
      <c r="L520" s="129" t="s">
        <v>42</v>
      </c>
      <c r="M520" s="163" t="s">
        <v>43</v>
      </c>
      <c r="N520" s="188">
        <v>45226</v>
      </c>
      <c r="O520" s="163" t="s">
        <v>44</v>
      </c>
      <c r="P520" s="129" t="s">
        <v>2347</v>
      </c>
      <c r="Q520" s="129" t="s">
        <v>3676</v>
      </c>
      <c r="R520" s="163" t="s">
        <v>6869</v>
      </c>
      <c r="S520" s="124">
        <f>VLOOKUP(B520,'[1]SN Salary Sheet'!$A$4:$D$207,4,0)</f>
        <v>29705</v>
      </c>
      <c r="T520" s="143">
        <f>VLOOKUP(B520,'[1]SN Salary Sheet'!$A$4:$D$207,2,0)</f>
        <v>102009004257</v>
      </c>
      <c r="U520" s="126" t="s">
        <v>6870</v>
      </c>
      <c r="V520" s="151">
        <v>3715132953</v>
      </c>
      <c r="W520" s="145" t="s">
        <v>6871</v>
      </c>
      <c r="X520" s="145" t="s">
        <v>6872</v>
      </c>
      <c r="Y520" s="149" t="s">
        <v>65</v>
      </c>
      <c r="Z520" s="145" t="s">
        <v>1873</v>
      </c>
      <c r="AA520" s="149" t="s">
        <v>6873</v>
      </c>
      <c r="AB520" s="149" t="s">
        <v>6873</v>
      </c>
      <c r="AC520" s="189" t="s">
        <v>6853</v>
      </c>
      <c r="AD520" s="145"/>
      <c r="AE520" s="145"/>
      <c r="AF520" s="145"/>
      <c r="AG520" s="145"/>
      <c r="AH520" s="145"/>
      <c r="AI520" s="145"/>
      <c r="AJ520" s="129"/>
      <c r="AK520" s="208" t="s">
        <v>6874</v>
      </c>
      <c r="AL520" s="209"/>
      <c r="AM520" s="209"/>
    </row>
    <row r="521" spans="1:39" ht="28.5">
      <c r="A521" s="137">
        <f>SUBTOTAL(3,$B$3:B521)</f>
        <v>519</v>
      </c>
      <c r="B521" s="121" t="s">
        <v>6854</v>
      </c>
      <c r="C521" s="163" t="s">
        <v>6875</v>
      </c>
      <c r="D521" s="163" t="s">
        <v>6876</v>
      </c>
      <c r="E521" s="129" t="s">
        <v>6877</v>
      </c>
      <c r="F521" s="129" t="s">
        <v>4769</v>
      </c>
      <c r="G521" s="129" t="s">
        <v>2345</v>
      </c>
      <c r="H521" s="129" t="s">
        <v>6878</v>
      </c>
      <c r="I521" s="129" t="s">
        <v>702</v>
      </c>
      <c r="J521" s="188">
        <v>36009</v>
      </c>
      <c r="K521" s="129" t="s">
        <v>280</v>
      </c>
      <c r="L521" s="129" t="s">
        <v>42</v>
      </c>
      <c r="M521" s="163" t="s">
        <v>6752</v>
      </c>
      <c r="N521" s="188">
        <v>45226</v>
      </c>
      <c r="O521" s="163" t="s">
        <v>44</v>
      </c>
      <c r="P521" s="129" t="s">
        <v>2347</v>
      </c>
      <c r="Q521" s="129" t="s">
        <v>3676</v>
      </c>
      <c r="R521" s="163" t="s">
        <v>6879</v>
      </c>
      <c r="S521" s="124">
        <f>VLOOKUP(B521,'[1]SN Salary Sheet'!$A$4:$D$207,4,0)</f>
        <v>29706</v>
      </c>
      <c r="T521" s="143">
        <f>VLOOKUP(B521,'[1]SN Salary Sheet'!$A$4:$D$207,2,0)</f>
        <v>101613310962</v>
      </c>
      <c r="U521" s="126" t="s">
        <v>6880</v>
      </c>
      <c r="V521" s="151">
        <v>3715132977</v>
      </c>
      <c r="W521" s="145" t="s">
        <v>6881</v>
      </c>
      <c r="X521" s="145" t="s">
        <v>6882</v>
      </c>
      <c r="Y521" s="149" t="s">
        <v>146</v>
      </c>
      <c r="Z521" s="145" t="s">
        <v>826</v>
      </c>
      <c r="AA521" s="149" t="s">
        <v>6883</v>
      </c>
      <c r="AB521" s="149" t="s">
        <v>6884</v>
      </c>
      <c r="AC521" s="189" t="s">
        <v>6854</v>
      </c>
      <c r="AD521" s="145"/>
      <c r="AE521" s="145"/>
      <c r="AF521" s="145"/>
      <c r="AG521" s="145"/>
      <c r="AH521" s="145"/>
      <c r="AI521" s="145"/>
      <c r="AJ521" s="129"/>
      <c r="AK521" s="208" t="s">
        <v>6885</v>
      </c>
      <c r="AL521" s="209"/>
      <c r="AM521" s="209"/>
    </row>
    <row r="522" spans="1:39" ht="28.5">
      <c r="A522" s="137">
        <f>SUBTOTAL(3,$B$3:B522)</f>
        <v>520</v>
      </c>
      <c r="B522" s="121" t="s">
        <v>6886</v>
      </c>
      <c r="C522" s="163" t="s">
        <v>6887</v>
      </c>
      <c r="D522" s="163" t="s">
        <v>6887</v>
      </c>
      <c r="E522" s="129" t="s">
        <v>544</v>
      </c>
      <c r="F522" s="129" t="s">
        <v>3699</v>
      </c>
      <c r="G522" s="129" t="s">
        <v>2345</v>
      </c>
      <c r="H522" s="129" t="s">
        <v>570</v>
      </c>
      <c r="I522" s="129" t="s">
        <v>40</v>
      </c>
      <c r="J522" s="188">
        <v>36654</v>
      </c>
      <c r="K522" s="129" t="s">
        <v>41</v>
      </c>
      <c r="L522" s="129" t="s">
        <v>42</v>
      </c>
      <c r="M522" s="163" t="s">
        <v>4016</v>
      </c>
      <c r="N522" s="188">
        <v>45231</v>
      </c>
      <c r="O522" s="163" t="s">
        <v>44</v>
      </c>
      <c r="P522" s="129" t="s">
        <v>2347</v>
      </c>
      <c r="Q522" s="129" t="s">
        <v>3676</v>
      </c>
      <c r="R522" s="163" t="s">
        <v>6888</v>
      </c>
      <c r="S522" s="129">
        <v>29915</v>
      </c>
      <c r="T522" s="159">
        <v>101672541875</v>
      </c>
      <c r="U522" s="126" t="s">
        <v>6889</v>
      </c>
      <c r="V522" s="151">
        <v>3713716526</v>
      </c>
      <c r="W522" s="145" t="s">
        <v>6890</v>
      </c>
      <c r="X522" s="145" t="s">
        <v>6891</v>
      </c>
      <c r="Y522" s="149" t="s">
        <v>146</v>
      </c>
      <c r="Z522" s="145" t="s">
        <v>2352</v>
      </c>
      <c r="AA522" s="149" t="s">
        <v>6892</v>
      </c>
      <c r="AB522" s="149" t="s">
        <v>6892</v>
      </c>
      <c r="AC522" s="189" t="s">
        <v>6886</v>
      </c>
      <c r="AD522" s="145"/>
      <c r="AE522" s="145"/>
      <c r="AF522" s="145"/>
      <c r="AG522" s="145"/>
      <c r="AH522" s="145"/>
      <c r="AI522" s="145"/>
      <c r="AJ522" s="129"/>
      <c r="AK522" s="208" t="s">
        <v>6893</v>
      </c>
      <c r="AL522" s="209"/>
      <c r="AM522" s="209"/>
    </row>
    <row r="523" spans="1:39" ht="28.5">
      <c r="A523" s="137">
        <f>SUBTOTAL(3,$B$3:B523)</f>
        <v>521</v>
      </c>
      <c r="B523" s="121" t="s">
        <v>6895</v>
      </c>
      <c r="C523" s="163" t="s">
        <v>6897</v>
      </c>
      <c r="D523" s="163" t="s">
        <v>6898</v>
      </c>
      <c r="E523" s="129" t="s">
        <v>136</v>
      </c>
      <c r="F523" s="129" t="s">
        <v>6899</v>
      </c>
      <c r="G523" s="129" t="s">
        <v>2345</v>
      </c>
      <c r="H523" s="129" t="s">
        <v>533</v>
      </c>
      <c r="I523" s="129" t="s">
        <v>40</v>
      </c>
      <c r="J523" s="188">
        <v>37806</v>
      </c>
      <c r="K523" s="129" t="s">
        <v>41</v>
      </c>
      <c r="L523" s="129" t="s">
        <v>42</v>
      </c>
      <c r="M523" s="163" t="s">
        <v>1104</v>
      </c>
      <c r="N523" s="188">
        <v>45231</v>
      </c>
      <c r="O523" s="163" t="s">
        <v>2991</v>
      </c>
      <c r="P523" s="129" t="s">
        <v>2347</v>
      </c>
      <c r="Q523" s="129" t="s">
        <v>3676</v>
      </c>
      <c r="R523" s="163">
        <v>9173540362</v>
      </c>
      <c r="S523" s="129">
        <v>29908</v>
      </c>
      <c r="T523" s="159">
        <v>102019002594</v>
      </c>
      <c r="U523" s="126" t="s">
        <v>6178</v>
      </c>
      <c r="V523" s="151">
        <v>3715142361</v>
      </c>
      <c r="W523" s="145" t="s">
        <v>6900</v>
      </c>
      <c r="X523" s="145" t="s">
        <v>6901</v>
      </c>
      <c r="Y523" s="149" t="s">
        <v>619</v>
      </c>
      <c r="Z523" s="145" t="s">
        <v>6902</v>
      </c>
      <c r="AA523" s="149" t="s">
        <v>6903</v>
      </c>
      <c r="AB523" s="149" t="s">
        <v>6903</v>
      </c>
      <c r="AC523" s="189" t="s">
        <v>6895</v>
      </c>
      <c r="AD523" s="145"/>
      <c r="AE523" s="145"/>
      <c r="AF523" s="145"/>
      <c r="AG523" s="145"/>
      <c r="AH523" s="145"/>
      <c r="AI523" s="145"/>
      <c r="AJ523" s="129"/>
      <c r="AK523" s="208" t="s">
        <v>6904</v>
      </c>
      <c r="AL523" s="209"/>
      <c r="AM523" s="209"/>
    </row>
    <row r="524" spans="1:39" ht="28.5">
      <c r="A524" s="137">
        <f>SUBTOTAL(3,$B$3:B524)</f>
        <v>522</v>
      </c>
      <c r="B524" s="121" t="s">
        <v>6896</v>
      </c>
      <c r="C524" s="163" t="s">
        <v>6905</v>
      </c>
      <c r="D524" s="163" t="s">
        <v>6906</v>
      </c>
      <c r="E524" s="129" t="s">
        <v>754</v>
      </c>
      <c r="F524" s="129" t="s">
        <v>6907</v>
      </c>
      <c r="G524" s="129" t="s">
        <v>2345</v>
      </c>
      <c r="H524" s="129" t="s">
        <v>239</v>
      </c>
      <c r="I524" s="129" t="s">
        <v>40</v>
      </c>
      <c r="J524" s="188">
        <v>37206</v>
      </c>
      <c r="K524" s="129" t="s">
        <v>41</v>
      </c>
      <c r="L524" s="129" t="s">
        <v>42</v>
      </c>
      <c r="M524" s="163" t="s">
        <v>1104</v>
      </c>
      <c r="N524" s="188">
        <v>45231</v>
      </c>
      <c r="O524" s="163" t="s">
        <v>2991</v>
      </c>
      <c r="P524" s="129" t="s">
        <v>2347</v>
      </c>
      <c r="Q524" s="129" t="s">
        <v>3676</v>
      </c>
      <c r="R524" s="163">
        <v>9723744192</v>
      </c>
      <c r="S524" s="129">
        <v>29901</v>
      </c>
      <c r="T524" s="159">
        <v>102019002541</v>
      </c>
      <c r="U524" s="126" t="s">
        <v>6908</v>
      </c>
      <c r="V524" s="151">
        <v>3715142409</v>
      </c>
      <c r="W524" s="145" t="s">
        <v>6909</v>
      </c>
      <c r="X524" s="145" t="s">
        <v>6910</v>
      </c>
      <c r="Y524" s="149" t="s">
        <v>146</v>
      </c>
      <c r="Z524" s="145" t="s">
        <v>1388</v>
      </c>
      <c r="AA524" s="149" t="s">
        <v>6911</v>
      </c>
      <c r="AB524" s="149" t="s">
        <v>6912</v>
      </c>
      <c r="AC524" s="189" t="s">
        <v>6896</v>
      </c>
      <c r="AD524" s="145"/>
      <c r="AE524" s="145"/>
      <c r="AF524" s="145"/>
      <c r="AG524" s="145"/>
      <c r="AH524" s="145"/>
      <c r="AI524" s="145"/>
      <c r="AJ524" s="129"/>
      <c r="AK524" s="208" t="s">
        <v>6913</v>
      </c>
      <c r="AL524" s="209"/>
      <c r="AM524" s="209"/>
    </row>
    <row r="525" spans="1:39" ht="28.5">
      <c r="A525" s="137">
        <f>SUBTOTAL(3,$B$3:B525)</f>
        <v>523</v>
      </c>
      <c r="B525" s="121" t="s">
        <v>6914</v>
      </c>
      <c r="C525" s="163" t="s">
        <v>6915</v>
      </c>
      <c r="D525" s="163" t="s">
        <v>6916</v>
      </c>
      <c r="E525" s="129" t="s">
        <v>6917</v>
      </c>
      <c r="F525" s="129" t="s">
        <v>1102</v>
      </c>
      <c r="G525" s="129" t="s">
        <v>2345</v>
      </c>
      <c r="H525" s="129" t="s">
        <v>1528</v>
      </c>
      <c r="I525" s="129" t="s">
        <v>40</v>
      </c>
      <c r="J525" s="188">
        <v>37272</v>
      </c>
      <c r="K525" s="129" t="s">
        <v>41</v>
      </c>
      <c r="L525" s="129" t="s">
        <v>42</v>
      </c>
      <c r="M525" s="163" t="s">
        <v>1044</v>
      </c>
      <c r="N525" s="188">
        <v>45232</v>
      </c>
      <c r="O525" s="163" t="s">
        <v>2991</v>
      </c>
      <c r="P525" s="129" t="s">
        <v>2347</v>
      </c>
      <c r="Q525" s="129" t="s">
        <v>3676</v>
      </c>
      <c r="R525" s="163" t="s">
        <v>6918</v>
      </c>
      <c r="S525" s="129">
        <v>29902</v>
      </c>
      <c r="T525" s="159">
        <v>102019002556</v>
      </c>
      <c r="U525" s="126" t="s">
        <v>6919</v>
      </c>
      <c r="V525" s="151">
        <v>3715142429</v>
      </c>
      <c r="W525" s="145" t="s">
        <v>6920</v>
      </c>
      <c r="X525" s="145" t="s">
        <v>6921</v>
      </c>
      <c r="Y525" s="149" t="s">
        <v>146</v>
      </c>
      <c r="Z525" s="145" t="s">
        <v>1388</v>
      </c>
      <c r="AA525" s="149" t="s">
        <v>6922</v>
      </c>
      <c r="AB525" s="149" t="s">
        <v>6922</v>
      </c>
      <c r="AC525" s="189" t="s">
        <v>6914</v>
      </c>
      <c r="AD525" s="145"/>
      <c r="AE525" s="145"/>
      <c r="AF525" s="145"/>
      <c r="AG525" s="145"/>
      <c r="AH525" s="145"/>
      <c r="AI525" s="145"/>
      <c r="AJ525" s="129"/>
      <c r="AK525" s="208" t="s">
        <v>6923</v>
      </c>
      <c r="AL525" s="209"/>
      <c r="AM525" s="209"/>
    </row>
    <row r="526" spans="1:39" ht="28.5">
      <c r="A526" s="137">
        <f>SUBTOTAL(3,$B$3:B526)</f>
        <v>524</v>
      </c>
      <c r="B526" s="121" t="s">
        <v>6924</v>
      </c>
      <c r="C526" s="163" t="s">
        <v>6960</v>
      </c>
      <c r="D526" s="163" t="s">
        <v>6960</v>
      </c>
      <c r="E526" s="129" t="s">
        <v>6961</v>
      </c>
      <c r="F526" s="129" t="s">
        <v>6962</v>
      </c>
      <c r="G526" s="129" t="s">
        <v>2345</v>
      </c>
      <c r="H526" s="129" t="s">
        <v>6963</v>
      </c>
      <c r="I526" s="129" t="s">
        <v>40</v>
      </c>
      <c r="J526" s="188">
        <v>36079</v>
      </c>
      <c r="K526" s="129" t="s">
        <v>41</v>
      </c>
      <c r="L526" s="129" t="s">
        <v>42</v>
      </c>
      <c r="M526" s="163" t="s">
        <v>4016</v>
      </c>
      <c r="N526" s="188">
        <v>45233</v>
      </c>
      <c r="O526" s="163" t="s">
        <v>44</v>
      </c>
      <c r="P526" s="129" t="s">
        <v>2347</v>
      </c>
      <c r="Q526" s="129" t="s">
        <v>3676</v>
      </c>
      <c r="R526" s="163" t="s">
        <v>6964</v>
      </c>
      <c r="S526" s="129">
        <v>29907</v>
      </c>
      <c r="T526" s="159">
        <v>101678347199</v>
      </c>
      <c r="U526" s="126" t="s">
        <v>6965</v>
      </c>
      <c r="V526" s="151">
        <v>3715145962</v>
      </c>
      <c r="W526" s="145" t="s">
        <v>6966</v>
      </c>
      <c r="X526" s="145" t="s">
        <v>6967</v>
      </c>
      <c r="Y526" s="149" t="s">
        <v>132</v>
      </c>
      <c r="Z526" s="145" t="s">
        <v>3383</v>
      </c>
      <c r="AA526" s="149" t="s">
        <v>6968</v>
      </c>
      <c r="AB526" s="149" t="s">
        <v>6968</v>
      </c>
      <c r="AC526" s="189" t="s">
        <v>6924</v>
      </c>
      <c r="AD526" s="145"/>
      <c r="AE526" s="145"/>
      <c r="AF526" s="145"/>
      <c r="AG526" s="145"/>
      <c r="AH526" s="145"/>
      <c r="AI526" s="145"/>
      <c r="AJ526" s="129"/>
      <c r="AK526" s="208" t="s">
        <v>6969</v>
      </c>
      <c r="AL526" s="209"/>
      <c r="AM526" s="209"/>
    </row>
    <row r="527" spans="1:39" ht="28.5">
      <c r="A527" s="137">
        <f>SUBTOTAL(3,$B$3:B527)</f>
        <v>525</v>
      </c>
      <c r="B527" s="121" t="s">
        <v>6925</v>
      </c>
      <c r="C527" s="163" t="s">
        <v>6929</v>
      </c>
      <c r="D527" s="163" t="s">
        <v>6929</v>
      </c>
      <c r="E527" s="129" t="s">
        <v>3336</v>
      </c>
      <c r="F527" s="129" t="s">
        <v>6930</v>
      </c>
      <c r="G527" s="129" t="s">
        <v>2389</v>
      </c>
      <c r="H527" s="129" t="s">
        <v>3273</v>
      </c>
      <c r="I527" s="129" t="s">
        <v>40</v>
      </c>
      <c r="J527" s="188">
        <v>36678</v>
      </c>
      <c r="K527" s="129" t="s">
        <v>41</v>
      </c>
      <c r="L527" s="129" t="s">
        <v>42</v>
      </c>
      <c r="M527" s="163" t="s">
        <v>4016</v>
      </c>
      <c r="N527" s="188">
        <v>45234</v>
      </c>
      <c r="O527" s="163" t="s">
        <v>6931</v>
      </c>
      <c r="P527" s="129" t="s">
        <v>2347</v>
      </c>
      <c r="Q527" s="129" t="s">
        <v>3676</v>
      </c>
      <c r="R527" s="163">
        <v>9408338408</v>
      </c>
      <c r="S527" s="129">
        <v>29910</v>
      </c>
      <c r="T527" s="159">
        <v>102019002600</v>
      </c>
      <c r="U527" s="126" t="s">
        <v>6932</v>
      </c>
      <c r="V527" s="151">
        <v>3715145979</v>
      </c>
      <c r="W527" s="145" t="s">
        <v>6933</v>
      </c>
      <c r="X527" s="145" t="s">
        <v>6934</v>
      </c>
      <c r="Y527" s="149" t="s">
        <v>65</v>
      </c>
      <c r="Z527" s="145" t="s">
        <v>6935</v>
      </c>
      <c r="AA527" s="149" t="s">
        <v>6936</v>
      </c>
      <c r="AB527" s="149" t="s">
        <v>6936</v>
      </c>
      <c r="AC527" s="189" t="s">
        <v>6925</v>
      </c>
      <c r="AD527" s="145"/>
      <c r="AE527" s="145"/>
      <c r="AF527" s="145"/>
      <c r="AG527" s="145"/>
      <c r="AH527" s="145"/>
      <c r="AI527" s="145"/>
      <c r="AJ527" s="129"/>
      <c r="AK527" s="208" t="s">
        <v>6937</v>
      </c>
      <c r="AL527" s="209"/>
      <c r="AM527" s="209"/>
    </row>
    <row r="528" spans="1:39" ht="28.5">
      <c r="A528" s="137">
        <f>SUBTOTAL(3,$B$3:B528)</f>
        <v>526</v>
      </c>
      <c r="B528" s="121" t="s">
        <v>6926</v>
      </c>
      <c r="C528" s="165" t="s">
        <v>6938</v>
      </c>
      <c r="D528" s="163" t="s">
        <v>6938</v>
      </c>
      <c r="E528" s="129" t="s">
        <v>754</v>
      </c>
      <c r="F528" s="129" t="s">
        <v>6939</v>
      </c>
      <c r="G528" s="129" t="s">
        <v>2345</v>
      </c>
      <c r="H528" s="129" t="s">
        <v>799</v>
      </c>
      <c r="I528" s="129" t="s">
        <v>40</v>
      </c>
      <c r="J528" s="188">
        <v>37160</v>
      </c>
      <c r="K528" s="129" t="s">
        <v>41</v>
      </c>
      <c r="L528" s="129" t="s">
        <v>42</v>
      </c>
      <c r="M528" s="163" t="s">
        <v>5518</v>
      </c>
      <c r="N528" s="188">
        <v>45236</v>
      </c>
      <c r="O528" s="163" t="s">
        <v>2981</v>
      </c>
      <c r="P528" s="129" t="s">
        <v>2347</v>
      </c>
      <c r="Q528" s="129" t="s">
        <v>3676</v>
      </c>
      <c r="R528" s="163">
        <v>9106055859</v>
      </c>
      <c r="S528" s="124" t="e">
        <f>VLOOKUP(B528,'[2]CL SAL SHEET'!$A$4:$D$57,4,0)</f>
        <v>#N/A</v>
      </c>
      <c r="T528" s="159"/>
      <c r="U528" s="126" t="s">
        <v>6940</v>
      </c>
      <c r="V528" s="151">
        <v>3715145989</v>
      </c>
      <c r="W528" s="145" t="s">
        <v>6941</v>
      </c>
      <c r="X528" s="145" t="s">
        <v>6942</v>
      </c>
      <c r="Y528" s="149" t="s">
        <v>4688</v>
      </c>
      <c r="Z528" s="145" t="s">
        <v>4689</v>
      </c>
      <c r="AA528" s="149" t="s">
        <v>6943</v>
      </c>
      <c r="AB528" s="149" t="s">
        <v>6943</v>
      </c>
      <c r="AC528" s="189" t="s">
        <v>6926</v>
      </c>
      <c r="AD528" s="145"/>
      <c r="AE528" s="145"/>
      <c r="AF528" s="145"/>
      <c r="AG528" s="145"/>
      <c r="AH528" s="145"/>
      <c r="AI528" s="145"/>
      <c r="AJ528" s="129"/>
      <c r="AK528" s="208" t="s">
        <v>6944</v>
      </c>
      <c r="AL528" s="209"/>
      <c r="AM528" s="209"/>
    </row>
    <row r="529" spans="1:40" ht="28.5">
      <c r="A529" s="137">
        <f>SUBTOTAL(3,$B$3:B529)</f>
        <v>527</v>
      </c>
      <c r="B529" s="121" t="s">
        <v>6927</v>
      </c>
      <c r="C529" s="163" t="s">
        <v>6945</v>
      </c>
      <c r="D529" s="163" t="s">
        <v>6945</v>
      </c>
      <c r="E529" s="129" t="s">
        <v>415</v>
      </c>
      <c r="F529" s="129" t="s">
        <v>6946</v>
      </c>
      <c r="G529" s="129" t="s">
        <v>2345</v>
      </c>
      <c r="H529" s="129" t="s">
        <v>138</v>
      </c>
      <c r="I529" s="129" t="s">
        <v>40</v>
      </c>
      <c r="J529" s="188">
        <v>35325</v>
      </c>
      <c r="K529" s="129" t="s">
        <v>280</v>
      </c>
      <c r="L529" s="129" t="s">
        <v>42</v>
      </c>
      <c r="M529" s="163" t="s">
        <v>3103</v>
      </c>
      <c r="N529" s="188">
        <v>45236</v>
      </c>
      <c r="O529" s="163" t="s">
        <v>44</v>
      </c>
      <c r="P529" s="129" t="s">
        <v>2347</v>
      </c>
      <c r="Q529" s="129" t="s">
        <v>3676</v>
      </c>
      <c r="R529" s="163" t="s">
        <v>6947</v>
      </c>
      <c r="S529" s="129">
        <v>29909</v>
      </c>
      <c r="T529" s="159" t="s">
        <v>6948</v>
      </c>
      <c r="U529" s="126" t="s">
        <v>6949</v>
      </c>
      <c r="V529" s="151">
        <v>3715146004</v>
      </c>
      <c r="W529" s="145" t="s">
        <v>6950</v>
      </c>
      <c r="X529" s="145" t="s">
        <v>6951</v>
      </c>
      <c r="Y529" s="149" t="s">
        <v>472</v>
      </c>
      <c r="Z529" s="145" t="s">
        <v>6952</v>
      </c>
      <c r="AA529" s="149" t="s">
        <v>6670</v>
      </c>
      <c r="AB529" s="149" t="s">
        <v>6670</v>
      </c>
      <c r="AC529" s="189" t="s">
        <v>6927</v>
      </c>
      <c r="AD529" s="145"/>
      <c r="AE529" s="145"/>
      <c r="AF529" s="145"/>
      <c r="AG529" s="145"/>
      <c r="AH529" s="145"/>
      <c r="AI529" s="145"/>
      <c r="AJ529" s="129"/>
      <c r="AK529" s="208" t="s">
        <v>6953</v>
      </c>
      <c r="AL529" s="209"/>
      <c r="AM529" s="209"/>
    </row>
    <row r="530" spans="1:40" ht="42.75">
      <c r="A530" s="137">
        <f>SUBTOTAL(3,$B$3:B530)</f>
        <v>528</v>
      </c>
      <c r="B530" s="121" t="s">
        <v>6928</v>
      </c>
      <c r="C530" s="163" t="s">
        <v>6954</v>
      </c>
      <c r="D530" s="163" t="s">
        <v>6954</v>
      </c>
      <c r="E530" s="129" t="s">
        <v>415</v>
      </c>
      <c r="F530" s="129" t="s">
        <v>6955</v>
      </c>
      <c r="G530" s="129" t="s">
        <v>2345</v>
      </c>
      <c r="H530" s="129" t="s">
        <v>441</v>
      </c>
      <c r="I530" s="129" t="s">
        <v>40</v>
      </c>
      <c r="J530" s="188">
        <v>35631</v>
      </c>
      <c r="K530" s="129" t="s">
        <v>41</v>
      </c>
      <c r="L530" s="129" t="s">
        <v>42</v>
      </c>
      <c r="M530" s="163" t="s">
        <v>3103</v>
      </c>
      <c r="N530" s="188">
        <v>45237</v>
      </c>
      <c r="O530" s="163" t="s">
        <v>44</v>
      </c>
      <c r="P530" s="129" t="s">
        <v>2347</v>
      </c>
      <c r="Q530" s="129" t="s">
        <v>3676</v>
      </c>
      <c r="R530" s="163">
        <v>7698244376</v>
      </c>
      <c r="S530" s="129">
        <v>29904</v>
      </c>
      <c r="T530" s="159">
        <v>101383077225</v>
      </c>
      <c r="U530" s="126" t="s">
        <v>6956</v>
      </c>
      <c r="V530" s="151">
        <v>3715148432</v>
      </c>
      <c r="W530" s="145" t="s">
        <v>6957</v>
      </c>
      <c r="X530" s="145" t="s">
        <v>6981</v>
      </c>
      <c r="Y530" s="149" t="s">
        <v>472</v>
      </c>
      <c r="Z530" s="145" t="s">
        <v>6952</v>
      </c>
      <c r="AA530" s="149" t="s">
        <v>6958</v>
      </c>
      <c r="AB530" s="149" t="s">
        <v>6958</v>
      </c>
      <c r="AC530" s="189" t="s">
        <v>6928</v>
      </c>
      <c r="AD530" s="145"/>
      <c r="AE530" s="145"/>
      <c r="AF530" s="145"/>
      <c r="AG530" s="145"/>
      <c r="AH530" s="145"/>
      <c r="AI530" s="145"/>
      <c r="AJ530" s="129"/>
      <c r="AK530" s="208" t="s">
        <v>6959</v>
      </c>
      <c r="AL530" s="209"/>
      <c r="AM530" s="209"/>
    </row>
    <row r="531" spans="1:40" ht="28.5">
      <c r="A531" s="137">
        <f>SUBTOTAL(3,$B$3:B531)</f>
        <v>529</v>
      </c>
      <c r="B531" s="121" t="s">
        <v>6970</v>
      </c>
      <c r="C531" s="163" t="s">
        <v>6982</v>
      </c>
      <c r="D531" s="163" t="s">
        <v>6982</v>
      </c>
      <c r="E531" s="129" t="s">
        <v>1308</v>
      </c>
      <c r="F531" s="129" t="s">
        <v>6983</v>
      </c>
      <c r="G531" s="129" t="s">
        <v>2389</v>
      </c>
      <c r="H531" s="129" t="s">
        <v>72</v>
      </c>
      <c r="I531" s="129" t="s">
        <v>40</v>
      </c>
      <c r="J531" s="188">
        <v>36875</v>
      </c>
      <c r="K531" s="129" t="s">
        <v>41</v>
      </c>
      <c r="L531" s="129" t="s">
        <v>42</v>
      </c>
      <c r="M531" s="163" t="s">
        <v>3103</v>
      </c>
      <c r="N531" s="188">
        <v>45238</v>
      </c>
      <c r="O531" s="163" t="s">
        <v>6931</v>
      </c>
      <c r="P531" s="129" t="s">
        <v>2347</v>
      </c>
      <c r="Q531" s="129" t="s">
        <v>3676</v>
      </c>
      <c r="R531" s="163">
        <v>7874940446</v>
      </c>
      <c r="S531" s="129">
        <v>29897</v>
      </c>
      <c r="T531" s="159">
        <v>102019002525</v>
      </c>
      <c r="U531" s="126" t="s">
        <v>6178</v>
      </c>
      <c r="V531" s="151">
        <v>3715150538</v>
      </c>
      <c r="W531" s="145" t="s">
        <v>6984</v>
      </c>
      <c r="X531" s="145" t="s">
        <v>6985</v>
      </c>
      <c r="Y531" s="149" t="s">
        <v>4952</v>
      </c>
      <c r="Z531" s="145" t="s">
        <v>6986</v>
      </c>
      <c r="AA531" s="149" t="s">
        <v>6987</v>
      </c>
      <c r="AB531" s="149" t="s">
        <v>6987</v>
      </c>
      <c r="AC531" s="189" t="s">
        <v>6970</v>
      </c>
      <c r="AD531" s="145"/>
      <c r="AE531" s="145"/>
      <c r="AF531" s="145"/>
      <c r="AG531" s="145"/>
      <c r="AH531" s="145"/>
      <c r="AI531" s="145"/>
      <c r="AJ531" s="129"/>
      <c r="AK531" s="208" t="s">
        <v>6988</v>
      </c>
      <c r="AL531" s="209"/>
      <c r="AM531" s="209"/>
    </row>
    <row r="532" spans="1:40" ht="42.75">
      <c r="A532" s="137">
        <f>SUBTOTAL(3,$B$3:B532)</f>
        <v>530</v>
      </c>
      <c r="B532" s="121" t="s">
        <v>6971</v>
      </c>
      <c r="C532" s="163" t="s">
        <v>6972</v>
      </c>
      <c r="D532" s="163" t="s">
        <v>6973</v>
      </c>
      <c r="E532" s="129" t="s">
        <v>136</v>
      </c>
      <c r="F532" s="129" t="s">
        <v>6974</v>
      </c>
      <c r="G532" s="129" t="s">
        <v>2345</v>
      </c>
      <c r="H532" s="129" t="s">
        <v>768</v>
      </c>
      <c r="I532" s="129" t="s">
        <v>40</v>
      </c>
      <c r="J532" s="188">
        <v>36952</v>
      </c>
      <c r="K532" s="129" t="s">
        <v>41</v>
      </c>
      <c r="L532" s="129" t="s">
        <v>42</v>
      </c>
      <c r="M532" s="163" t="s">
        <v>4016</v>
      </c>
      <c r="N532" s="188">
        <v>45239</v>
      </c>
      <c r="O532" s="163" t="s">
        <v>44</v>
      </c>
      <c r="P532" s="129" t="s">
        <v>2347</v>
      </c>
      <c r="Q532" s="129" t="s">
        <v>3676</v>
      </c>
      <c r="R532" s="163">
        <v>7984989988</v>
      </c>
      <c r="S532" s="129">
        <v>29899</v>
      </c>
      <c r="T532" s="159">
        <v>101786501056</v>
      </c>
      <c r="U532" s="126" t="s">
        <v>6975</v>
      </c>
      <c r="V532" s="151">
        <v>3715152995</v>
      </c>
      <c r="W532" s="145" t="s">
        <v>6976</v>
      </c>
      <c r="X532" s="145" t="s">
        <v>6977</v>
      </c>
      <c r="Y532" s="149" t="s">
        <v>146</v>
      </c>
      <c r="Z532" s="145" t="s">
        <v>1168</v>
      </c>
      <c r="AA532" s="149" t="s">
        <v>6978</v>
      </c>
      <c r="AB532" s="149" t="s">
        <v>6979</v>
      </c>
      <c r="AC532" s="189" t="s">
        <v>6971</v>
      </c>
      <c r="AD532" s="145"/>
      <c r="AE532" s="145"/>
      <c r="AF532" s="145"/>
      <c r="AG532" s="145"/>
      <c r="AH532" s="145"/>
      <c r="AI532" s="145"/>
      <c r="AJ532" s="129"/>
      <c r="AK532" s="208" t="s">
        <v>6980</v>
      </c>
      <c r="AL532" s="209"/>
      <c r="AM532" s="209"/>
    </row>
    <row r="533" spans="1:40" ht="28.5">
      <c r="A533" s="137">
        <f>SUBTOTAL(3,$B$3:B533)</f>
        <v>531</v>
      </c>
      <c r="B533" s="121" t="s">
        <v>6989</v>
      </c>
      <c r="C533" s="163" t="s">
        <v>6990</v>
      </c>
      <c r="D533" s="163" t="s">
        <v>6990</v>
      </c>
      <c r="E533" s="129" t="s">
        <v>3645</v>
      </c>
      <c r="F533" s="129" t="s">
        <v>6991</v>
      </c>
      <c r="G533" s="129" t="s">
        <v>2345</v>
      </c>
      <c r="H533" s="129" t="s">
        <v>507</v>
      </c>
      <c r="I533" s="129" t="s">
        <v>40</v>
      </c>
      <c r="J533" s="188">
        <v>37119</v>
      </c>
      <c r="K533" s="129" t="s">
        <v>41</v>
      </c>
      <c r="L533" s="129" t="s">
        <v>42</v>
      </c>
      <c r="M533" s="163" t="s">
        <v>4016</v>
      </c>
      <c r="N533" s="188">
        <v>45241</v>
      </c>
      <c r="O533" s="163" t="s">
        <v>44</v>
      </c>
      <c r="P533" s="129" t="s">
        <v>2347</v>
      </c>
      <c r="Q533" s="129" t="s">
        <v>3676</v>
      </c>
      <c r="R533" s="163">
        <v>6353426407</v>
      </c>
      <c r="S533" s="129">
        <v>29911</v>
      </c>
      <c r="T533" s="159">
        <v>102019003215</v>
      </c>
      <c r="U533" s="126" t="s">
        <v>6992</v>
      </c>
      <c r="V533" s="151">
        <v>3715153008</v>
      </c>
      <c r="W533" s="145" t="s">
        <v>6993</v>
      </c>
      <c r="X533" s="145" t="s">
        <v>6994</v>
      </c>
      <c r="Y533" s="149" t="s">
        <v>146</v>
      </c>
      <c r="Z533" s="145" t="s">
        <v>6148</v>
      </c>
      <c r="AA533" s="149" t="s">
        <v>7029</v>
      </c>
      <c r="AB533" s="149" t="s">
        <v>6995</v>
      </c>
      <c r="AC533" s="189" t="s">
        <v>6989</v>
      </c>
      <c r="AD533" s="145"/>
      <c r="AE533" s="145"/>
      <c r="AF533" s="145"/>
      <c r="AG533" s="145"/>
      <c r="AH533" s="145"/>
      <c r="AI533" s="145"/>
      <c r="AJ533" s="129"/>
      <c r="AK533" s="208" t="s">
        <v>6996</v>
      </c>
      <c r="AL533" s="209"/>
      <c r="AM533" s="209"/>
    </row>
    <row r="534" spans="1:40" ht="28.5">
      <c r="A534" s="137">
        <f>SUBTOTAL(3,$B$3:B534)</f>
        <v>532</v>
      </c>
      <c r="B534" s="121" t="s">
        <v>6997</v>
      </c>
      <c r="C534" s="163" t="s">
        <v>6998</v>
      </c>
      <c r="D534" s="163" t="s">
        <v>6999</v>
      </c>
      <c r="E534" s="129" t="s">
        <v>249</v>
      </c>
      <c r="F534" s="129" t="s">
        <v>7000</v>
      </c>
      <c r="G534" s="129" t="s">
        <v>2345</v>
      </c>
      <c r="H534" s="129" t="s">
        <v>138</v>
      </c>
      <c r="I534" s="129" t="s">
        <v>40</v>
      </c>
      <c r="J534" s="188">
        <v>35350</v>
      </c>
      <c r="K534" s="129" t="s">
        <v>280</v>
      </c>
      <c r="L534" s="129" t="s">
        <v>42</v>
      </c>
      <c r="M534" s="163" t="s">
        <v>3103</v>
      </c>
      <c r="N534" s="188">
        <v>45239</v>
      </c>
      <c r="O534" s="163" t="s">
        <v>44</v>
      </c>
      <c r="P534" s="129" t="s">
        <v>2347</v>
      </c>
      <c r="Q534" s="129" t="s">
        <v>3676</v>
      </c>
      <c r="R534" s="163" t="s">
        <v>7001</v>
      </c>
      <c r="S534" s="129">
        <v>29916</v>
      </c>
      <c r="T534" s="159">
        <v>101383077218</v>
      </c>
      <c r="U534" s="126" t="s">
        <v>7002</v>
      </c>
      <c r="V534" s="151">
        <v>3715153016</v>
      </c>
      <c r="W534" s="145" t="s">
        <v>7003</v>
      </c>
      <c r="X534" s="145" t="s">
        <v>7004</v>
      </c>
      <c r="Y534" s="149" t="s">
        <v>65</v>
      </c>
      <c r="Z534" s="145" t="s">
        <v>91</v>
      </c>
      <c r="AA534" s="149" t="s">
        <v>7005</v>
      </c>
      <c r="AB534" s="149" t="s">
        <v>7005</v>
      </c>
      <c r="AC534" s="189" t="s">
        <v>6997</v>
      </c>
      <c r="AD534" s="145"/>
      <c r="AE534" s="145"/>
      <c r="AF534" s="145"/>
      <c r="AG534" s="145"/>
      <c r="AH534" s="145"/>
      <c r="AI534" s="145"/>
      <c r="AJ534" s="129"/>
      <c r="AK534" s="208" t="s">
        <v>7006</v>
      </c>
      <c r="AL534" s="209"/>
      <c r="AM534" s="209"/>
    </row>
    <row r="535" spans="1:40" ht="28.5">
      <c r="A535" s="137">
        <f>SUBTOTAL(3,$B$3:B535)</f>
        <v>533</v>
      </c>
      <c r="B535" s="207" t="s">
        <v>7007</v>
      </c>
      <c r="C535" s="165" t="s">
        <v>7021</v>
      </c>
      <c r="D535" s="163" t="s">
        <v>7022</v>
      </c>
      <c r="E535" s="129" t="s">
        <v>4666</v>
      </c>
      <c r="F535" s="129" t="s">
        <v>7023</v>
      </c>
      <c r="G535" s="129" t="s">
        <v>2345</v>
      </c>
      <c r="H535" s="129" t="s">
        <v>138</v>
      </c>
      <c r="I535" s="129" t="s">
        <v>40</v>
      </c>
      <c r="J535" s="188">
        <v>37442</v>
      </c>
      <c r="K535" s="129" t="s">
        <v>41</v>
      </c>
      <c r="L535" s="129" t="s">
        <v>42</v>
      </c>
      <c r="M535" s="163" t="s">
        <v>1992</v>
      </c>
      <c r="N535" s="188">
        <v>45240</v>
      </c>
      <c r="O535" s="163" t="s">
        <v>2981</v>
      </c>
      <c r="P535" s="129" t="s">
        <v>2347</v>
      </c>
      <c r="Q535" s="129" t="s">
        <v>3676</v>
      </c>
      <c r="R535" s="163">
        <v>9586491994</v>
      </c>
      <c r="S535" s="124" t="e">
        <f>VLOOKUP(B535,'[2]CL SAL SHEET'!$A$4:$D$57,4,0)</f>
        <v>#N/A</v>
      </c>
      <c r="T535" s="159"/>
      <c r="U535" s="126" t="s">
        <v>7024</v>
      </c>
      <c r="V535" s="151">
        <v>3715153029</v>
      </c>
      <c r="W535" s="145" t="s">
        <v>7025</v>
      </c>
      <c r="X535" s="145" t="s">
        <v>7026</v>
      </c>
      <c r="Y535" s="149" t="s">
        <v>65</v>
      </c>
      <c r="Z535" s="145" t="s">
        <v>513</v>
      </c>
      <c r="AA535" s="149" t="s">
        <v>7027</v>
      </c>
      <c r="AB535" s="149" t="s">
        <v>7027</v>
      </c>
      <c r="AC535" s="189" t="s">
        <v>7007</v>
      </c>
      <c r="AD535" s="145"/>
      <c r="AE535" s="145"/>
      <c r="AF535" s="145"/>
      <c r="AG535" s="145"/>
      <c r="AH535" s="145"/>
      <c r="AI535" s="145"/>
      <c r="AJ535" s="129"/>
      <c r="AK535" s="208" t="s">
        <v>7028</v>
      </c>
      <c r="AL535" s="209"/>
      <c r="AM535" s="209"/>
    </row>
    <row r="536" spans="1:40" ht="28.5">
      <c r="A536" s="137">
        <f>SUBTOTAL(3,$B$3:B536)</f>
        <v>534</v>
      </c>
      <c r="B536" s="207" t="s">
        <v>7008</v>
      </c>
      <c r="C536" s="210" t="s">
        <v>7009</v>
      </c>
      <c r="D536" s="163" t="s">
        <v>7010</v>
      </c>
      <c r="E536" s="129" t="s">
        <v>1366</v>
      </c>
      <c r="F536" s="129" t="s">
        <v>7011</v>
      </c>
      <c r="G536" s="129" t="s">
        <v>2345</v>
      </c>
      <c r="H536" s="129" t="s">
        <v>7012</v>
      </c>
      <c r="I536" s="129" t="s">
        <v>40</v>
      </c>
      <c r="J536" s="188">
        <v>36453</v>
      </c>
      <c r="K536" s="129" t="s">
        <v>41</v>
      </c>
      <c r="L536" s="129" t="s">
        <v>42</v>
      </c>
      <c r="M536" s="163" t="s">
        <v>5030</v>
      </c>
      <c r="N536" s="188" t="s">
        <v>7193</v>
      </c>
      <c r="O536" s="163" t="s">
        <v>2991</v>
      </c>
      <c r="P536" s="129" t="s">
        <v>2347</v>
      </c>
      <c r="Q536" s="129" t="s">
        <v>3676</v>
      </c>
      <c r="R536" s="163" t="s">
        <v>7013</v>
      </c>
      <c r="S536" s="151" t="s">
        <v>7193</v>
      </c>
      <c r="T536" s="159" t="s">
        <v>7193</v>
      </c>
      <c r="U536" s="126" t="s">
        <v>7014</v>
      </c>
      <c r="V536" s="151" t="s">
        <v>7193</v>
      </c>
      <c r="W536" s="145" t="s">
        <v>7015</v>
      </c>
      <c r="X536" s="145" t="s">
        <v>7016</v>
      </c>
      <c r="Y536" s="149" t="s">
        <v>7017</v>
      </c>
      <c r="Z536" s="145" t="s">
        <v>7018</v>
      </c>
      <c r="AA536" s="149" t="s">
        <v>7019</v>
      </c>
      <c r="AB536" s="149" t="s">
        <v>7019</v>
      </c>
      <c r="AC536" s="189" t="s">
        <v>7008</v>
      </c>
      <c r="AD536" s="145"/>
      <c r="AE536" s="145"/>
      <c r="AF536" s="145"/>
      <c r="AG536" s="145"/>
      <c r="AH536" s="145"/>
      <c r="AI536" s="145"/>
      <c r="AJ536" s="129"/>
      <c r="AK536" s="208" t="s">
        <v>7020</v>
      </c>
      <c r="AL536" s="209"/>
      <c r="AM536" s="209"/>
    </row>
    <row r="537" spans="1:40" ht="28.5">
      <c r="A537" s="137">
        <f>SUBTOTAL(3,$B$3:B537)</f>
        <v>535</v>
      </c>
      <c r="B537" s="121" t="s">
        <v>7030</v>
      </c>
      <c r="C537" s="163" t="s">
        <v>7054</v>
      </c>
      <c r="D537" s="163" t="s">
        <v>7054</v>
      </c>
      <c r="E537" s="129" t="s">
        <v>6013</v>
      </c>
      <c r="F537" s="129" t="s">
        <v>7055</v>
      </c>
      <c r="G537" s="129" t="s">
        <v>2389</v>
      </c>
      <c r="H537" s="129" t="s">
        <v>7056</v>
      </c>
      <c r="I537" s="129" t="s">
        <v>40</v>
      </c>
      <c r="J537" s="188">
        <v>36604</v>
      </c>
      <c r="K537" s="129" t="s">
        <v>41</v>
      </c>
      <c r="L537" s="129" t="s">
        <v>42</v>
      </c>
      <c r="M537" s="163" t="s">
        <v>4222</v>
      </c>
      <c r="N537" s="188">
        <v>45250</v>
      </c>
      <c r="O537" s="163" t="s">
        <v>2981</v>
      </c>
      <c r="P537" s="129" t="s">
        <v>2347</v>
      </c>
      <c r="Q537" s="129" t="s">
        <v>3676</v>
      </c>
      <c r="R537" s="163">
        <v>7285002439</v>
      </c>
      <c r="S537" s="129">
        <v>28895</v>
      </c>
      <c r="T537" s="159">
        <v>102019002518</v>
      </c>
      <c r="U537" s="126" t="s">
        <v>7057</v>
      </c>
      <c r="V537" s="151">
        <v>3715157356</v>
      </c>
      <c r="W537" s="145" t="s">
        <v>7058</v>
      </c>
      <c r="X537" s="145" t="s">
        <v>7059</v>
      </c>
      <c r="Y537" s="149" t="s">
        <v>65</v>
      </c>
      <c r="Z537" s="145" t="s">
        <v>7060</v>
      </c>
      <c r="AA537" s="149" t="s">
        <v>7061</v>
      </c>
      <c r="AB537" s="149" t="s">
        <v>7062</v>
      </c>
      <c r="AC537" s="189" t="s">
        <v>7030</v>
      </c>
      <c r="AD537" s="145"/>
      <c r="AE537" s="145"/>
      <c r="AF537" s="145"/>
      <c r="AG537" s="145"/>
      <c r="AH537" s="145"/>
      <c r="AI537" s="145"/>
      <c r="AJ537" s="129"/>
      <c r="AK537" s="208" t="s">
        <v>7063</v>
      </c>
      <c r="AL537" s="209"/>
      <c r="AM537" s="209"/>
    </row>
    <row r="538" spans="1:40" ht="28.5">
      <c r="A538" s="137">
        <f>SUBTOTAL(3,$B$3:B538)</f>
        <v>536</v>
      </c>
      <c r="B538" s="121" t="s">
        <v>7031</v>
      </c>
      <c r="C538" s="163" t="s">
        <v>7033</v>
      </c>
      <c r="D538" s="163" t="s">
        <v>7034</v>
      </c>
      <c r="E538" s="129" t="s">
        <v>7035</v>
      </c>
      <c r="F538" s="129" t="s">
        <v>7036</v>
      </c>
      <c r="G538" s="129" t="s">
        <v>2389</v>
      </c>
      <c r="H538" s="129" t="s">
        <v>441</v>
      </c>
      <c r="I538" s="129" t="s">
        <v>40</v>
      </c>
      <c r="J538" s="188">
        <v>37534</v>
      </c>
      <c r="K538" s="129" t="s">
        <v>41</v>
      </c>
      <c r="L538" s="129" t="s">
        <v>42</v>
      </c>
      <c r="M538" s="163" t="s">
        <v>7037</v>
      </c>
      <c r="N538" s="188">
        <v>45251</v>
      </c>
      <c r="O538" s="163" t="s">
        <v>2193</v>
      </c>
      <c r="P538" s="137" t="s">
        <v>3048</v>
      </c>
      <c r="Q538" s="129" t="s">
        <v>3676</v>
      </c>
      <c r="R538" s="163" t="s">
        <v>7038</v>
      </c>
      <c r="S538" s="129">
        <v>29903</v>
      </c>
      <c r="T538" s="159">
        <v>102019002560</v>
      </c>
      <c r="U538" s="126" t="s">
        <v>7039</v>
      </c>
      <c r="V538" s="151">
        <v>3715157365</v>
      </c>
      <c r="W538" s="145" t="s">
        <v>7040</v>
      </c>
      <c r="X538" s="145" t="s">
        <v>7041</v>
      </c>
      <c r="Y538" s="149" t="s">
        <v>677</v>
      </c>
      <c r="Z538" s="145" t="s">
        <v>7042</v>
      </c>
      <c r="AA538" s="149" t="s">
        <v>7043</v>
      </c>
      <c r="AB538" s="149" t="s">
        <v>7043</v>
      </c>
      <c r="AC538" s="189" t="s">
        <v>7031</v>
      </c>
      <c r="AD538" s="145"/>
      <c r="AE538" s="145"/>
      <c r="AF538" s="145"/>
      <c r="AG538" s="145"/>
      <c r="AH538" s="145"/>
      <c r="AI538" s="145"/>
      <c r="AJ538" s="129"/>
      <c r="AK538" s="208" t="s">
        <v>7044</v>
      </c>
      <c r="AL538" s="209"/>
      <c r="AM538" s="209"/>
      <c r="AN538" s="108"/>
    </row>
    <row r="539" spans="1:40" ht="28.5">
      <c r="A539" s="137">
        <f>SUBTOTAL(3,$B$3:B539)</f>
        <v>537</v>
      </c>
      <c r="B539" s="121" t="s">
        <v>7032</v>
      </c>
      <c r="C539" s="165" t="s">
        <v>7045</v>
      </c>
      <c r="D539" s="163" t="s">
        <v>7046</v>
      </c>
      <c r="E539" s="129" t="s">
        <v>136</v>
      </c>
      <c r="F539" s="129" t="s">
        <v>7047</v>
      </c>
      <c r="G539" s="129" t="s">
        <v>2389</v>
      </c>
      <c r="H539" s="129" t="s">
        <v>7048</v>
      </c>
      <c r="I539" s="129" t="s">
        <v>40</v>
      </c>
      <c r="J539" s="188">
        <v>37166</v>
      </c>
      <c r="K539" s="129" t="s">
        <v>41</v>
      </c>
      <c r="L539" s="129" t="s">
        <v>42</v>
      </c>
      <c r="M539" s="163" t="s">
        <v>7037</v>
      </c>
      <c r="N539" s="188">
        <v>45251</v>
      </c>
      <c r="O539" s="163" t="s">
        <v>2193</v>
      </c>
      <c r="P539" s="137" t="s">
        <v>3048</v>
      </c>
      <c r="Q539" s="129" t="s">
        <v>3676</v>
      </c>
      <c r="R539" s="163">
        <v>7622845476</v>
      </c>
      <c r="S539" s="163"/>
      <c r="T539" s="159"/>
      <c r="U539" s="126" t="s">
        <v>7049</v>
      </c>
      <c r="V539" s="151">
        <v>3715157381</v>
      </c>
      <c r="W539" s="145" t="s">
        <v>7050</v>
      </c>
      <c r="X539" s="145" t="s">
        <v>7051</v>
      </c>
      <c r="Y539" s="149" t="s">
        <v>65</v>
      </c>
      <c r="Z539" s="145" t="s">
        <v>1500</v>
      </c>
      <c r="AA539" s="149" t="s">
        <v>7052</v>
      </c>
      <c r="AB539" s="149" t="s">
        <v>7052</v>
      </c>
      <c r="AC539" s="189" t="s">
        <v>7032</v>
      </c>
      <c r="AD539" s="145"/>
      <c r="AE539" s="145"/>
      <c r="AF539" s="145"/>
      <c r="AG539" s="145"/>
      <c r="AH539" s="145"/>
      <c r="AI539" s="145"/>
      <c r="AJ539" s="129"/>
      <c r="AK539" s="208" t="s">
        <v>7053</v>
      </c>
      <c r="AL539" s="209"/>
      <c r="AM539" s="209"/>
    </row>
    <row r="540" spans="1:40" ht="28.5">
      <c r="A540" s="137">
        <f>SUBTOTAL(3,$B$3:B540)</f>
        <v>538</v>
      </c>
      <c r="B540" s="207" t="s">
        <v>7064</v>
      </c>
      <c r="C540" s="163" t="s">
        <v>7066</v>
      </c>
      <c r="D540" s="163" t="s">
        <v>7067</v>
      </c>
      <c r="E540" s="129" t="s">
        <v>5672</v>
      </c>
      <c r="F540" s="129" t="s">
        <v>7068</v>
      </c>
      <c r="G540" s="129" t="s">
        <v>2389</v>
      </c>
      <c r="H540" s="129" t="s">
        <v>7069</v>
      </c>
      <c r="I540" s="129" t="s">
        <v>40</v>
      </c>
      <c r="J540" s="188">
        <v>37612</v>
      </c>
      <c r="K540" s="129" t="s">
        <v>41</v>
      </c>
      <c r="L540" s="129" t="s">
        <v>42</v>
      </c>
      <c r="M540" s="163" t="s">
        <v>7070</v>
      </c>
      <c r="N540" s="188">
        <v>45251</v>
      </c>
      <c r="O540" s="163" t="s">
        <v>7071</v>
      </c>
      <c r="P540" s="129" t="s">
        <v>2347</v>
      </c>
      <c r="Q540" s="129" t="s">
        <v>3676</v>
      </c>
      <c r="R540" s="163" t="s">
        <v>7072</v>
      </c>
      <c r="S540" s="129">
        <v>29905</v>
      </c>
      <c r="T540" s="159">
        <v>102019002573</v>
      </c>
      <c r="U540" s="126" t="s">
        <v>7073</v>
      </c>
      <c r="V540" s="151">
        <v>3715157396</v>
      </c>
      <c r="W540" s="145" t="s">
        <v>7074</v>
      </c>
      <c r="X540" s="145" t="s">
        <v>7075</v>
      </c>
      <c r="Y540" s="149" t="s">
        <v>146</v>
      </c>
      <c r="Z540" s="145" t="s">
        <v>7076</v>
      </c>
      <c r="AA540" s="149" t="s">
        <v>7077</v>
      </c>
      <c r="AB540" s="149" t="s">
        <v>7077</v>
      </c>
      <c r="AC540" s="189" t="s">
        <v>7064</v>
      </c>
      <c r="AD540" s="145"/>
      <c r="AE540" s="145"/>
      <c r="AF540" s="145"/>
      <c r="AG540" s="145"/>
      <c r="AH540" s="145"/>
      <c r="AI540" s="145"/>
      <c r="AJ540" s="129"/>
      <c r="AK540" s="208" t="s">
        <v>7078</v>
      </c>
      <c r="AL540" s="209"/>
      <c r="AM540" s="209"/>
    </row>
    <row r="541" spans="1:40" ht="28.5">
      <c r="A541" s="137">
        <f>SUBTOTAL(3,$B$3:B541)</f>
        <v>539</v>
      </c>
      <c r="B541" s="121" t="s">
        <v>7065</v>
      </c>
      <c r="C541" s="163" t="s">
        <v>7079</v>
      </c>
      <c r="D541" s="163" t="s">
        <v>7080</v>
      </c>
      <c r="E541" s="129" t="s">
        <v>263</v>
      </c>
      <c r="F541" s="129" t="s">
        <v>7081</v>
      </c>
      <c r="G541" s="129" t="s">
        <v>2389</v>
      </c>
      <c r="H541" s="129" t="s">
        <v>4396</v>
      </c>
      <c r="I541" s="129" t="s">
        <v>40</v>
      </c>
      <c r="J541" s="188">
        <v>36045</v>
      </c>
      <c r="K541" s="129" t="s">
        <v>41</v>
      </c>
      <c r="L541" s="129" t="s">
        <v>42</v>
      </c>
      <c r="M541" s="163" t="s">
        <v>4016</v>
      </c>
      <c r="N541" s="188">
        <v>45252</v>
      </c>
      <c r="O541" s="163" t="s">
        <v>6931</v>
      </c>
      <c r="P541" s="129" t="s">
        <v>2347</v>
      </c>
      <c r="Q541" s="129" t="s">
        <v>3676</v>
      </c>
      <c r="R541" s="163" t="s">
        <v>7082</v>
      </c>
      <c r="S541" s="129">
        <v>29913</v>
      </c>
      <c r="T541" s="159">
        <v>101591148289</v>
      </c>
      <c r="U541" s="126" t="s">
        <v>7083</v>
      </c>
      <c r="V541" s="148">
        <v>3715168776</v>
      </c>
      <c r="W541" s="145" t="s">
        <v>7084</v>
      </c>
      <c r="X541" s="145" t="s">
        <v>7085</v>
      </c>
      <c r="Y541" s="149" t="s">
        <v>4952</v>
      </c>
      <c r="Z541" s="145" t="s">
        <v>6986</v>
      </c>
      <c r="AA541" s="149" t="s">
        <v>7086</v>
      </c>
      <c r="AB541" s="149" t="s">
        <v>7086</v>
      </c>
      <c r="AC541" s="189" t="s">
        <v>7065</v>
      </c>
      <c r="AD541" s="145"/>
      <c r="AE541" s="145"/>
      <c r="AF541" s="145"/>
      <c r="AG541" s="145"/>
      <c r="AH541" s="145"/>
      <c r="AI541" s="145"/>
      <c r="AJ541" s="129"/>
      <c r="AK541" s="208" t="s">
        <v>7087</v>
      </c>
      <c r="AL541" s="209"/>
      <c r="AM541" s="209"/>
    </row>
    <row r="542" spans="1:40" ht="28.5">
      <c r="A542" s="137">
        <f>SUBTOTAL(3,$B$3:B542)</f>
        <v>540</v>
      </c>
      <c r="B542" s="121" t="s">
        <v>7088</v>
      </c>
      <c r="C542" s="163" t="s">
        <v>7182</v>
      </c>
      <c r="D542" s="163" t="s">
        <v>7182</v>
      </c>
      <c r="E542" s="129" t="s">
        <v>7183</v>
      </c>
      <c r="F542" s="129" t="s">
        <v>7184</v>
      </c>
      <c r="G542" s="129" t="s">
        <v>2345</v>
      </c>
      <c r="H542" s="129" t="s">
        <v>7185</v>
      </c>
      <c r="I542" s="129" t="s">
        <v>40</v>
      </c>
      <c r="J542" s="188">
        <v>36724</v>
      </c>
      <c r="K542" s="129" t="s">
        <v>41</v>
      </c>
      <c r="L542" s="129" t="s">
        <v>42</v>
      </c>
      <c r="M542" s="163" t="s">
        <v>4016</v>
      </c>
      <c r="N542" s="188">
        <v>45254</v>
      </c>
      <c r="O542" s="163" t="s">
        <v>44</v>
      </c>
      <c r="P542" s="129" t="s">
        <v>2347</v>
      </c>
      <c r="Q542" s="129" t="s">
        <v>3676</v>
      </c>
      <c r="R542" s="163">
        <v>9016297981</v>
      </c>
      <c r="S542" s="129">
        <v>29896</v>
      </c>
      <c r="T542" s="159">
        <v>101795608008</v>
      </c>
      <c r="U542" s="126" t="s">
        <v>7186</v>
      </c>
      <c r="V542" s="151">
        <v>3715185259</v>
      </c>
      <c r="W542" s="145" t="s">
        <v>7187</v>
      </c>
      <c r="X542" s="145" t="s">
        <v>7188</v>
      </c>
      <c r="Y542" s="149" t="s">
        <v>65</v>
      </c>
      <c r="Z542" s="145" t="s">
        <v>4588</v>
      </c>
      <c r="AA542" s="149" t="s">
        <v>7189</v>
      </c>
      <c r="AB542" s="149" t="s">
        <v>7190</v>
      </c>
      <c r="AC542" s="189" t="s">
        <v>7088</v>
      </c>
      <c r="AD542" s="145"/>
      <c r="AE542" s="145"/>
      <c r="AF542" s="145"/>
      <c r="AG542" s="145"/>
      <c r="AH542" s="145"/>
      <c r="AI542" s="145"/>
      <c r="AJ542" s="129"/>
      <c r="AK542" s="208" t="s">
        <v>7191</v>
      </c>
      <c r="AL542" s="209"/>
      <c r="AM542" s="209"/>
    </row>
    <row r="543" spans="1:40" ht="28.5">
      <c r="A543" s="137">
        <f>SUBTOTAL(3,$B$3:B543)</f>
        <v>541</v>
      </c>
      <c r="B543" s="121" t="s">
        <v>7089</v>
      </c>
      <c r="C543" s="163" t="s">
        <v>7092</v>
      </c>
      <c r="D543" s="163" t="s">
        <v>7092</v>
      </c>
      <c r="E543" s="129" t="s">
        <v>70</v>
      </c>
      <c r="F543" s="129" t="s">
        <v>7093</v>
      </c>
      <c r="G543" s="129" t="s">
        <v>2389</v>
      </c>
      <c r="H543" s="129" t="s">
        <v>84</v>
      </c>
      <c r="I543" s="129" t="s">
        <v>40</v>
      </c>
      <c r="J543" s="188">
        <v>37098</v>
      </c>
      <c r="K543" s="129" t="s">
        <v>41</v>
      </c>
      <c r="L543" s="129" t="s">
        <v>42</v>
      </c>
      <c r="M543" s="163" t="s">
        <v>4016</v>
      </c>
      <c r="N543" s="188">
        <v>45254</v>
      </c>
      <c r="O543" s="163" t="s">
        <v>6931</v>
      </c>
      <c r="P543" s="129" t="s">
        <v>2347</v>
      </c>
      <c r="Q543" s="129" t="s">
        <v>3676</v>
      </c>
      <c r="R543" s="163">
        <v>8758958085</v>
      </c>
      <c r="S543" s="129">
        <v>29918</v>
      </c>
      <c r="T543" s="159">
        <v>101906765454</v>
      </c>
      <c r="U543" s="126" t="s">
        <v>6178</v>
      </c>
      <c r="V543" s="151">
        <v>3715168791</v>
      </c>
      <c r="W543" s="145" t="s">
        <v>7094</v>
      </c>
      <c r="X543" s="145" t="s">
        <v>7095</v>
      </c>
      <c r="Y543" s="149" t="s">
        <v>146</v>
      </c>
      <c r="Z543" s="145" t="s">
        <v>1561</v>
      </c>
      <c r="AA543" s="149" t="s">
        <v>7096</v>
      </c>
      <c r="AB543" s="149" t="s">
        <v>7096</v>
      </c>
      <c r="AC543" s="189" t="s">
        <v>7089</v>
      </c>
      <c r="AD543" s="145"/>
      <c r="AE543" s="145"/>
      <c r="AF543" s="145"/>
      <c r="AG543" s="145"/>
      <c r="AH543" s="145"/>
      <c r="AI543" s="145"/>
      <c r="AJ543" s="129"/>
      <c r="AK543" s="208" t="s">
        <v>7097</v>
      </c>
      <c r="AL543" s="209"/>
      <c r="AM543" s="209"/>
    </row>
    <row r="544" spans="1:40" ht="28.5">
      <c r="A544" s="137">
        <f>SUBTOTAL(3,$B$3:B544)</f>
        <v>542</v>
      </c>
      <c r="B544" s="121" t="s">
        <v>7090</v>
      </c>
      <c r="C544" s="163" t="s">
        <v>7098</v>
      </c>
      <c r="D544" s="163" t="s">
        <v>7098</v>
      </c>
      <c r="E544" s="129" t="s">
        <v>7099</v>
      </c>
      <c r="F544" s="129" t="s">
        <v>7100</v>
      </c>
      <c r="G544" s="129" t="s">
        <v>2345</v>
      </c>
      <c r="H544" s="129" t="s">
        <v>7101</v>
      </c>
      <c r="I544" s="129" t="s">
        <v>40</v>
      </c>
      <c r="J544" s="188">
        <v>35809</v>
      </c>
      <c r="K544" s="129" t="s">
        <v>280</v>
      </c>
      <c r="L544" s="129" t="s">
        <v>42</v>
      </c>
      <c r="M544" s="163" t="s">
        <v>4016</v>
      </c>
      <c r="N544" s="188">
        <v>45255</v>
      </c>
      <c r="O544" s="163" t="s">
        <v>44</v>
      </c>
      <c r="P544" s="129" t="s">
        <v>2347</v>
      </c>
      <c r="Q544" s="129" t="s">
        <v>3676</v>
      </c>
      <c r="R544" s="163" t="s">
        <v>7102</v>
      </c>
      <c r="S544" s="129">
        <v>29914</v>
      </c>
      <c r="T544" s="159">
        <v>101503401993</v>
      </c>
      <c r="U544" s="126" t="s">
        <v>7103</v>
      </c>
      <c r="V544" s="151">
        <v>3715185296</v>
      </c>
      <c r="W544" s="145" t="s">
        <v>7104</v>
      </c>
      <c r="X544" s="145" t="s">
        <v>7105</v>
      </c>
      <c r="Y544" s="149" t="s">
        <v>65</v>
      </c>
      <c r="Z544" s="145" t="s">
        <v>2574</v>
      </c>
      <c r="AA544" s="149" t="s">
        <v>7107</v>
      </c>
      <c r="AB544" s="149" t="s">
        <v>7106</v>
      </c>
      <c r="AC544" s="189" t="s">
        <v>7090</v>
      </c>
      <c r="AD544" s="145"/>
      <c r="AE544" s="145"/>
      <c r="AF544" s="145"/>
      <c r="AG544" s="145"/>
      <c r="AH544" s="145"/>
      <c r="AI544" s="145"/>
      <c r="AJ544" s="129"/>
      <c r="AK544" s="208" t="s">
        <v>7108</v>
      </c>
      <c r="AL544" s="209"/>
      <c r="AM544" s="209"/>
    </row>
    <row r="545" spans="1:40" ht="28.5">
      <c r="A545" s="137">
        <f>SUBTOTAL(3,$B$3:B545)</f>
        <v>543</v>
      </c>
      <c r="B545" s="121" t="s">
        <v>7091</v>
      </c>
      <c r="C545" s="163" t="s">
        <v>7109</v>
      </c>
      <c r="D545" s="163" t="s">
        <v>7109</v>
      </c>
      <c r="E545" s="129" t="s">
        <v>7110</v>
      </c>
      <c r="F545" s="129" t="s">
        <v>1951</v>
      </c>
      <c r="G545" s="129" t="s">
        <v>2345</v>
      </c>
      <c r="H545" s="129" t="s">
        <v>7111</v>
      </c>
      <c r="I545" s="129" t="s">
        <v>40</v>
      </c>
      <c r="J545" s="188">
        <v>36799</v>
      </c>
      <c r="K545" s="129" t="s">
        <v>41</v>
      </c>
      <c r="L545" s="129" t="s">
        <v>42</v>
      </c>
      <c r="M545" s="163" t="s">
        <v>4016</v>
      </c>
      <c r="N545" s="188">
        <v>45255</v>
      </c>
      <c r="O545" s="163" t="s">
        <v>44</v>
      </c>
      <c r="P545" s="129" t="s">
        <v>2347</v>
      </c>
      <c r="Q545" s="129" t="s">
        <v>3676</v>
      </c>
      <c r="R545" s="163" t="s">
        <v>7112</v>
      </c>
      <c r="S545" s="129">
        <v>29917</v>
      </c>
      <c r="T545" s="159">
        <v>102005763104</v>
      </c>
      <c r="U545" s="126" t="s">
        <v>6178</v>
      </c>
      <c r="V545" s="151">
        <v>3715185315</v>
      </c>
      <c r="W545" s="145" t="s">
        <v>7113</v>
      </c>
      <c r="X545" s="145" t="s">
        <v>7114</v>
      </c>
      <c r="Y545" s="149" t="s">
        <v>65</v>
      </c>
      <c r="Z545" s="145" t="s">
        <v>7115</v>
      </c>
      <c r="AA545" s="149" t="s">
        <v>7116</v>
      </c>
      <c r="AB545" s="149" t="s">
        <v>7117</v>
      </c>
      <c r="AC545" s="189" t="s">
        <v>7091</v>
      </c>
      <c r="AD545" s="145"/>
      <c r="AE545" s="145"/>
      <c r="AF545" s="145"/>
      <c r="AG545" s="145"/>
      <c r="AH545" s="145"/>
      <c r="AI545" s="145"/>
      <c r="AJ545" s="129"/>
      <c r="AK545" s="208" t="s">
        <v>7118</v>
      </c>
      <c r="AL545" s="209"/>
      <c r="AM545" s="209"/>
    </row>
    <row r="546" spans="1:40" ht="28.5">
      <c r="A546" s="137">
        <f>SUBTOTAL(3,$B$3:B546)</f>
        <v>544</v>
      </c>
      <c r="B546" s="121" t="s">
        <v>7119</v>
      </c>
      <c r="C546" s="163" t="s">
        <v>7120</v>
      </c>
      <c r="D546" s="163" t="s">
        <v>7120</v>
      </c>
      <c r="E546" s="129" t="s">
        <v>646</v>
      </c>
      <c r="F546" s="129" t="s">
        <v>7121</v>
      </c>
      <c r="G546" s="129" t="s">
        <v>2345</v>
      </c>
      <c r="H546" s="129" t="s">
        <v>1042</v>
      </c>
      <c r="I546" s="129" t="s">
        <v>40</v>
      </c>
      <c r="J546" s="188">
        <v>37478</v>
      </c>
      <c r="K546" s="129" t="s">
        <v>41</v>
      </c>
      <c r="L546" s="129" t="s">
        <v>42</v>
      </c>
      <c r="M546" s="163" t="s">
        <v>4016</v>
      </c>
      <c r="N546" s="188">
        <v>45257</v>
      </c>
      <c r="O546" s="163" t="s">
        <v>44</v>
      </c>
      <c r="P546" s="129" t="s">
        <v>2347</v>
      </c>
      <c r="Q546" s="129" t="s">
        <v>3676</v>
      </c>
      <c r="R546" s="163" t="s">
        <v>7122</v>
      </c>
      <c r="S546" s="129">
        <v>29900</v>
      </c>
      <c r="T546" s="159">
        <v>102019002539</v>
      </c>
      <c r="U546" s="126" t="s">
        <v>7123</v>
      </c>
      <c r="V546" s="151">
        <v>3715185329</v>
      </c>
      <c r="W546" s="145" t="s">
        <v>7124</v>
      </c>
      <c r="X546" s="145" t="s">
        <v>7125</v>
      </c>
      <c r="Y546" s="149" t="s">
        <v>65</v>
      </c>
      <c r="Z546" s="145" t="s">
        <v>4588</v>
      </c>
      <c r="AA546" s="149" t="s">
        <v>7126</v>
      </c>
      <c r="AB546" s="149" t="s">
        <v>7126</v>
      </c>
      <c r="AC546" s="189" t="s">
        <v>7119</v>
      </c>
      <c r="AD546" s="145"/>
      <c r="AE546" s="145"/>
      <c r="AF546" s="145"/>
      <c r="AG546" s="145"/>
      <c r="AH546" s="145"/>
      <c r="AI546" s="145"/>
      <c r="AJ546" s="129"/>
      <c r="AK546" s="208" t="s">
        <v>7127</v>
      </c>
      <c r="AL546" s="209"/>
      <c r="AM546" s="209"/>
      <c r="AN546" s="108"/>
    </row>
    <row r="547" spans="1:40" ht="28.5">
      <c r="A547" s="137">
        <f>SUBTOTAL(3,$B$3:B547)</f>
        <v>545</v>
      </c>
      <c r="B547" s="121" t="s">
        <v>7128</v>
      </c>
      <c r="C547" s="163" t="s">
        <v>7130</v>
      </c>
      <c r="D547" s="163" t="s">
        <v>7130</v>
      </c>
      <c r="E547" s="129" t="s">
        <v>415</v>
      </c>
      <c r="F547" s="129" t="s">
        <v>6415</v>
      </c>
      <c r="G547" s="129" t="s">
        <v>2345</v>
      </c>
      <c r="H547" s="129" t="s">
        <v>239</v>
      </c>
      <c r="I547" s="129" t="s">
        <v>40</v>
      </c>
      <c r="J547" s="188">
        <v>36131</v>
      </c>
      <c r="K547" s="129" t="s">
        <v>280</v>
      </c>
      <c r="L547" s="129" t="s">
        <v>42</v>
      </c>
      <c r="M547" s="163" t="s">
        <v>6752</v>
      </c>
      <c r="N547" s="188">
        <v>45258</v>
      </c>
      <c r="O547" s="163" t="s">
        <v>6931</v>
      </c>
      <c r="P547" s="129" t="s">
        <v>2347</v>
      </c>
      <c r="Q547" s="129" t="s">
        <v>3676</v>
      </c>
      <c r="R547" s="163" t="s">
        <v>7131</v>
      </c>
      <c r="S547" s="129">
        <v>29912</v>
      </c>
      <c r="T547" s="159">
        <v>101677791008</v>
      </c>
      <c r="U547" s="126" t="s">
        <v>7132</v>
      </c>
      <c r="V547" s="151">
        <v>3714081559</v>
      </c>
      <c r="W547" s="145" t="s">
        <v>7133</v>
      </c>
      <c r="X547" s="145" t="s">
        <v>7134</v>
      </c>
      <c r="Y547" s="149" t="s">
        <v>65</v>
      </c>
      <c r="Z547" s="145" t="s">
        <v>1873</v>
      </c>
      <c r="AA547" s="149" t="s">
        <v>7135</v>
      </c>
      <c r="AB547" s="149" t="s">
        <v>7135</v>
      </c>
      <c r="AC547" s="189" t="s">
        <v>7128</v>
      </c>
      <c r="AD547" s="145"/>
      <c r="AE547" s="145"/>
      <c r="AF547" s="145"/>
      <c r="AG547" s="145"/>
      <c r="AH547" s="145"/>
      <c r="AI547" s="145"/>
      <c r="AJ547" s="129"/>
      <c r="AK547" s="208" t="s">
        <v>7136</v>
      </c>
      <c r="AL547" s="209"/>
      <c r="AM547" s="209"/>
    </row>
    <row r="548" spans="1:40" ht="28.5">
      <c r="A548" s="137">
        <f>SUBTOTAL(3,$B$3:B548)</f>
        <v>546</v>
      </c>
      <c r="B548" s="121" t="s">
        <v>7129</v>
      </c>
      <c r="C548" s="163" t="s">
        <v>7137</v>
      </c>
      <c r="D548" s="163" t="s">
        <v>7137</v>
      </c>
      <c r="E548" s="129" t="s">
        <v>415</v>
      </c>
      <c r="F548" s="129" t="s">
        <v>7138</v>
      </c>
      <c r="G548" s="129" t="s">
        <v>2345</v>
      </c>
      <c r="H548" s="129" t="s">
        <v>239</v>
      </c>
      <c r="I548" s="129" t="s">
        <v>40</v>
      </c>
      <c r="J548" s="188">
        <v>36921</v>
      </c>
      <c r="K548" s="129" t="s">
        <v>41</v>
      </c>
      <c r="L548" s="129" t="s">
        <v>42</v>
      </c>
      <c r="M548" s="163" t="s">
        <v>6752</v>
      </c>
      <c r="N548" s="188">
        <v>45258</v>
      </c>
      <c r="O548" s="163" t="s">
        <v>44</v>
      </c>
      <c r="P548" s="129" t="s">
        <v>2347</v>
      </c>
      <c r="Q548" s="129" t="s">
        <v>3676</v>
      </c>
      <c r="R548" s="163" t="s">
        <v>7139</v>
      </c>
      <c r="S548" s="129">
        <v>29906</v>
      </c>
      <c r="T548" s="159">
        <v>102019002587</v>
      </c>
      <c r="U548" s="126" t="s">
        <v>7140</v>
      </c>
      <c r="V548" s="151">
        <v>3715185354</v>
      </c>
      <c r="W548" s="145" t="s">
        <v>7141</v>
      </c>
      <c r="X548" s="145" t="s">
        <v>7142</v>
      </c>
      <c r="Y548" s="149" t="s">
        <v>146</v>
      </c>
      <c r="Z548" s="145" t="s">
        <v>1168</v>
      </c>
      <c r="AA548" s="149" t="s">
        <v>7135</v>
      </c>
      <c r="AB548" s="149" t="s">
        <v>7135</v>
      </c>
      <c r="AC548" s="189" t="s">
        <v>7129</v>
      </c>
      <c r="AD548" s="145"/>
      <c r="AE548" s="145"/>
      <c r="AF548" s="145"/>
      <c r="AG548" s="145"/>
      <c r="AH548" s="145"/>
      <c r="AI548" s="145"/>
      <c r="AJ548" s="129"/>
      <c r="AK548" s="208" t="s">
        <v>7143</v>
      </c>
      <c r="AL548" s="209"/>
      <c r="AM548" s="209"/>
    </row>
    <row r="549" spans="1:40" ht="28.5">
      <c r="A549" s="137">
        <f>SUBTOTAL(3,$B$3:B549)</f>
        <v>547</v>
      </c>
      <c r="B549" s="121" t="s">
        <v>7144</v>
      </c>
      <c r="C549" s="163" t="s">
        <v>7145</v>
      </c>
      <c r="D549" s="163" t="s">
        <v>7145</v>
      </c>
      <c r="E549" s="129" t="s">
        <v>7146</v>
      </c>
      <c r="F549" s="129" t="s">
        <v>403</v>
      </c>
      <c r="G549" s="129" t="s">
        <v>2345</v>
      </c>
      <c r="H549" s="129" t="s">
        <v>7192</v>
      </c>
      <c r="I549" s="129" t="s">
        <v>40</v>
      </c>
      <c r="J549" s="188">
        <v>37473</v>
      </c>
      <c r="K549" s="129" t="s">
        <v>41</v>
      </c>
      <c r="L549" s="129" t="s">
        <v>42</v>
      </c>
      <c r="M549" s="163" t="s">
        <v>4016</v>
      </c>
      <c r="N549" s="188">
        <v>45259</v>
      </c>
      <c r="O549" s="163" t="s">
        <v>44</v>
      </c>
      <c r="P549" s="129" t="s">
        <v>2347</v>
      </c>
      <c r="Q549" s="129" t="s">
        <v>3676</v>
      </c>
      <c r="R549" s="163" t="s">
        <v>7147</v>
      </c>
      <c r="S549" s="129">
        <v>29898</v>
      </c>
      <c r="T549" s="159">
        <v>102005728076</v>
      </c>
      <c r="U549" s="126" t="s">
        <v>6178</v>
      </c>
      <c r="V549" s="151">
        <v>3715185371</v>
      </c>
      <c r="W549" s="145" t="s">
        <v>7150</v>
      </c>
      <c r="X549" s="145" t="s">
        <v>7148</v>
      </c>
      <c r="Y549" s="149" t="s">
        <v>326</v>
      </c>
      <c r="Z549" s="145" t="s">
        <v>7149</v>
      </c>
      <c r="AA549" s="149" t="s">
        <v>7151</v>
      </c>
      <c r="AB549" s="149" t="s">
        <v>7151</v>
      </c>
      <c r="AC549" s="189" t="s">
        <v>7144</v>
      </c>
      <c r="AD549" s="145"/>
      <c r="AE549" s="145"/>
      <c r="AF549" s="145"/>
      <c r="AG549" s="145"/>
      <c r="AH549" s="145"/>
      <c r="AI549" s="145"/>
      <c r="AJ549" s="129"/>
      <c r="AK549" s="208" t="s">
        <v>7180</v>
      </c>
      <c r="AL549" s="209"/>
      <c r="AM549" s="209"/>
    </row>
    <row r="550" spans="1:40" ht="28.5">
      <c r="A550" s="137">
        <f>SUBTOTAL(3,$B$3:B550)</f>
        <v>548</v>
      </c>
      <c r="B550" s="121" t="s">
        <v>7152</v>
      </c>
      <c r="C550" s="184" t="s">
        <v>7153</v>
      </c>
      <c r="D550" s="163" t="s">
        <v>7153</v>
      </c>
      <c r="E550" s="129" t="s">
        <v>6866</v>
      </c>
      <c r="F550" s="129" t="s">
        <v>7154</v>
      </c>
      <c r="G550" s="129" t="s">
        <v>2345</v>
      </c>
      <c r="H550" s="129" t="s">
        <v>7155</v>
      </c>
      <c r="I550" s="129" t="s">
        <v>40</v>
      </c>
      <c r="J550" s="188">
        <v>36672</v>
      </c>
      <c r="K550" s="129" t="s">
        <v>41</v>
      </c>
      <c r="L550" s="129" t="s">
        <v>42</v>
      </c>
      <c r="M550" s="163" t="s">
        <v>4016</v>
      </c>
      <c r="N550" s="188">
        <v>45259</v>
      </c>
      <c r="O550" s="163" t="s">
        <v>44</v>
      </c>
      <c r="P550" s="129" t="s">
        <v>2347</v>
      </c>
      <c r="Q550" s="129" t="s">
        <v>3676</v>
      </c>
      <c r="R550" s="163" t="s">
        <v>7156</v>
      </c>
      <c r="S550" s="129">
        <v>29919</v>
      </c>
      <c r="T550" s="159">
        <v>102019014447</v>
      </c>
      <c r="U550" s="126" t="s">
        <v>6178</v>
      </c>
      <c r="V550" s="151">
        <v>3715185403</v>
      </c>
      <c r="W550" s="145" t="s">
        <v>7157</v>
      </c>
      <c r="X550" s="145" t="s">
        <v>7158</v>
      </c>
      <c r="Y550" s="149" t="s">
        <v>271</v>
      </c>
      <c r="Z550" s="145" t="s">
        <v>7159</v>
      </c>
      <c r="AA550" s="149" t="s">
        <v>7160</v>
      </c>
      <c r="AB550" s="149" t="s">
        <v>7160</v>
      </c>
      <c r="AC550" s="189" t="s">
        <v>7152</v>
      </c>
      <c r="AD550" s="145"/>
      <c r="AE550" s="145"/>
      <c r="AF550" s="145"/>
      <c r="AG550" s="145"/>
      <c r="AH550" s="145"/>
      <c r="AI550" s="145"/>
      <c r="AJ550" s="129"/>
      <c r="AK550" s="208" t="s">
        <v>7179</v>
      </c>
      <c r="AL550" s="209"/>
      <c r="AM550" s="209"/>
    </row>
    <row r="551" spans="1:40" ht="28.5">
      <c r="A551" s="137">
        <f>SUBTOTAL(3,$B$3:B551)</f>
        <v>549</v>
      </c>
      <c r="B551" s="121" t="s">
        <v>7161</v>
      </c>
      <c r="C551" s="163" t="s">
        <v>7162</v>
      </c>
      <c r="D551" s="163" t="s">
        <v>7162</v>
      </c>
      <c r="E551" s="129" t="s">
        <v>5543</v>
      </c>
      <c r="F551" s="129" t="s">
        <v>7163</v>
      </c>
      <c r="G551" s="129" t="s">
        <v>2345</v>
      </c>
      <c r="H551" s="129" t="s">
        <v>7164</v>
      </c>
      <c r="I551" s="129" t="s">
        <v>40</v>
      </c>
      <c r="J551" s="188">
        <v>36806</v>
      </c>
      <c r="K551" s="129" t="s">
        <v>41</v>
      </c>
      <c r="L551" s="129" t="s">
        <v>42</v>
      </c>
      <c r="M551" s="163" t="s">
        <v>7165</v>
      </c>
      <c r="N551" s="188">
        <v>45261</v>
      </c>
      <c r="O551" s="163" t="s">
        <v>2291</v>
      </c>
      <c r="P551" s="129" t="s">
        <v>2347</v>
      </c>
      <c r="Q551" s="129" t="s">
        <v>3676</v>
      </c>
      <c r="R551" s="163" t="s">
        <v>7166</v>
      </c>
      <c r="S551" s="129">
        <v>29921</v>
      </c>
      <c r="T551" s="159">
        <v>101742757890</v>
      </c>
      <c r="U551" s="126" t="s">
        <v>7167</v>
      </c>
      <c r="V551" s="148">
        <v>3715187897</v>
      </c>
      <c r="W551" s="145" t="s">
        <v>7168</v>
      </c>
      <c r="X551" s="145" t="s">
        <v>7169</v>
      </c>
      <c r="Y551" s="149" t="s">
        <v>4390</v>
      </c>
      <c r="Z551" s="145" t="s">
        <v>4401</v>
      </c>
      <c r="AA551" s="149" t="s">
        <v>7170</v>
      </c>
      <c r="AB551" s="149" t="s">
        <v>7170</v>
      </c>
      <c r="AC551" s="189" t="s">
        <v>7161</v>
      </c>
      <c r="AD551" s="145"/>
      <c r="AE551" s="145"/>
      <c r="AF551" s="145"/>
      <c r="AG551" s="145"/>
      <c r="AH551" s="145"/>
      <c r="AI551" s="145"/>
      <c r="AJ551" s="129"/>
      <c r="AK551" s="211" t="s">
        <v>7178</v>
      </c>
      <c r="AL551" s="209"/>
      <c r="AM551" s="209"/>
    </row>
    <row r="552" spans="1:40" ht="28.5">
      <c r="A552" s="137">
        <f>SUBTOTAL(3,$B$3:B552)</f>
        <v>550</v>
      </c>
      <c r="B552" s="121" t="s">
        <v>7171</v>
      </c>
      <c r="C552" s="163" t="s">
        <v>7172</v>
      </c>
      <c r="D552" s="163" t="s">
        <v>7172</v>
      </c>
      <c r="E552" s="129" t="s">
        <v>1198</v>
      </c>
      <c r="F552" s="129" t="s">
        <v>7173</v>
      </c>
      <c r="G552" s="129" t="s">
        <v>2389</v>
      </c>
      <c r="H552" s="129" t="s">
        <v>7174</v>
      </c>
      <c r="I552" s="129" t="s">
        <v>40</v>
      </c>
      <c r="J552" s="188">
        <v>36845</v>
      </c>
      <c r="K552" s="129" t="s">
        <v>41</v>
      </c>
      <c r="L552" s="129" t="s">
        <v>42</v>
      </c>
      <c r="M552" s="163" t="s">
        <v>4016</v>
      </c>
      <c r="N552" s="188">
        <v>45265</v>
      </c>
      <c r="O552" s="163" t="s">
        <v>44</v>
      </c>
      <c r="P552" s="129" t="s">
        <v>2347</v>
      </c>
      <c r="Q552" s="129" t="s">
        <v>3676</v>
      </c>
      <c r="R552" s="163">
        <v>9723253795</v>
      </c>
      <c r="S552" s="129">
        <v>29920</v>
      </c>
      <c r="T552" s="159">
        <v>101922899680</v>
      </c>
      <c r="U552" s="126" t="s">
        <v>7175</v>
      </c>
      <c r="V552" s="151">
        <v>3715185432</v>
      </c>
      <c r="W552" s="145" t="s">
        <v>7176</v>
      </c>
      <c r="X552" s="145" t="s">
        <v>7177</v>
      </c>
      <c r="Y552" s="149" t="s">
        <v>146</v>
      </c>
      <c r="Z552" s="145" t="s">
        <v>145</v>
      </c>
      <c r="AA552" s="149" t="s">
        <v>2449</v>
      </c>
      <c r="AB552" s="149" t="s">
        <v>2449</v>
      </c>
      <c r="AC552" s="189" t="s">
        <v>7171</v>
      </c>
      <c r="AD552" s="145"/>
      <c r="AE552" s="145"/>
      <c r="AF552" s="145"/>
      <c r="AG552" s="145"/>
      <c r="AH552" s="145"/>
      <c r="AI552" s="145"/>
      <c r="AJ552" s="129"/>
      <c r="AK552" s="208" t="s">
        <v>7181</v>
      </c>
      <c r="AL552" s="209"/>
      <c r="AM552" s="209"/>
    </row>
    <row r="553" spans="1:40" ht="28.5">
      <c r="A553" s="137">
        <f>SUBTOTAL(3,$B$3:B553)</f>
        <v>551</v>
      </c>
      <c r="B553" s="121" t="s">
        <v>7202</v>
      </c>
      <c r="C553" s="163" t="s">
        <v>7203</v>
      </c>
      <c r="D553" s="163" t="s">
        <v>7204</v>
      </c>
      <c r="E553" s="129" t="s">
        <v>7205</v>
      </c>
      <c r="F553" s="129" t="s">
        <v>7206</v>
      </c>
      <c r="G553" s="129" t="s">
        <v>2345</v>
      </c>
      <c r="H553" s="129" t="s">
        <v>239</v>
      </c>
      <c r="I553" s="129" t="s">
        <v>40</v>
      </c>
      <c r="J553" s="188">
        <v>37074</v>
      </c>
      <c r="K553" s="129" t="s">
        <v>41</v>
      </c>
      <c r="L553" s="129" t="s">
        <v>42</v>
      </c>
      <c r="M553" s="163" t="s">
        <v>4016</v>
      </c>
      <c r="N553" s="188">
        <v>45266</v>
      </c>
      <c r="O553" s="163" t="s">
        <v>44</v>
      </c>
      <c r="P553" s="129" t="s">
        <v>2347</v>
      </c>
      <c r="Q553" s="129" t="s">
        <v>3676</v>
      </c>
      <c r="R553" s="163" t="s">
        <v>7207</v>
      </c>
      <c r="S553" s="129">
        <v>32306</v>
      </c>
      <c r="T553" s="159">
        <v>101810551917</v>
      </c>
      <c r="U553" s="126" t="s">
        <v>7208</v>
      </c>
      <c r="V553" s="151">
        <v>3715196553</v>
      </c>
      <c r="W553" s="145" t="s">
        <v>7209</v>
      </c>
      <c r="X553" s="145" t="s">
        <v>7210</v>
      </c>
      <c r="Y553" s="149" t="s">
        <v>363</v>
      </c>
      <c r="Z553" s="145" t="s">
        <v>7211</v>
      </c>
      <c r="AA553" s="149" t="s">
        <v>7212</v>
      </c>
      <c r="AB553" s="149" t="s">
        <v>7251</v>
      </c>
      <c r="AC553" s="189" t="s">
        <v>7202</v>
      </c>
      <c r="AD553" s="145"/>
      <c r="AE553" s="145"/>
      <c r="AF553" s="145"/>
      <c r="AG553" s="145"/>
      <c r="AH553" s="145"/>
      <c r="AI553" s="145"/>
      <c r="AJ553" s="129"/>
      <c r="AK553" s="208" t="s">
        <v>7213</v>
      </c>
      <c r="AL553" s="209"/>
      <c r="AM553" s="209"/>
    </row>
    <row r="554" spans="1:40" ht="28.5">
      <c r="A554" s="137">
        <f>SUBTOTAL(3,$B$3:B554)</f>
        <v>552</v>
      </c>
      <c r="B554" s="121" t="s">
        <v>7214</v>
      </c>
      <c r="C554" s="163" t="s">
        <v>7215</v>
      </c>
      <c r="D554" s="163" t="s">
        <v>7216</v>
      </c>
      <c r="E554" s="129" t="s">
        <v>7217</v>
      </c>
      <c r="F554" s="129" t="s">
        <v>2631</v>
      </c>
      <c r="G554" s="129" t="s">
        <v>2345</v>
      </c>
      <c r="H554" s="129" t="s">
        <v>659</v>
      </c>
      <c r="I554" s="129" t="s">
        <v>40</v>
      </c>
      <c r="J554" s="188">
        <v>37409</v>
      </c>
      <c r="K554" s="129" t="s">
        <v>41</v>
      </c>
      <c r="L554" s="129" t="s">
        <v>42</v>
      </c>
      <c r="M554" s="163" t="s">
        <v>4016</v>
      </c>
      <c r="N554" s="188">
        <v>45266</v>
      </c>
      <c r="O554" s="163" t="s">
        <v>44</v>
      </c>
      <c r="P554" s="129" t="s">
        <v>2347</v>
      </c>
      <c r="Q554" s="129" t="s">
        <v>3676</v>
      </c>
      <c r="R554" s="163" t="s">
        <v>7218</v>
      </c>
      <c r="S554" s="129">
        <v>32307</v>
      </c>
      <c r="T554" s="159">
        <v>102024633296</v>
      </c>
      <c r="U554" s="126" t="s">
        <v>7219</v>
      </c>
      <c r="V554" s="151">
        <v>3715196572</v>
      </c>
      <c r="W554" s="145" t="s">
        <v>7220</v>
      </c>
      <c r="X554" s="145" t="s">
        <v>7221</v>
      </c>
      <c r="Y554" s="149" t="s">
        <v>65</v>
      </c>
      <c r="Z554" s="145" t="s">
        <v>2553</v>
      </c>
      <c r="AA554" s="149" t="s">
        <v>7223</v>
      </c>
      <c r="AB554" s="149" t="s">
        <v>7222</v>
      </c>
      <c r="AC554" s="189" t="s">
        <v>7214</v>
      </c>
      <c r="AD554" s="145"/>
      <c r="AE554" s="145"/>
      <c r="AF554" s="145"/>
      <c r="AG554" s="145"/>
      <c r="AH554" s="145"/>
      <c r="AI554" s="145"/>
      <c r="AJ554" s="129"/>
      <c r="AK554" s="208" t="s">
        <v>7224</v>
      </c>
      <c r="AL554" s="209"/>
      <c r="AM554" s="209"/>
    </row>
    <row r="555" spans="1:40" ht="28.5">
      <c r="A555" s="137">
        <f>SUBTOTAL(3,$B$3:B555)</f>
        <v>553</v>
      </c>
      <c r="B555" s="121" t="s">
        <v>7225</v>
      </c>
      <c r="C555" s="163" t="s">
        <v>7226</v>
      </c>
      <c r="D555" s="163" t="s">
        <v>7226</v>
      </c>
      <c r="E555" s="129" t="s">
        <v>1308</v>
      </c>
      <c r="F555" s="129" t="s">
        <v>1857</v>
      </c>
      <c r="G555" s="129" t="s">
        <v>2389</v>
      </c>
      <c r="H555" s="129" t="s">
        <v>7227</v>
      </c>
      <c r="I555" s="129" t="s">
        <v>40</v>
      </c>
      <c r="J555" s="188">
        <v>35839</v>
      </c>
      <c r="K555" s="129" t="s">
        <v>41</v>
      </c>
      <c r="L555" s="129" t="s">
        <v>42</v>
      </c>
      <c r="M555" s="163" t="s">
        <v>1175</v>
      </c>
      <c r="N555" s="188">
        <v>45273</v>
      </c>
      <c r="O555" s="163" t="s">
        <v>2991</v>
      </c>
      <c r="P555" s="129" t="s">
        <v>2347</v>
      </c>
      <c r="Q555" s="129" t="s">
        <v>3676</v>
      </c>
      <c r="R555" s="163">
        <v>9601633612</v>
      </c>
      <c r="S555" s="129">
        <v>32316</v>
      </c>
      <c r="T555" s="159">
        <v>101919370718</v>
      </c>
      <c r="U555" s="126" t="s">
        <v>7228</v>
      </c>
      <c r="V555" s="148">
        <v>3715198183</v>
      </c>
      <c r="W555" s="145" t="s">
        <v>7229</v>
      </c>
      <c r="X555" s="145" t="s">
        <v>7230</v>
      </c>
      <c r="Y555" s="149" t="s">
        <v>146</v>
      </c>
      <c r="Z555" s="145" t="s">
        <v>2374</v>
      </c>
      <c r="AA555" s="149" t="s">
        <v>7231</v>
      </c>
      <c r="AB555" s="149" t="s">
        <v>7231</v>
      </c>
      <c r="AC555" s="189" t="s">
        <v>7225</v>
      </c>
      <c r="AD555" s="145"/>
      <c r="AE555" s="145"/>
      <c r="AF555" s="145"/>
      <c r="AG555" s="145"/>
      <c r="AH555" s="145"/>
      <c r="AI555" s="145"/>
      <c r="AJ555" s="129"/>
      <c r="AK555" s="208" t="s">
        <v>7232</v>
      </c>
      <c r="AL555" s="209"/>
      <c r="AM555" s="209"/>
    </row>
    <row r="556" spans="1:40" ht="28.5">
      <c r="A556" s="137">
        <f>SUBTOTAL(3,$B$3:B556)</f>
        <v>554</v>
      </c>
      <c r="B556" s="121" t="s">
        <v>7233</v>
      </c>
      <c r="C556" s="163" t="s">
        <v>7242</v>
      </c>
      <c r="D556" s="163" t="s">
        <v>7242</v>
      </c>
      <c r="E556" s="129" t="s">
        <v>1366</v>
      </c>
      <c r="F556" s="129" t="s">
        <v>3077</v>
      </c>
      <c r="G556" s="129" t="s">
        <v>2345</v>
      </c>
      <c r="H556" s="129" t="s">
        <v>7243</v>
      </c>
      <c r="I556" s="129" t="s">
        <v>40</v>
      </c>
      <c r="J556" s="188">
        <v>37233</v>
      </c>
      <c r="K556" s="129" t="s">
        <v>41</v>
      </c>
      <c r="L556" s="129" t="s">
        <v>42</v>
      </c>
      <c r="M556" s="163" t="s">
        <v>7244</v>
      </c>
      <c r="N556" s="188">
        <v>45273</v>
      </c>
      <c r="O556" s="163" t="s">
        <v>2981</v>
      </c>
      <c r="P556" s="129" t="s">
        <v>2347</v>
      </c>
      <c r="Q556" s="129" t="s">
        <v>3676</v>
      </c>
      <c r="R556" s="163">
        <v>6354421651</v>
      </c>
      <c r="S556" s="129">
        <v>32319</v>
      </c>
      <c r="T556" s="159">
        <v>102024633334</v>
      </c>
      <c r="U556" s="126" t="s">
        <v>7245</v>
      </c>
      <c r="V556" s="151">
        <v>3715196594</v>
      </c>
      <c r="W556" s="145" t="s">
        <v>7246</v>
      </c>
      <c r="X556" s="145" t="s">
        <v>7247</v>
      </c>
      <c r="Y556" s="149" t="s">
        <v>146</v>
      </c>
      <c r="Z556" s="145" t="s">
        <v>7248</v>
      </c>
      <c r="AA556" s="149" t="s">
        <v>7249</v>
      </c>
      <c r="AB556" s="149" t="s">
        <v>7249</v>
      </c>
      <c r="AC556" s="189" t="s">
        <v>7233</v>
      </c>
      <c r="AD556" s="145"/>
      <c r="AE556" s="145"/>
      <c r="AF556" s="145"/>
      <c r="AG556" s="145"/>
      <c r="AH556" s="145"/>
      <c r="AI556" s="145"/>
      <c r="AJ556" s="129"/>
      <c r="AK556" s="208" t="s">
        <v>7250</v>
      </c>
      <c r="AL556" s="209"/>
      <c r="AM556" s="209"/>
    </row>
    <row r="557" spans="1:40" ht="28.5">
      <c r="A557" s="137">
        <f>SUBTOTAL(3,$B$3:B557)</f>
        <v>555</v>
      </c>
      <c r="B557" s="121" t="s">
        <v>7234</v>
      </c>
      <c r="C557" s="163" t="s">
        <v>7235</v>
      </c>
      <c r="D557" s="163" t="s">
        <v>7235</v>
      </c>
      <c r="E557" s="129" t="s">
        <v>136</v>
      </c>
      <c r="F557" s="129" t="s">
        <v>2408</v>
      </c>
      <c r="G557" s="129" t="s">
        <v>2345</v>
      </c>
      <c r="H557" s="129" t="s">
        <v>672</v>
      </c>
      <c r="I557" s="129" t="s">
        <v>40</v>
      </c>
      <c r="J557" s="188">
        <v>35974</v>
      </c>
      <c r="K557" s="129" t="s">
        <v>41</v>
      </c>
      <c r="L557" s="129" t="s">
        <v>42</v>
      </c>
      <c r="M557" s="163" t="s">
        <v>1405</v>
      </c>
      <c r="N557" s="188">
        <v>45273</v>
      </c>
      <c r="O557" s="163" t="s">
        <v>2991</v>
      </c>
      <c r="P557" s="129" t="s">
        <v>2347</v>
      </c>
      <c r="Q557" s="129" t="s">
        <v>3676</v>
      </c>
      <c r="R557" s="163">
        <v>9998753851</v>
      </c>
      <c r="S557" s="129">
        <v>32314</v>
      </c>
      <c r="T557" s="159">
        <v>102024633310</v>
      </c>
      <c r="U557" s="126" t="s">
        <v>7236</v>
      </c>
      <c r="V557" s="151">
        <v>3715196614</v>
      </c>
      <c r="W557" s="145" t="s">
        <v>7237</v>
      </c>
      <c r="X557" s="145" t="s">
        <v>7238</v>
      </c>
      <c r="Y557" s="149" t="s">
        <v>51</v>
      </c>
      <c r="Z557" s="145" t="s">
        <v>7239</v>
      </c>
      <c r="AA557" s="149" t="s">
        <v>7240</v>
      </c>
      <c r="AB557" s="149" t="s">
        <v>7240</v>
      </c>
      <c r="AC557" s="189" t="s">
        <v>7234</v>
      </c>
      <c r="AD557" s="145"/>
      <c r="AE557" s="145"/>
      <c r="AF557" s="145"/>
      <c r="AG557" s="145"/>
      <c r="AH557" s="145"/>
      <c r="AI557" s="145"/>
      <c r="AJ557" s="129"/>
      <c r="AK557" s="208" t="s">
        <v>7241</v>
      </c>
      <c r="AL557" s="209"/>
      <c r="AM557" s="209"/>
    </row>
    <row r="558" spans="1:40" ht="28.5">
      <c r="A558" s="137">
        <f>SUBTOTAL(3,$B$3:B558)</f>
        <v>556</v>
      </c>
      <c r="B558" s="121" t="s">
        <v>7252</v>
      </c>
      <c r="C558" s="163" t="s">
        <v>7253</v>
      </c>
      <c r="D558" s="163" t="s">
        <v>7253</v>
      </c>
      <c r="E558" s="129" t="s">
        <v>70</v>
      </c>
      <c r="F558" s="129" t="s">
        <v>7254</v>
      </c>
      <c r="G558" s="129" t="s">
        <v>2345</v>
      </c>
      <c r="H558" s="129" t="s">
        <v>7255</v>
      </c>
      <c r="I558" s="129" t="s">
        <v>40</v>
      </c>
      <c r="J558" s="188">
        <v>37230</v>
      </c>
      <c r="K558" s="129" t="s">
        <v>280</v>
      </c>
      <c r="L558" s="129" t="s">
        <v>42</v>
      </c>
      <c r="M558" s="163" t="s">
        <v>4016</v>
      </c>
      <c r="N558" s="188">
        <v>45274</v>
      </c>
      <c r="O558" s="163" t="s">
        <v>44</v>
      </c>
      <c r="P558" s="129" t="s">
        <v>2347</v>
      </c>
      <c r="Q558" s="129" t="s">
        <v>3676</v>
      </c>
      <c r="R558" s="163" t="s">
        <v>7256</v>
      </c>
      <c r="S558" s="129">
        <v>32309</v>
      </c>
      <c r="T558" s="159">
        <v>101959391458</v>
      </c>
      <c r="U558" s="126" t="s">
        <v>6178</v>
      </c>
      <c r="V558" s="151">
        <v>3715200066</v>
      </c>
      <c r="W558" s="145" t="s">
        <v>7257</v>
      </c>
      <c r="X558" s="145" t="s">
        <v>7258</v>
      </c>
      <c r="Y558" s="149" t="s">
        <v>146</v>
      </c>
      <c r="Z558" s="145" t="s">
        <v>2352</v>
      </c>
      <c r="AA558" s="149" t="s">
        <v>7259</v>
      </c>
      <c r="AB558" s="149" t="s">
        <v>7259</v>
      </c>
      <c r="AC558" s="189" t="s">
        <v>7252</v>
      </c>
      <c r="AD558" s="145"/>
      <c r="AE558" s="145"/>
      <c r="AF558" s="145"/>
      <c r="AG558" s="145"/>
      <c r="AH558" s="145"/>
      <c r="AI558" s="145"/>
      <c r="AJ558" s="129"/>
      <c r="AK558" s="208" t="s">
        <v>7260</v>
      </c>
      <c r="AL558" s="209"/>
      <c r="AM558" s="209"/>
    </row>
    <row r="559" spans="1:40" ht="28.5">
      <c r="A559" s="137">
        <f>SUBTOTAL(3,$B$3:B559)</f>
        <v>557</v>
      </c>
      <c r="B559" s="121" t="s">
        <v>7261</v>
      </c>
      <c r="C559" s="163" t="s">
        <v>7262</v>
      </c>
      <c r="D559" s="163" t="s">
        <v>7262</v>
      </c>
      <c r="E559" s="129" t="s">
        <v>754</v>
      </c>
      <c r="F559" s="129" t="s">
        <v>7263</v>
      </c>
      <c r="G559" s="129" t="s">
        <v>2345</v>
      </c>
      <c r="H559" s="129" t="s">
        <v>7264</v>
      </c>
      <c r="I559" s="129" t="s">
        <v>40</v>
      </c>
      <c r="J559" s="188">
        <v>36742</v>
      </c>
      <c r="K559" s="129" t="s">
        <v>41</v>
      </c>
      <c r="L559" s="129" t="s">
        <v>42</v>
      </c>
      <c r="M559" s="163" t="s">
        <v>4222</v>
      </c>
      <c r="N559" s="188">
        <v>45274</v>
      </c>
      <c r="O559" s="163" t="s">
        <v>2981</v>
      </c>
      <c r="P559" s="129" t="s">
        <v>2347</v>
      </c>
      <c r="Q559" s="129" t="s">
        <v>3676</v>
      </c>
      <c r="R559" s="163" t="s">
        <v>7265</v>
      </c>
      <c r="S559" s="129">
        <v>32313</v>
      </c>
      <c r="T559" s="159">
        <v>101814384247</v>
      </c>
      <c r="U559" s="126" t="s">
        <v>7266</v>
      </c>
      <c r="V559" s="151">
        <v>3715200076</v>
      </c>
      <c r="W559" s="145" t="s">
        <v>7267</v>
      </c>
      <c r="X559" s="145" t="s">
        <v>7268</v>
      </c>
      <c r="Y559" s="149" t="s">
        <v>132</v>
      </c>
      <c r="Z559" s="145" t="s">
        <v>7269</v>
      </c>
      <c r="AA559" s="149" t="s">
        <v>7270</v>
      </c>
      <c r="AB559" s="149" t="s">
        <v>7270</v>
      </c>
      <c r="AC559" s="189" t="s">
        <v>7261</v>
      </c>
      <c r="AD559" s="145"/>
      <c r="AE559" s="145"/>
      <c r="AF559" s="145"/>
      <c r="AG559" s="145"/>
      <c r="AH559" s="145"/>
      <c r="AI559" s="145"/>
      <c r="AJ559" s="129"/>
      <c r="AK559" s="208" t="s">
        <v>7271</v>
      </c>
      <c r="AL559" s="209"/>
      <c r="AM559" s="209"/>
    </row>
    <row r="560" spans="1:40" ht="28.5">
      <c r="A560" s="137">
        <f>SUBTOTAL(3,$B$3:B560)</f>
        <v>558</v>
      </c>
      <c r="B560" s="121" t="s">
        <v>7272</v>
      </c>
      <c r="C560" s="163" t="s">
        <v>7273</v>
      </c>
      <c r="D560" s="163" t="s">
        <v>7274</v>
      </c>
      <c r="E560" s="129" t="s">
        <v>263</v>
      </c>
      <c r="F560" s="129" t="s">
        <v>3704</v>
      </c>
      <c r="G560" s="129" t="s">
        <v>2345</v>
      </c>
      <c r="H560" s="129" t="s">
        <v>7275</v>
      </c>
      <c r="I560" s="129" t="s">
        <v>40</v>
      </c>
      <c r="J560" s="188">
        <v>37376</v>
      </c>
      <c r="K560" s="129" t="s">
        <v>41</v>
      </c>
      <c r="L560" s="129" t="s">
        <v>42</v>
      </c>
      <c r="M560" s="163" t="s">
        <v>1044</v>
      </c>
      <c r="N560" s="188">
        <v>45275</v>
      </c>
      <c r="O560" s="163" t="s">
        <v>2991</v>
      </c>
      <c r="P560" s="129" t="s">
        <v>2347</v>
      </c>
      <c r="Q560" s="129" t="s">
        <v>3676</v>
      </c>
      <c r="R560" s="163" t="s">
        <v>7276</v>
      </c>
      <c r="S560" s="129">
        <v>32311</v>
      </c>
      <c r="T560" s="159">
        <v>102024633306</v>
      </c>
      <c r="U560" s="126" t="s">
        <v>7277</v>
      </c>
      <c r="V560" s="151">
        <v>3715200090</v>
      </c>
      <c r="W560" s="145" t="s">
        <v>7278</v>
      </c>
      <c r="X560" s="145" t="s">
        <v>7279</v>
      </c>
      <c r="Y560" s="149" t="s">
        <v>51</v>
      </c>
      <c r="Z560" s="145" t="s">
        <v>50</v>
      </c>
      <c r="AA560" s="149" t="s">
        <v>7280</v>
      </c>
      <c r="AB560" s="149" t="s">
        <v>7280</v>
      </c>
      <c r="AC560" s="189" t="s">
        <v>7272</v>
      </c>
      <c r="AD560" s="145"/>
      <c r="AE560" s="145"/>
      <c r="AF560" s="145"/>
      <c r="AG560" s="145"/>
      <c r="AH560" s="145"/>
      <c r="AI560" s="145"/>
      <c r="AJ560" s="129"/>
      <c r="AK560" s="208" t="s">
        <v>7281</v>
      </c>
      <c r="AL560" s="209"/>
      <c r="AM560" s="209"/>
    </row>
    <row r="561" spans="1:39" ht="28.5">
      <c r="A561" s="137">
        <f>SUBTOTAL(3,$B$3:B561)</f>
        <v>559</v>
      </c>
      <c r="B561" s="121" t="s">
        <v>7282</v>
      </c>
      <c r="C561" s="163" t="s">
        <v>7283</v>
      </c>
      <c r="D561" s="163" t="s">
        <v>7283</v>
      </c>
      <c r="E561" s="129" t="s">
        <v>4300</v>
      </c>
      <c r="F561" s="129" t="s">
        <v>7284</v>
      </c>
      <c r="G561" s="129" t="s">
        <v>2345</v>
      </c>
      <c r="H561" s="129" t="s">
        <v>7285</v>
      </c>
      <c r="I561" s="129" t="s">
        <v>40</v>
      </c>
      <c r="J561" s="188">
        <v>36100</v>
      </c>
      <c r="K561" s="129" t="s">
        <v>280</v>
      </c>
      <c r="L561" s="129" t="s">
        <v>42</v>
      </c>
      <c r="M561" s="163" t="s">
        <v>4016</v>
      </c>
      <c r="N561" s="188">
        <v>45276</v>
      </c>
      <c r="O561" s="163" t="s">
        <v>44</v>
      </c>
      <c r="P561" s="129" t="s">
        <v>2347</v>
      </c>
      <c r="Q561" s="129" t="s">
        <v>3676</v>
      </c>
      <c r="R561" s="163" t="s">
        <v>7286</v>
      </c>
      <c r="S561" s="129">
        <v>32308</v>
      </c>
      <c r="T561" s="159">
        <v>101613310894</v>
      </c>
      <c r="U561" s="126" t="s">
        <v>7287</v>
      </c>
      <c r="V561" s="148">
        <v>3715205779</v>
      </c>
      <c r="W561" s="145" t="s">
        <v>7288</v>
      </c>
      <c r="X561" s="145" t="s">
        <v>7289</v>
      </c>
      <c r="Y561" s="149" t="s">
        <v>146</v>
      </c>
      <c r="Z561" s="145" t="s">
        <v>2352</v>
      </c>
      <c r="AA561" s="149" t="s">
        <v>7290</v>
      </c>
      <c r="AB561" s="149" t="s">
        <v>7290</v>
      </c>
      <c r="AC561" s="189" t="s">
        <v>7282</v>
      </c>
      <c r="AD561" s="145"/>
      <c r="AE561" s="145"/>
      <c r="AF561" s="145"/>
      <c r="AG561" s="145"/>
      <c r="AH561" s="145"/>
      <c r="AI561" s="145"/>
      <c r="AJ561" s="129"/>
      <c r="AK561" s="208" t="s">
        <v>7291</v>
      </c>
      <c r="AL561" s="209"/>
      <c r="AM561" s="209"/>
    </row>
    <row r="562" spans="1:39" ht="28.5">
      <c r="A562" s="137">
        <f>SUBTOTAL(3,$B$3:B562)</f>
        <v>560</v>
      </c>
      <c r="B562" s="121" t="s">
        <v>7292</v>
      </c>
      <c r="C562" s="163" t="s">
        <v>7293</v>
      </c>
      <c r="D562" s="163" t="s">
        <v>7293</v>
      </c>
      <c r="E562" s="129" t="s">
        <v>754</v>
      </c>
      <c r="F562" s="129" t="s">
        <v>7294</v>
      </c>
      <c r="G562" s="129" t="s">
        <v>2389</v>
      </c>
      <c r="H562" s="129" t="s">
        <v>1019</v>
      </c>
      <c r="I562" s="129" t="s">
        <v>40</v>
      </c>
      <c r="J562" s="188">
        <v>35417</v>
      </c>
      <c r="K562" s="129" t="s">
        <v>41</v>
      </c>
      <c r="L562" s="129" t="s">
        <v>42</v>
      </c>
      <c r="M562" s="163" t="s">
        <v>7295</v>
      </c>
      <c r="N562" s="188">
        <v>45282</v>
      </c>
      <c r="O562" s="163" t="s">
        <v>2621</v>
      </c>
      <c r="P562" s="129" t="s">
        <v>2347</v>
      </c>
      <c r="Q562" s="129" t="s">
        <v>3676</v>
      </c>
      <c r="R562" s="163">
        <v>8140121393</v>
      </c>
      <c r="S562" s="129">
        <v>32315</v>
      </c>
      <c r="T562" s="159">
        <v>102024633323</v>
      </c>
      <c r="U562" s="126" t="s">
        <v>7296</v>
      </c>
      <c r="V562" s="151">
        <v>3715213368</v>
      </c>
      <c r="W562" s="145" t="s">
        <v>7297</v>
      </c>
      <c r="X562" s="145" t="s">
        <v>7298</v>
      </c>
      <c r="Y562" s="149" t="s">
        <v>65</v>
      </c>
      <c r="Z562" s="145" t="s">
        <v>6643</v>
      </c>
      <c r="AA562" s="149" t="s">
        <v>7299</v>
      </c>
      <c r="AB562" s="149" t="s">
        <v>7299</v>
      </c>
      <c r="AC562" s="189" t="s">
        <v>7292</v>
      </c>
      <c r="AD562" s="145"/>
      <c r="AE562" s="145"/>
      <c r="AF562" s="145"/>
      <c r="AG562" s="145"/>
      <c r="AH562" s="145"/>
      <c r="AI562" s="145"/>
      <c r="AJ562" s="129"/>
      <c r="AK562" s="208" t="s">
        <v>7300</v>
      </c>
      <c r="AL562" s="209"/>
      <c r="AM562" s="209"/>
    </row>
    <row r="563" spans="1:39" ht="28.5">
      <c r="A563" s="137">
        <f>SUBTOTAL(3,$B$3:B563)</f>
        <v>561</v>
      </c>
      <c r="B563" s="121" t="s">
        <v>7301</v>
      </c>
      <c r="C563" s="163" t="s">
        <v>7302</v>
      </c>
      <c r="D563" s="163" t="s">
        <v>7303</v>
      </c>
      <c r="E563" s="129" t="s">
        <v>56</v>
      </c>
      <c r="F563" s="129" t="s">
        <v>7304</v>
      </c>
      <c r="G563" s="129" t="s">
        <v>2345</v>
      </c>
      <c r="H563" s="129" t="s">
        <v>417</v>
      </c>
      <c r="I563" s="129" t="s">
        <v>40</v>
      </c>
      <c r="J563" s="188">
        <v>36864</v>
      </c>
      <c r="K563" s="129" t="s">
        <v>280</v>
      </c>
      <c r="L563" s="129" t="s">
        <v>42</v>
      </c>
      <c r="M563" s="163" t="s">
        <v>4016</v>
      </c>
      <c r="N563" s="188">
        <v>45287</v>
      </c>
      <c r="O563" s="163" t="s">
        <v>44</v>
      </c>
      <c r="P563" s="129" t="s">
        <v>2347</v>
      </c>
      <c r="Q563" s="129" t="s">
        <v>3676</v>
      </c>
      <c r="R563" s="163">
        <v>8849843953</v>
      </c>
      <c r="S563" s="129">
        <v>32469</v>
      </c>
      <c r="T563" s="160">
        <v>101886554320</v>
      </c>
      <c r="U563" s="126" t="s">
        <v>6178</v>
      </c>
      <c r="V563" s="151">
        <v>3715226852</v>
      </c>
      <c r="W563" s="145" t="s">
        <v>7305</v>
      </c>
      <c r="X563" s="145" t="s">
        <v>7306</v>
      </c>
      <c r="Y563" s="149" t="s">
        <v>132</v>
      </c>
      <c r="Z563" s="145" t="s">
        <v>183</v>
      </c>
      <c r="AA563" s="149" t="s">
        <v>7307</v>
      </c>
      <c r="AB563" s="149" t="s">
        <v>7307</v>
      </c>
      <c r="AC563" s="189" t="s">
        <v>7301</v>
      </c>
      <c r="AD563" s="145"/>
      <c r="AE563" s="145"/>
      <c r="AF563" s="145"/>
      <c r="AG563" s="145"/>
      <c r="AH563" s="145"/>
      <c r="AI563" s="145"/>
      <c r="AJ563" s="129"/>
      <c r="AK563" s="208"/>
      <c r="AL563" s="209"/>
      <c r="AM563" s="209"/>
    </row>
    <row r="564" spans="1:39" ht="28.5">
      <c r="A564" s="137">
        <f>SUBTOTAL(3,$B$3:B564)</f>
        <v>562</v>
      </c>
      <c r="B564" s="121" t="s">
        <v>7308</v>
      </c>
      <c r="C564" s="163" t="s">
        <v>7309</v>
      </c>
      <c r="D564" s="163" t="s">
        <v>7310</v>
      </c>
      <c r="E564" s="129" t="s">
        <v>646</v>
      </c>
      <c r="F564" s="129" t="s">
        <v>7311</v>
      </c>
      <c r="G564" s="129" t="s">
        <v>2345</v>
      </c>
      <c r="H564" s="129" t="s">
        <v>7312</v>
      </c>
      <c r="I564" s="129" t="s">
        <v>40</v>
      </c>
      <c r="J564" s="188">
        <v>37015</v>
      </c>
      <c r="K564" s="129" t="s">
        <v>41</v>
      </c>
      <c r="L564" s="129" t="s">
        <v>42</v>
      </c>
      <c r="M564" s="163" t="s">
        <v>4016</v>
      </c>
      <c r="N564" s="188">
        <v>45303</v>
      </c>
      <c r="O564" s="163" t="s">
        <v>44</v>
      </c>
      <c r="P564" s="129" t="s">
        <v>2347</v>
      </c>
      <c r="Q564" s="129" t="s">
        <v>3676</v>
      </c>
      <c r="R564" s="163" t="s">
        <v>7313</v>
      </c>
      <c r="S564" s="129">
        <v>33525</v>
      </c>
      <c r="T564" s="160">
        <v>102033669013</v>
      </c>
      <c r="U564" s="126" t="s">
        <v>6178</v>
      </c>
      <c r="V564" s="151">
        <v>3715255751</v>
      </c>
      <c r="W564" s="145" t="s">
        <v>7314</v>
      </c>
      <c r="X564" s="145" t="s">
        <v>7315</v>
      </c>
      <c r="Y564" s="149" t="s">
        <v>65</v>
      </c>
      <c r="Z564" s="145" t="s">
        <v>7316</v>
      </c>
      <c r="AA564" s="149" t="s">
        <v>7317</v>
      </c>
      <c r="AB564" s="149" t="s">
        <v>7317</v>
      </c>
      <c r="AC564" s="189" t="s">
        <v>7308</v>
      </c>
      <c r="AD564" s="145"/>
      <c r="AE564" s="145"/>
      <c r="AF564" s="145"/>
      <c r="AG564" s="145"/>
      <c r="AH564" s="145"/>
      <c r="AI564" s="145"/>
      <c r="AJ564" s="129"/>
      <c r="AK564" s="208" t="s">
        <v>7318</v>
      </c>
      <c r="AL564" s="209"/>
      <c r="AM564" s="209"/>
    </row>
    <row r="565" spans="1:39" ht="28.5">
      <c r="A565" s="137">
        <f>SUBTOTAL(3,$B$3:B565)</f>
        <v>563</v>
      </c>
      <c r="B565" s="121" t="s">
        <v>7319</v>
      </c>
      <c r="C565" s="163" t="s">
        <v>3819</v>
      </c>
      <c r="D565" s="163" t="s">
        <v>3819</v>
      </c>
      <c r="E565" s="129" t="s">
        <v>808</v>
      </c>
      <c r="F565" s="129" t="s">
        <v>3820</v>
      </c>
      <c r="G565" s="129" t="s">
        <v>2345</v>
      </c>
      <c r="H565" s="129" t="s">
        <v>3821</v>
      </c>
      <c r="I565" s="129" t="s">
        <v>40</v>
      </c>
      <c r="J565" s="188">
        <v>35685</v>
      </c>
      <c r="K565" s="129" t="s">
        <v>280</v>
      </c>
      <c r="L565" s="129" t="s">
        <v>42</v>
      </c>
      <c r="M565" s="163" t="s">
        <v>4016</v>
      </c>
      <c r="N565" s="188">
        <v>45328</v>
      </c>
      <c r="O565" s="163" t="s">
        <v>44</v>
      </c>
      <c r="P565" s="129" t="s">
        <v>2347</v>
      </c>
      <c r="Q565" s="129" t="s">
        <v>3676</v>
      </c>
      <c r="R565" s="163">
        <v>7228910280</v>
      </c>
      <c r="S565" s="161">
        <v>28335</v>
      </c>
      <c r="T565" s="160">
        <v>101405365152</v>
      </c>
      <c r="U565" s="126" t="s">
        <v>3825</v>
      </c>
      <c r="V565" s="151">
        <v>3713870771</v>
      </c>
      <c r="W565" s="145" t="s">
        <v>3826</v>
      </c>
      <c r="X565" s="145" t="s">
        <v>3827</v>
      </c>
      <c r="Y565" s="149" t="s">
        <v>65</v>
      </c>
      <c r="Z565" s="145" t="s">
        <v>3651</v>
      </c>
      <c r="AA565" s="149" t="s">
        <v>7320</v>
      </c>
      <c r="AB565" s="149" t="s">
        <v>7321</v>
      </c>
      <c r="AC565" s="189" t="s">
        <v>7319</v>
      </c>
      <c r="AD565" s="145"/>
      <c r="AE565" s="145"/>
      <c r="AF565" s="145"/>
      <c r="AG565" s="145"/>
      <c r="AH565" s="145"/>
      <c r="AI565" s="145"/>
      <c r="AJ565" s="129"/>
      <c r="AK565" s="208" t="s">
        <v>7322</v>
      </c>
      <c r="AL565" s="209"/>
      <c r="AM565" s="209"/>
    </row>
    <row r="566" spans="1:39" ht="42.75">
      <c r="A566" s="137">
        <f>SUBTOTAL(3,$B$3:B566)</f>
        <v>564</v>
      </c>
      <c r="B566" s="121" t="s">
        <v>7323</v>
      </c>
      <c r="C566" s="163" t="s">
        <v>7324</v>
      </c>
      <c r="D566" s="163" t="s">
        <v>7324</v>
      </c>
      <c r="E566" s="129" t="s">
        <v>1908</v>
      </c>
      <c r="F566" s="129" t="s">
        <v>5986</v>
      </c>
      <c r="G566" s="129" t="s">
        <v>2345</v>
      </c>
      <c r="H566" s="129" t="s">
        <v>1019</v>
      </c>
      <c r="I566" s="129" t="s">
        <v>40</v>
      </c>
      <c r="J566" s="188">
        <v>35795</v>
      </c>
      <c r="K566" s="129" t="s">
        <v>280</v>
      </c>
      <c r="L566" s="129" t="s">
        <v>42</v>
      </c>
      <c r="M566" s="163" t="s">
        <v>5597</v>
      </c>
      <c r="N566" s="188">
        <v>45337</v>
      </c>
      <c r="O566" s="163" t="s">
        <v>2981</v>
      </c>
      <c r="P566" s="129" t="s">
        <v>2347</v>
      </c>
      <c r="Q566" s="129" t="s">
        <v>3676</v>
      </c>
      <c r="R566" s="163" t="s">
        <v>7325</v>
      </c>
      <c r="S566" s="129">
        <v>34297</v>
      </c>
      <c r="T566" s="160">
        <v>101561752942</v>
      </c>
      <c r="U566" s="126" t="s">
        <v>6178</v>
      </c>
      <c r="V566" s="151">
        <v>3713286503</v>
      </c>
      <c r="W566" s="145" t="s">
        <v>7326</v>
      </c>
      <c r="X566" s="145" t="s">
        <v>7387</v>
      </c>
      <c r="Y566" s="149" t="s">
        <v>146</v>
      </c>
      <c r="Z566" s="145" t="s">
        <v>7349</v>
      </c>
      <c r="AA566" s="149" t="s">
        <v>7327</v>
      </c>
      <c r="AB566" s="149" t="s">
        <v>7328</v>
      </c>
      <c r="AC566" s="189" t="s">
        <v>7323</v>
      </c>
      <c r="AD566" s="145"/>
      <c r="AE566" s="145"/>
      <c r="AF566" s="145"/>
      <c r="AG566" s="145"/>
      <c r="AH566" s="145"/>
      <c r="AI566" s="145"/>
      <c r="AJ566" s="129"/>
      <c r="AK566" s="208" t="s">
        <v>7329</v>
      </c>
      <c r="AL566" s="209"/>
      <c r="AM566" s="209"/>
    </row>
    <row r="567" spans="1:39" ht="28.5">
      <c r="A567" s="137">
        <f>SUBTOTAL(3,$B$3:B567)</f>
        <v>565</v>
      </c>
      <c r="B567" s="121" t="s">
        <v>7330</v>
      </c>
      <c r="C567" s="163" t="s">
        <v>7341</v>
      </c>
      <c r="D567" s="163" t="s">
        <v>7342</v>
      </c>
      <c r="E567" s="129" t="s">
        <v>1479</v>
      </c>
      <c r="F567" s="129" t="s">
        <v>907</v>
      </c>
      <c r="G567" s="129" t="s">
        <v>2389</v>
      </c>
      <c r="H567" s="129" t="s">
        <v>1481</v>
      </c>
      <c r="I567" s="129" t="s">
        <v>40</v>
      </c>
      <c r="J567" s="188">
        <v>37193</v>
      </c>
      <c r="K567" s="129" t="s">
        <v>41</v>
      </c>
      <c r="L567" s="129" t="s">
        <v>42</v>
      </c>
      <c r="M567" s="163" t="s">
        <v>7343</v>
      </c>
      <c r="N567" s="188">
        <v>45337</v>
      </c>
      <c r="O567" s="163" t="s">
        <v>2991</v>
      </c>
      <c r="P567" s="129" t="s">
        <v>2347</v>
      </c>
      <c r="Q567" s="129" t="s">
        <v>3676</v>
      </c>
      <c r="R567" s="163">
        <v>7046295782</v>
      </c>
      <c r="S567" s="161">
        <v>33693</v>
      </c>
      <c r="T567" s="160">
        <v>101646259725</v>
      </c>
      <c r="U567" s="126" t="s">
        <v>7344</v>
      </c>
      <c r="V567" s="148">
        <v>3715313074</v>
      </c>
      <c r="W567" s="145" t="s">
        <v>7345</v>
      </c>
      <c r="X567" s="145" t="s">
        <v>7346</v>
      </c>
      <c r="Y567" s="149" t="s">
        <v>146</v>
      </c>
      <c r="Z567" s="145" t="s">
        <v>1388</v>
      </c>
      <c r="AA567" s="149" t="s">
        <v>7347</v>
      </c>
      <c r="AB567" s="149" t="s">
        <v>7347</v>
      </c>
      <c r="AC567" s="189" t="s">
        <v>7330</v>
      </c>
      <c r="AD567" s="145"/>
      <c r="AE567" s="145"/>
      <c r="AF567" s="145"/>
      <c r="AG567" s="145"/>
      <c r="AH567" s="145"/>
      <c r="AI567" s="145"/>
      <c r="AJ567" s="129"/>
      <c r="AK567" s="208" t="s">
        <v>7348</v>
      </c>
      <c r="AL567" s="209"/>
      <c r="AM567" s="209"/>
    </row>
    <row r="568" spans="1:39" ht="28.5">
      <c r="A568" s="137">
        <f>SUBTOTAL(3,$B$3:B568)</f>
        <v>566</v>
      </c>
      <c r="B568" s="121" t="s">
        <v>7331</v>
      </c>
      <c r="C568" s="163" t="s">
        <v>7332</v>
      </c>
      <c r="D568" s="163" t="s">
        <v>7333</v>
      </c>
      <c r="E568" s="129" t="s">
        <v>136</v>
      </c>
      <c r="F568" s="129" t="s">
        <v>5060</v>
      </c>
      <c r="G568" s="129" t="s">
        <v>2389</v>
      </c>
      <c r="H568" s="129" t="s">
        <v>1528</v>
      </c>
      <c r="I568" s="129" t="s">
        <v>40</v>
      </c>
      <c r="J568" s="188">
        <v>37753</v>
      </c>
      <c r="K568" s="129" t="s">
        <v>41</v>
      </c>
      <c r="L568" s="129" t="s">
        <v>42</v>
      </c>
      <c r="M568" s="163" t="s">
        <v>7334</v>
      </c>
      <c r="N568" s="188">
        <v>45337</v>
      </c>
      <c r="O568" s="163" t="s">
        <v>2991</v>
      </c>
      <c r="P568" s="129" t="s">
        <v>2347</v>
      </c>
      <c r="Q568" s="129" t="s">
        <v>3676</v>
      </c>
      <c r="R568" s="163">
        <v>9924666747</v>
      </c>
      <c r="S568" s="129">
        <v>34295</v>
      </c>
      <c r="T568" s="160">
        <v>102043981620</v>
      </c>
      <c r="U568" s="126" t="s">
        <v>7335</v>
      </c>
      <c r="V568" s="151">
        <v>3715302724</v>
      </c>
      <c r="W568" s="145" t="s">
        <v>7336</v>
      </c>
      <c r="X568" s="145" t="s">
        <v>7337</v>
      </c>
      <c r="Y568" s="149" t="s">
        <v>363</v>
      </c>
      <c r="Z568" s="145" t="s">
        <v>7338</v>
      </c>
      <c r="AA568" s="149" t="s">
        <v>7339</v>
      </c>
      <c r="AB568" s="149" t="s">
        <v>7339</v>
      </c>
      <c r="AC568" s="189" t="s">
        <v>7331</v>
      </c>
      <c r="AD568" s="145"/>
      <c r="AE568" s="145"/>
      <c r="AF568" s="145"/>
      <c r="AG568" s="145"/>
      <c r="AH568" s="145"/>
      <c r="AI568" s="145"/>
      <c r="AJ568" s="129"/>
      <c r="AK568" s="208" t="s">
        <v>7340</v>
      </c>
      <c r="AL568" s="209"/>
      <c r="AM568" s="209"/>
    </row>
    <row r="569" spans="1:39" ht="28.5">
      <c r="A569" s="137">
        <f>SUBTOTAL(3,$B$3:B569)</f>
        <v>567</v>
      </c>
      <c r="B569" s="121" t="s">
        <v>7350</v>
      </c>
      <c r="C569" s="163" t="s">
        <v>7352</v>
      </c>
      <c r="D569" s="163" t="s">
        <v>7352</v>
      </c>
      <c r="E569" s="129" t="s">
        <v>1279</v>
      </c>
      <c r="F569" s="129" t="s">
        <v>2064</v>
      </c>
      <c r="G569" s="129" t="s">
        <v>2345</v>
      </c>
      <c r="H569" s="129" t="s">
        <v>810</v>
      </c>
      <c r="I569" s="129" t="s">
        <v>40</v>
      </c>
      <c r="J569" s="188">
        <v>37242</v>
      </c>
      <c r="K569" s="129" t="s">
        <v>41</v>
      </c>
      <c r="L569" s="129" t="s">
        <v>42</v>
      </c>
      <c r="M569" s="163" t="s">
        <v>1880</v>
      </c>
      <c r="N569" s="188">
        <v>45341</v>
      </c>
      <c r="O569" s="163" t="s">
        <v>2981</v>
      </c>
      <c r="P569" s="129" t="s">
        <v>2347</v>
      </c>
      <c r="Q569" s="129" t="s">
        <v>3676</v>
      </c>
      <c r="R569" s="163">
        <v>6355406300</v>
      </c>
      <c r="S569" s="129">
        <v>34296</v>
      </c>
      <c r="T569" s="160">
        <v>102043981631</v>
      </c>
      <c r="U569" s="126" t="s">
        <v>7353</v>
      </c>
      <c r="V569" s="151">
        <v>3715302738</v>
      </c>
      <c r="W569" s="145" t="s">
        <v>7354</v>
      </c>
      <c r="X569" s="145" t="s">
        <v>7355</v>
      </c>
      <c r="Y569" s="149" t="s">
        <v>65</v>
      </c>
      <c r="Z569" s="145" t="s">
        <v>5018</v>
      </c>
      <c r="AA569" s="149" t="s">
        <v>7356</v>
      </c>
      <c r="AB569" s="149" t="s">
        <v>7357</v>
      </c>
      <c r="AC569" s="189" t="s">
        <v>7350</v>
      </c>
      <c r="AD569" s="145"/>
      <c r="AE569" s="145"/>
      <c r="AF569" s="145"/>
      <c r="AG569" s="145"/>
      <c r="AH569" s="145"/>
      <c r="AI569" s="145"/>
      <c r="AJ569" s="129"/>
      <c r="AK569" s="208" t="s">
        <v>7358</v>
      </c>
      <c r="AL569" s="209"/>
      <c r="AM569" s="209"/>
    </row>
    <row r="570" spans="1:39" ht="28.5">
      <c r="A570" s="137">
        <f>SUBTOTAL(3,$B$3:B570)</f>
        <v>568</v>
      </c>
      <c r="B570" s="121" t="s">
        <v>7351</v>
      </c>
      <c r="C570" s="163" t="s">
        <v>7359</v>
      </c>
      <c r="D570" s="163" t="s">
        <v>7359</v>
      </c>
      <c r="E570" s="129" t="s">
        <v>778</v>
      </c>
      <c r="F570" s="129" t="s">
        <v>1266</v>
      </c>
      <c r="G570" s="129" t="s">
        <v>2345</v>
      </c>
      <c r="H570" s="129" t="s">
        <v>570</v>
      </c>
      <c r="I570" s="129" t="s">
        <v>40</v>
      </c>
      <c r="J570" s="188">
        <v>37478</v>
      </c>
      <c r="K570" s="129" t="s">
        <v>41</v>
      </c>
      <c r="L570" s="129" t="s">
        <v>42</v>
      </c>
      <c r="M570" s="163" t="s">
        <v>1880</v>
      </c>
      <c r="N570" s="188">
        <v>45345</v>
      </c>
      <c r="O570" s="163" t="s">
        <v>2981</v>
      </c>
      <c r="P570" s="129" t="s">
        <v>2347</v>
      </c>
      <c r="Q570" s="129" t="s">
        <v>3676</v>
      </c>
      <c r="R570" s="163">
        <v>7878633241</v>
      </c>
      <c r="S570" s="129">
        <v>34293</v>
      </c>
      <c r="T570" s="160">
        <v>102043981608</v>
      </c>
      <c r="U570" s="126" t="s">
        <v>6178</v>
      </c>
      <c r="V570" s="151">
        <v>3715302748</v>
      </c>
      <c r="W570" s="145" t="s">
        <v>7360</v>
      </c>
      <c r="X570" s="145" t="s">
        <v>7361</v>
      </c>
      <c r="Y570" s="149" t="s">
        <v>65</v>
      </c>
      <c r="Z570" s="145" t="s">
        <v>5018</v>
      </c>
      <c r="AA570" s="149" t="s">
        <v>7356</v>
      </c>
      <c r="AB570" s="149" t="s">
        <v>7362</v>
      </c>
      <c r="AC570" s="189" t="s">
        <v>7351</v>
      </c>
      <c r="AD570" s="145"/>
      <c r="AE570" s="145"/>
      <c r="AF570" s="145"/>
      <c r="AG570" s="145"/>
      <c r="AH570" s="145"/>
      <c r="AI570" s="145"/>
      <c r="AJ570" s="129"/>
      <c r="AK570" s="208" t="s">
        <v>7363</v>
      </c>
      <c r="AL570" s="209"/>
      <c r="AM570" s="209"/>
    </row>
    <row r="571" spans="1:39" ht="28.5">
      <c r="A571" s="137">
        <f>SUBTOTAL(3,$B$3:B571)</f>
        <v>569</v>
      </c>
      <c r="B571" s="121" t="s">
        <v>7364</v>
      </c>
      <c r="C571" s="163" t="s">
        <v>7366</v>
      </c>
      <c r="D571" s="163" t="s">
        <v>7367</v>
      </c>
      <c r="E571" s="129" t="s">
        <v>7368</v>
      </c>
      <c r="F571" s="129" t="s">
        <v>7369</v>
      </c>
      <c r="G571" s="129" t="s">
        <v>2345</v>
      </c>
      <c r="H571" s="129" t="s">
        <v>239</v>
      </c>
      <c r="I571" s="129" t="s">
        <v>40</v>
      </c>
      <c r="J571" s="188">
        <v>36678</v>
      </c>
      <c r="K571" s="129" t="s">
        <v>41</v>
      </c>
      <c r="L571" s="129" t="s">
        <v>42</v>
      </c>
      <c r="M571" s="163" t="s">
        <v>1880</v>
      </c>
      <c r="N571" s="188">
        <v>45348</v>
      </c>
      <c r="O571" s="163" t="s">
        <v>2981</v>
      </c>
      <c r="P571" s="129" t="s">
        <v>2347</v>
      </c>
      <c r="Q571" s="129" t="s">
        <v>3676</v>
      </c>
      <c r="R571" s="163" t="s">
        <v>7370</v>
      </c>
      <c r="S571" s="129">
        <v>34305</v>
      </c>
      <c r="T571" s="162">
        <v>101781208467</v>
      </c>
      <c r="U571" s="126" t="s">
        <v>7371</v>
      </c>
      <c r="V571" s="148">
        <v>3715309368</v>
      </c>
      <c r="W571" s="145" t="s">
        <v>7372</v>
      </c>
      <c r="X571" s="145" t="s">
        <v>7373</v>
      </c>
      <c r="Y571" s="149" t="s">
        <v>65</v>
      </c>
      <c r="Z571" s="145" t="s">
        <v>7374</v>
      </c>
      <c r="AA571" s="149" t="s">
        <v>7375</v>
      </c>
      <c r="AB571" s="149" t="s">
        <v>7375</v>
      </c>
      <c r="AC571" s="189" t="s">
        <v>7364</v>
      </c>
      <c r="AD571" s="145"/>
      <c r="AE571" s="145"/>
      <c r="AF571" s="145"/>
      <c r="AG571" s="145"/>
      <c r="AH571" s="145"/>
      <c r="AI571" s="145"/>
      <c r="AJ571" s="129"/>
      <c r="AK571" s="208" t="s">
        <v>7376</v>
      </c>
      <c r="AL571" s="209"/>
      <c r="AM571" s="209"/>
    </row>
    <row r="572" spans="1:39" ht="28.5">
      <c r="A572" s="137">
        <f>SUBTOTAL(3,$B$3:B572)</f>
        <v>570</v>
      </c>
      <c r="B572" s="121" t="s">
        <v>7365</v>
      </c>
      <c r="C572" s="163" t="s">
        <v>7377</v>
      </c>
      <c r="D572" s="163" t="s">
        <v>7377</v>
      </c>
      <c r="E572" s="129" t="s">
        <v>7378</v>
      </c>
      <c r="F572" s="129" t="s">
        <v>7379</v>
      </c>
      <c r="G572" s="129" t="s">
        <v>2345</v>
      </c>
      <c r="H572" s="129" t="s">
        <v>7380</v>
      </c>
      <c r="I572" s="129" t="s">
        <v>40</v>
      </c>
      <c r="J572" s="188">
        <v>35539</v>
      </c>
      <c r="K572" s="129" t="s">
        <v>41</v>
      </c>
      <c r="L572" s="129" t="s">
        <v>42</v>
      </c>
      <c r="M572" s="163" t="s">
        <v>1880</v>
      </c>
      <c r="N572" s="188">
        <v>45346</v>
      </c>
      <c r="O572" s="163" t="s">
        <v>2981</v>
      </c>
      <c r="P572" s="129" t="s">
        <v>2347</v>
      </c>
      <c r="Q572" s="129" t="s">
        <v>3676</v>
      </c>
      <c r="R572" s="163">
        <v>9512399814</v>
      </c>
      <c r="S572" s="129">
        <v>34294</v>
      </c>
      <c r="T572" s="160">
        <v>102043981612</v>
      </c>
      <c r="U572" s="126" t="s">
        <v>7381</v>
      </c>
      <c r="V572" s="151">
        <v>3715307721</v>
      </c>
      <c r="W572" s="145" t="s">
        <v>7382</v>
      </c>
      <c r="X572" s="145" t="s">
        <v>7383</v>
      </c>
      <c r="Y572" s="149" t="s">
        <v>146</v>
      </c>
      <c r="Z572" s="145" t="s">
        <v>7384</v>
      </c>
      <c r="AA572" s="149" t="s">
        <v>7385</v>
      </c>
      <c r="AB572" s="149" t="s">
        <v>7385</v>
      </c>
      <c r="AC572" s="189" t="s">
        <v>7365</v>
      </c>
      <c r="AD572" s="145"/>
      <c r="AE572" s="145"/>
      <c r="AF572" s="145"/>
      <c r="AG572" s="145"/>
      <c r="AH572" s="145"/>
      <c r="AI572" s="145"/>
      <c r="AJ572" s="129"/>
      <c r="AK572" s="208" t="s">
        <v>7386</v>
      </c>
      <c r="AL572" s="209"/>
      <c r="AM572" s="209"/>
    </row>
    <row r="573" spans="1:39" ht="28.5">
      <c r="A573" s="137">
        <f>SUBTOTAL(3,$B$3:B573)</f>
        <v>571</v>
      </c>
      <c r="B573" s="121" t="s">
        <v>7388</v>
      </c>
      <c r="C573" s="163" t="s">
        <v>7407</v>
      </c>
      <c r="D573" s="163" t="s">
        <v>7408</v>
      </c>
      <c r="E573" s="129" t="s">
        <v>1321</v>
      </c>
      <c r="F573" s="129" t="s">
        <v>7409</v>
      </c>
      <c r="G573" s="129" t="s">
        <v>2345</v>
      </c>
      <c r="H573" s="129" t="s">
        <v>2109</v>
      </c>
      <c r="I573" s="129" t="s">
        <v>40</v>
      </c>
      <c r="J573" s="188">
        <v>31955</v>
      </c>
      <c r="K573" s="129" t="s">
        <v>280</v>
      </c>
      <c r="L573" s="129" t="s">
        <v>42</v>
      </c>
      <c r="M573" s="163" t="s">
        <v>1175</v>
      </c>
      <c r="N573" s="188">
        <v>45362</v>
      </c>
      <c r="O573" s="163" t="s">
        <v>2991</v>
      </c>
      <c r="P573" s="129" t="s">
        <v>2347</v>
      </c>
      <c r="Q573" s="129" t="s">
        <v>3676</v>
      </c>
      <c r="R573" s="163">
        <v>8980665156</v>
      </c>
      <c r="S573" s="129">
        <v>33284</v>
      </c>
      <c r="T573" s="160">
        <v>101928536382</v>
      </c>
      <c r="U573" s="126" t="s">
        <v>7410</v>
      </c>
      <c r="V573" s="151">
        <v>3715341537</v>
      </c>
      <c r="W573" s="145" t="s">
        <v>7411</v>
      </c>
      <c r="X573" s="145" t="s">
        <v>7412</v>
      </c>
      <c r="Y573" s="149" t="s">
        <v>65</v>
      </c>
      <c r="Z573" s="145" t="s">
        <v>7413</v>
      </c>
      <c r="AA573" s="149" t="s">
        <v>7414</v>
      </c>
      <c r="AB573" s="149" t="s">
        <v>7414</v>
      </c>
      <c r="AC573" s="189" t="s">
        <v>7388</v>
      </c>
      <c r="AD573" s="145"/>
      <c r="AE573" s="145"/>
      <c r="AF573" s="145"/>
      <c r="AG573" s="145"/>
      <c r="AH573" s="145"/>
      <c r="AI573" s="145"/>
      <c r="AJ573" s="129"/>
      <c r="AK573" s="208" t="s">
        <v>7415</v>
      </c>
      <c r="AL573" s="209"/>
      <c r="AM573" s="209"/>
    </row>
    <row r="574" spans="1:39" ht="28.5">
      <c r="A574" s="137">
        <f>SUBTOTAL(3,$B$3:B574)</f>
        <v>572</v>
      </c>
      <c r="B574" s="121" t="s">
        <v>7389</v>
      </c>
      <c r="C574" s="163" t="s">
        <v>7391</v>
      </c>
      <c r="D574" s="163" t="s">
        <v>7391</v>
      </c>
      <c r="E574" s="129" t="s">
        <v>754</v>
      </c>
      <c r="F574" s="129" t="s">
        <v>7392</v>
      </c>
      <c r="G574" s="129" t="s">
        <v>2389</v>
      </c>
      <c r="H574" s="129" t="s">
        <v>7393</v>
      </c>
      <c r="I574" s="129" t="s">
        <v>40</v>
      </c>
      <c r="J574" s="188">
        <v>36886</v>
      </c>
      <c r="K574" s="129" t="s">
        <v>41</v>
      </c>
      <c r="L574" s="129" t="s">
        <v>42</v>
      </c>
      <c r="M574" s="163" t="s">
        <v>7394</v>
      </c>
      <c r="N574" s="188">
        <v>45363</v>
      </c>
      <c r="O574" s="163" t="s">
        <v>7395</v>
      </c>
      <c r="P574" s="129" t="s">
        <v>2347</v>
      </c>
      <c r="Q574" s="129" t="s">
        <v>3676</v>
      </c>
      <c r="R574" s="163">
        <v>7575058119</v>
      </c>
      <c r="S574" s="129">
        <v>34634</v>
      </c>
      <c r="T574" s="160">
        <v>102051795999</v>
      </c>
      <c r="U574" s="126" t="s">
        <v>7396</v>
      </c>
      <c r="V574" s="151">
        <v>3715341547</v>
      </c>
      <c r="W574" s="145" t="s">
        <v>7397</v>
      </c>
      <c r="X574" s="145" t="s">
        <v>7416</v>
      </c>
      <c r="Y574" s="149" t="s">
        <v>4952</v>
      </c>
      <c r="Z574" s="145" t="s">
        <v>7417</v>
      </c>
      <c r="AA574" s="149" t="s">
        <v>7398</v>
      </c>
      <c r="AB574" s="149" t="s">
        <v>7398</v>
      </c>
      <c r="AC574" s="189" t="s">
        <v>7389</v>
      </c>
      <c r="AD574" s="145"/>
      <c r="AE574" s="145"/>
      <c r="AF574" s="145"/>
      <c r="AG574" s="145"/>
      <c r="AH574" s="145"/>
      <c r="AI574" s="145"/>
      <c r="AJ574" s="129"/>
      <c r="AK574" s="208" t="s">
        <v>7399</v>
      </c>
      <c r="AL574" s="209"/>
      <c r="AM574" s="209"/>
    </row>
    <row r="575" spans="1:39" ht="28.5">
      <c r="A575" s="137">
        <f>SUBTOTAL(3,$B$3:B575)</f>
        <v>573</v>
      </c>
      <c r="B575" s="207" t="s">
        <v>7390</v>
      </c>
      <c r="C575" s="163" t="s">
        <v>7400</v>
      </c>
      <c r="D575" s="163" t="s">
        <v>7400</v>
      </c>
      <c r="E575" s="129" t="s">
        <v>3157</v>
      </c>
      <c r="F575" s="129" t="s">
        <v>7401</v>
      </c>
      <c r="G575" s="129" t="s">
        <v>2345</v>
      </c>
      <c r="H575" s="129" t="s">
        <v>4817</v>
      </c>
      <c r="I575" s="129" t="s">
        <v>702</v>
      </c>
      <c r="J575" s="188">
        <v>34599</v>
      </c>
      <c r="K575" s="129" t="s">
        <v>280</v>
      </c>
      <c r="L575" s="129" t="s">
        <v>42</v>
      </c>
      <c r="M575" s="163" t="s">
        <v>6173</v>
      </c>
      <c r="N575" s="188">
        <v>45363</v>
      </c>
      <c r="O575" s="163" t="s">
        <v>6174</v>
      </c>
      <c r="P575" s="129" t="s">
        <v>2347</v>
      </c>
      <c r="Q575" s="129" t="s">
        <v>3676</v>
      </c>
      <c r="R575" s="163" t="s">
        <v>7402</v>
      </c>
      <c r="S575" s="129">
        <v>34635</v>
      </c>
      <c r="T575" s="160">
        <v>102051796001</v>
      </c>
      <c r="U575" s="126" t="s">
        <v>7403</v>
      </c>
      <c r="V575" s="151">
        <v>3715341559</v>
      </c>
      <c r="W575" s="145" t="s">
        <v>7404</v>
      </c>
      <c r="X575" s="145" t="s">
        <v>7418</v>
      </c>
      <c r="Y575" s="149" t="s">
        <v>326</v>
      </c>
      <c r="Z575" s="145" t="s">
        <v>7419</v>
      </c>
      <c r="AA575" s="149" t="s">
        <v>7405</v>
      </c>
      <c r="AB575" s="149" t="s">
        <v>7405</v>
      </c>
      <c r="AC575" s="189" t="s">
        <v>7390</v>
      </c>
      <c r="AD575" s="145"/>
      <c r="AE575" s="145"/>
      <c r="AF575" s="145"/>
      <c r="AG575" s="145"/>
      <c r="AH575" s="145"/>
      <c r="AI575" s="145"/>
      <c r="AJ575" s="129"/>
      <c r="AK575" s="208" t="s">
        <v>7406</v>
      </c>
      <c r="AL575" s="209"/>
      <c r="AM575" s="209"/>
    </row>
    <row r="576" spans="1:39" ht="28.5">
      <c r="A576" s="137">
        <f>SUBTOTAL(3,$B$3:B576)</f>
        <v>574</v>
      </c>
      <c r="B576" s="121" t="s">
        <v>7420</v>
      </c>
      <c r="C576" s="163" t="s">
        <v>7422</v>
      </c>
      <c r="D576" s="163" t="s">
        <v>7435</v>
      </c>
      <c r="E576" s="129" t="s">
        <v>2378</v>
      </c>
      <c r="F576" s="129" t="s">
        <v>7423</v>
      </c>
      <c r="G576" s="129" t="s">
        <v>2345</v>
      </c>
      <c r="H576" s="129" t="s">
        <v>637</v>
      </c>
      <c r="I576" s="129" t="s">
        <v>40</v>
      </c>
      <c r="J576" s="188">
        <v>35977</v>
      </c>
      <c r="K576" s="129" t="s">
        <v>41</v>
      </c>
      <c r="L576" s="129" t="s">
        <v>42</v>
      </c>
      <c r="M576" s="163" t="s">
        <v>7424</v>
      </c>
      <c r="N576" s="188">
        <v>45385</v>
      </c>
      <c r="O576" s="163" t="s">
        <v>2159</v>
      </c>
      <c r="P576" s="129" t="s">
        <v>2347</v>
      </c>
      <c r="Q576" s="129" t="s">
        <v>3676</v>
      </c>
      <c r="R576" s="163">
        <v>7228947378</v>
      </c>
      <c r="S576" s="129">
        <v>34927</v>
      </c>
      <c r="T576" s="160">
        <v>102063911045</v>
      </c>
      <c r="U576" s="126" t="s">
        <v>7436</v>
      </c>
      <c r="V576" s="148">
        <v>3715402813</v>
      </c>
      <c r="W576" s="145" t="s">
        <v>7437</v>
      </c>
      <c r="X576" s="145" t="s">
        <v>7555</v>
      </c>
      <c r="Y576" s="149" t="s">
        <v>146</v>
      </c>
      <c r="Z576" s="145" t="s">
        <v>7556</v>
      </c>
      <c r="AA576" s="149" t="s">
        <v>7438</v>
      </c>
      <c r="AB576" s="149" t="s">
        <v>7438</v>
      </c>
      <c r="AC576" s="189" t="s">
        <v>7420</v>
      </c>
      <c r="AD576" s="145"/>
      <c r="AE576" s="145"/>
      <c r="AF576" s="145"/>
      <c r="AG576" s="145"/>
      <c r="AH576" s="145"/>
      <c r="AI576" s="145"/>
      <c r="AJ576" s="129"/>
      <c r="AK576" s="208" t="s">
        <v>7434</v>
      </c>
      <c r="AL576" s="209"/>
      <c r="AM576" s="209"/>
    </row>
    <row r="577" spans="1:39" ht="28.5">
      <c r="A577" s="137">
        <f>SUBTOTAL(3,$B$3:B577)</f>
        <v>575</v>
      </c>
      <c r="B577" s="207" t="s">
        <v>3727</v>
      </c>
      <c r="C577" s="163" t="s">
        <v>7425</v>
      </c>
      <c r="D577" s="163" t="s">
        <v>7426</v>
      </c>
      <c r="E577" s="129" t="s">
        <v>212</v>
      </c>
      <c r="F577" s="129" t="s">
        <v>6596</v>
      </c>
      <c r="G577" s="129" t="s">
        <v>2345</v>
      </c>
      <c r="H577" s="129" t="s">
        <v>7427</v>
      </c>
      <c r="I577" s="129" t="s">
        <v>702</v>
      </c>
      <c r="J577" s="188">
        <v>33941</v>
      </c>
      <c r="K577" s="129" t="s">
        <v>280</v>
      </c>
      <c r="L577" s="129" t="s">
        <v>42</v>
      </c>
      <c r="M577" s="163" t="s">
        <v>7428</v>
      </c>
      <c r="N577" s="188">
        <v>45384</v>
      </c>
      <c r="O577" s="163" t="s">
        <v>2991</v>
      </c>
      <c r="P577" s="129" t="s">
        <v>2347</v>
      </c>
      <c r="Q577" s="129" t="s">
        <v>3676</v>
      </c>
      <c r="R577" s="163" t="s">
        <v>7429</v>
      </c>
      <c r="S577" s="129" t="s">
        <v>3727</v>
      </c>
      <c r="T577" s="129" t="s">
        <v>3727</v>
      </c>
      <c r="U577" s="126" t="s">
        <v>7430</v>
      </c>
      <c r="V577" s="129" t="s">
        <v>3727</v>
      </c>
      <c r="W577" s="145" t="s">
        <v>7431</v>
      </c>
      <c r="X577" s="129" t="s">
        <v>3727</v>
      </c>
      <c r="Y577" s="129" t="s">
        <v>3727</v>
      </c>
      <c r="Z577" s="129" t="s">
        <v>3727</v>
      </c>
      <c r="AA577" s="149" t="s">
        <v>7432</v>
      </c>
      <c r="AB577" s="149" t="s">
        <v>7432</v>
      </c>
      <c r="AC577" s="189" t="s">
        <v>7421</v>
      </c>
      <c r="AD577" s="145"/>
      <c r="AE577" s="145"/>
      <c r="AF577" s="145"/>
      <c r="AG577" s="145"/>
      <c r="AH577" s="145"/>
      <c r="AI577" s="145"/>
      <c r="AJ577" s="129"/>
      <c r="AK577" s="208" t="s">
        <v>7433</v>
      </c>
      <c r="AL577" s="209"/>
      <c r="AM577" s="209"/>
    </row>
    <row r="578" spans="1:39" ht="42.75">
      <c r="A578" s="137">
        <f>SUBTOTAL(3,$B$3:B578)</f>
        <v>576</v>
      </c>
      <c r="B578" s="203" t="s">
        <v>7439</v>
      </c>
      <c r="C578" s="163" t="s">
        <v>7534</v>
      </c>
      <c r="D578" s="163" t="s">
        <v>7535</v>
      </c>
      <c r="E578" s="129" t="s">
        <v>136</v>
      </c>
      <c r="F578" s="129" t="s">
        <v>7536</v>
      </c>
      <c r="G578" s="129" t="s">
        <v>2389</v>
      </c>
      <c r="H578" s="129" t="s">
        <v>7537</v>
      </c>
      <c r="I578" s="129" t="s">
        <v>40</v>
      </c>
      <c r="J578" s="188">
        <v>31528</v>
      </c>
      <c r="K578" s="129" t="s">
        <v>280</v>
      </c>
      <c r="L578" s="129" t="s">
        <v>42</v>
      </c>
      <c r="M578" s="163" t="s">
        <v>4397</v>
      </c>
      <c r="N578" s="188">
        <v>45390</v>
      </c>
      <c r="O578" s="163" t="s">
        <v>5956</v>
      </c>
      <c r="P578" s="129" t="s">
        <v>2347</v>
      </c>
      <c r="Q578" s="129" t="s">
        <v>3676</v>
      </c>
      <c r="R578" s="163" t="s">
        <v>7538</v>
      </c>
      <c r="S578" s="129">
        <v>34919</v>
      </c>
      <c r="T578" s="160">
        <v>100698063216</v>
      </c>
      <c r="U578" s="126" t="s">
        <v>7539</v>
      </c>
      <c r="V578" s="151">
        <v>3715402892</v>
      </c>
      <c r="W578" s="145" t="s">
        <v>7540</v>
      </c>
      <c r="X578" s="145" t="s">
        <v>7541</v>
      </c>
      <c r="Y578" s="149" t="s">
        <v>1852</v>
      </c>
      <c r="Z578" s="145" t="s">
        <v>7542</v>
      </c>
      <c r="AA578" s="149" t="s">
        <v>7543</v>
      </c>
      <c r="AB578" s="149" t="s">
        <v>7543</v>
      </c>
      <c r="AC578" s="189" t="s">
        <v>7439</v>
      </c>
      <c r="AD578" s="145"/>
      <c r="AE578" s="145"/>
      <c r="AF578" s="145"/>
      <c r="AG578" s="145"/>
      <c r="AH578" s="145"/>
      <c r="AI578" s="145"/>
      <c r="AJ578" s="129"/>
      <c r="AK578" s="208"/>
      <c r="AL578" s="212" t="s">
        <v>7544</v>
      </c>
      <c r="AM578" s="209"/>
    </row>
    <row r="579" spans="1:39" ht="42.75">
      <c r="A579" s="137">
        <f>SUBTOTAL(3,$B$3:B579)</f>
        <v>577</v>
      </c>
      <c r="B579" s="203" t="s">
        <v>7440</v>
      </c>
      <c r="C579" s="163" t="s">
        <v>7454</v>
      </c>
      <c r="D579" s="163" t="s">
        <v>7455</v>
      </c>
      <c r="E579" s="129" t="s">
        <v>291</v>
      </c>
      <c r="F579" s="129" t="s">
        <v>6946</v>
      </c>
      <c r="G579" s="129" t="s">
        <v>2345</v>
      </c>
      <c r="H579" s="129" t="s">
        <v>768</v>
      </c>
      <c r="I579" s="129" t="s">
        <v>40</v>
      </c>
      <c r="J579" s="188">
        <v>32560</v>
      </c>
      <c r="K579" s="129" t="s">
        <v>41</v>
      </c>
      <c r="L579" s="129" t="s">
        <v>42</v>
      </c>
      <c r="M579" s="163" t="s">
        <v>4016</v>
      </c>
      <c r="N579" s="188">
        <v>45393</v>
      </c>
      <c r="O579" s="163" t="s">
        <v>44</v>
      </c>
      <c r="P579" s="129" t="s">
        <v>2347</v>
      </c>
      <c r="Q579" s="129" t="s">
        <v>3676</v>
      </c>
      <c r="R579" s="163" t="s">
        <v>7456</v>
      </c>
      <c r="S579" s="129">
        <v>34926</v>
      </c>
      <c r="T579" s="160">
        <v>102063911032</v>
      </c>
      <c r="U579" s="126" t="s">
        <v>7457</v>
      </c>
      <c r="V579" s="151">
        <v>3715402906</v>
      </c>
      <c r="W579" s="145" t="s">
        <v>7458</v>
      </c>
      <c r="X579" s="145" t="s">
        <v>7459</v>
      </c>
      <c r="Y579" s="149" t="s">
        <v>132</v>
      </c>
      <c r="Z579" s="145" t="s">
        <v>1218</v>
      </c>
      <c r="AA579" s="149" t="s">
        <v>7460</v>
      </c>
      <c r="AB579" s="149" t="s">
        <v>7460</v>
      </c>
      <c r="AC579" s="189" t="s">
        <v>7440</v>
      </c>
      <c r="AD579" s="145"/>
      <c r="AE579" s="145"/>
      <c r="AF579" s="145"/>
      <c r="AG579" s="145"/>
      <c r="AH579" s="145"/>
      <c r="AI579" s="145"/>
      <c r="AJ579" s="129"/>
      <c r="AK579" s="208" t="s">
        <v>7461</v>
      </c>
      <c r="AL579" s="209"/>
      <c r="AM579" s="209"/>
    </row>
    <row r="580" spans="1:39" ht="28.5">
      <c r="A580" s="137">
        <f>SUBTOTAL(3,$B$3:B580)</f>
        <v>578</v>
      </c>
      <c r="B580" s="203" t="s">
        <v>7441</v>
      </c>
      <c r="C580" s="163" t="s">
        <v>7442</v>
      </c>
      <c r="D580" s="163" t="s">
        <v>7443</v>
      </c>
      <c r="E580" s="129" t="s">
        <v>136</v>
      </c>
      <c r="F580" s="129" t="s">
        <v>2036</v>
      </c>
      <c r="G580" s="129" t="s">
        <v>2345</v>
      </c>
      <c r="H580" s="129" t="s">
        <v>2146</v>
      </c>
      <c r="I580" s="129" t="s">
        <v>40</v>
      </c>
      <c r="J580" s="188">
        <v>35562</v>
      </c>
      <c r="K580" s="129" t="s">
        <v>280</v>
      </c>
      <c r="L580" s="129" t="s">
        <v>42</v>
      </c>
      <c r="M580" s="163" t="s">
        <v>4603</v>
      </c>
      <c r="N580" s="188">
        <v>45397</v>
      </c>
      <c r="O580" s="163" t="s">
        <v>2991</v>
      </c>
      <c r="P580" s="129" t="s">
        <v>2347</v>
      </c>
      <c r="Q580" s="129" t="s">
        <v>3676</v>
      </c>
      <c r="R580" s="163" t="s">
        <v>7444</v>
      </c>
      <c r="S580" s="129">
        <v>34924</v>
      </c>
      <c r="T580" s="160">
        <v>101429909153</v>
      </c>
      <c r="U580" s="126" t="s">
        <v>7445</v>
      </c>
      <c r="V580" s="151">
        <v>3715402936</v>
      </c>
      <c r="W580" s="145" t="s">
        <v>7446</v>
      </c>
      <c r="X580" s="145" t="s">
        <v>7447</v>
      </c>
      <c r="Y580" s="149" t="s">
        <v>51</v>
      </c>
      <c r="Z580" s="145" t="s">
        <v>50</v>
      </c>
      <c r="AA580" s="149" t="s">
        <v>7448</v>
      </c>
      <c r="AB580" s="149" t="s">
        <v>7448</v>
      </c>
      <c r="AC580" s="189" t="s">
        <v>7441</v>
      </c>
      <c r="AD580" s="145"/>
      <c r="AE580" s="145"/>
      <c r="AF580" s="145"/>
      <c r="AG580" s="145"/>
      <c r="AH580" s="145"/>
      <c r="AI580" s="145"/>
      <c r="AJ580" s="129"/>
      <c r="AK580" s="208" t="s">
        <v>7449</v>
      </c>
      <c r="AL580" s="209"/>
      <c r="AM580" s="209"/>
    </row>
    <row r="581" spans="1:39" ht="42.75">
      <c r="A581" s="137">
        <f>SUBTOTAL(3,$B$3:B581)</f>
        <v>579</v>
      </c>
      <c r="B581" s="203" t="s">
        <v>7450</v>
      </c>
      <c r="C581" s="163" t="s">
        <v>7451</v>
      </c>
      <c r="D581" s="163" t="s">
        <v>7451</v>
      </c>
      <c r="E581" s="129" t="s">
        <v>7452</v>
      </c>
      <c r="F581" s="129" t="s">
        <v>3263</v>
      </c>
      <c r="G581" s="129" t="s">
        <v>2345</v>
      </c>
      <c r="H581" s="129" t="s">
        <v>507</v>
      </c>
      <c r="I581" s="129" t="s">
        <v>40</v>
      </c>
      <c r="J581" s="188">
        <v>35862</v>
      </c>
      <c r="K581" s="129" t="s">
        <v>41</v>
      </c>
      <c r="L581" s="129" t="s">
        <v>42</v>
      </c>
      <c r="M581" s="163" t="s">
        <v>2231</v>
      </c>
      <c r="N581" s="188">
        <v>45400</v>
      </c>
      <c r="O581" s="163" t="s">
        <v>2159</v>
      </c>
      <c r="P581" s="129" t="s">
        <v>2347</v>
      </c>
      <c r="Q581" s="129" t="s">
        <v>3676</v>
      </c>
      <c r="R581" s="163" t="s">
        <v>7453</v>
      </c>
      <c r="S581" s="129">
        <v>34920</v>
      </c>
      <c r="T581" s="160">
        <v>101718944889</v>
      </c>
      <c r="U581" s="126" t="s">
        <v>7548</v>
      </c>
      <c r="V581" s="151">
        <v>3715402961</v>
      </c>
      <c r="W581" s="145" t="s">
        <v>7463</v>
      </c>
      <c r="X581" s="145" t="s">
        <v>7549</v>
      </c>
      <c r="Y581" s="149" t="s">
        <v>132</v>
      </c>
      <c r="Z581" s="145" t="s">
        <v>7550</v>
      </c>
      <c r="AA581" s="149" t="s">
        <v>7551</v>
      </c>
      <c r="AB581" s="149" t="s">
        <v>7551</v>
      </c>
      <c r="AC581" s="189" t="s">
        <v>7450</v>
      </c>
      <c r="AD581" s="145"/>
      <c r="AE581" s="145"/>
      <c r="AF581" s="145"/>
      <c r="AG581" s="145"/>
      <c r="AH581" s="145"/>
      <c r="AI581" s="145"/>
      <c r="AJ581" s="129"/>
      <c r="AK581" s="213"/>
      <c r="AL581" s="212" t="s">
        <v>7547</v>
      </c>
      <c r="AM581" s="214"/>
    </row>
    <row r="582" spans="1:39" ht="28.5">
      <c r="A582" s="137">
        <f>SUBTOTAL(3,$B$3:B582)</f>
        <v>580</v>
      </c>
      <c r="B582" s="203" t="s">
        <v>7464</v>
      </c>
      <c r="C582" s="163" t="s">
        <v>7468</v>
      </c>
      <c r="D582" s="163" t="s">
        <v>7469</v>
      </c>
      <c r="E582" s="129" t="s">
        <v>1428</v>
      </c>
      <c r="F582" s="129" t="s">
        <v>7081</v>
      </c>
      <c r="G582" s="129" t="s">
        <v>2389</v>
      </c>
      <c r="H582" s="129" t="s">
        <v>1899</v>
      </c>
      <c r="I582" s="129" t="s">
        <v>40</v>
      </c>
      <c r="J582" s="188">
        <v>37740</v>
      </c>
      <c r="K582" s="129" t="s">
        <v>41</v>
      </c>
      <c r="L582" s="129" t="s">
        <v>42</v>
      </c>
      <c r="M582" s="163" t="s">
        <v>4016</v>
      </c>
      <c r="N582" s="188">
        <v>45400</v>
      </c>
      <c r="O582" s="163" t="s">
        <v>6931</v>
      </c>
      <c r="P582" s="129" t="s">
        <v>2347</v>
      </c>
      <c r="Q582" s="129" t="s">
        <v>3676</v>
      </c>
      <c r="R582" s="163" t="s">
        <v>7470</v>
      </c>
      <c r="S582" s="129">
        <v>34921</v>
      </c>
      <c r="T582" s="160">
        <v>102063903571</v>
      </c>
      <c r="U582" s="126" t="s">
        <v>7471</v>
      </c>
      <c r="V582" s="151">
        <v>3715402975</v>
      </c>
      <c r="W582" s="145" t="s">
        <v>7472</v>
      </c>
      <c r="X582" s="145" t="s">
        <v>7473</v>
      </c>
      <c r="Y582" s="149" t="s">
        <v>65</v>
      </c>
      <c r="Z582" s="145" t="s">
        <v>7474</v>
      </c>
      <c r="AA582" s="149" t="s">
        <v>7476</v>
      </c>
      <c r="AB582" s="149" t="s">
        <v>7475</v>
      </c>
      <c r="AC582" s="189" t="s">
        <v>7464</v>
      </c>
      <c r="AD582" s="145"/>
      <c r="AE582" s="145"/>
      <c r="AF582" s="145"/>
      <c r="AG582" s="145"/>
      <c r="AH582" s="145"/>
      <c r="AI582" s="145"/>
      <c r="AJ582" s="129"/>
      <c r="AK582" s="208" t="s">
        <v>7477</v>
      </c>
      <c r="AL582" s="209"/>
      <c r="AM582" s="209"/>
    </row>
    <row r="583" spans="1:39" ht="28.5">
      <c r="A583" s="137">
        <f>SUBTOTAL(3,$B$3:B583)</f>
        <v>581</v>
      </c>
      <c r="B583" s="203" t="s">
        <v>7465</v>
      </c>
      <c r="C583" s="163" t="s">
        <v>7478</v>
      </c>
      <c r="D583" s="163" t="s">
        <v>7478</v>
      </c>
      <c r="E583" s="129" t="s">
        <v>263</v>
      </c>
      <c r="F583" s="129" t="s">
        <v>7479</v>
      </c>
      <c r="G583" s="129" t="s">
        <v>2345</v>
      </c>
      <c r="H583" s="129" t="s">
        <v>7480</v>
      </c>
      <c r="I583" s="129" t="s">
        <v>40</v>
      </c>
      <c r="J583" s="188">
        <v>37500</v>
      </c>
      <c r="K583" s="129" t="s">
        <v>41</v>
      </c>
      <c r="L583" s="129" t="s">
        <v>42</v>
      </c>
      <c r="M583" s="163" t="s">
        <v>4016</v>
      </c>
      <c r="N583" s="188">
        <v>45400</v>
      </c>
      <c r="O583" s="163" t="s">
        <v>44</v>
      </c>
      <c r="P583" s="129" t="s">
        <v>2347</v>
      </c>
      <c r="Q583" s="129" t="s">
        <v>3676</v>
      </c>
      <c r="R583" s="163" t="s">
        <v>7481</v>
      </c>
      <c r="S583" s="129">
        <v>34925</v>
      </c>
      <c r="T583" s="160">
        <v>102063903592</v>
      </c>
      <c r="U583" s="126" t="s">
        <v>7482</v>
      </c>
      <c r="V583" s="151">
        <v>3715402995</v>
      </c>
      <c r="W583" s="145" t="s">
        <v>7483</v>
      </c>
      <c r="X583" s="145" t="s">
        <v>7484</v>
      </c>
      <c r="Y583" s="149" t="s">
        <v>363</v>
      </c>
      <c r="Z583" s="145" t="s">
        <v>6018</v>
      </c>
      <c r="AA583" s="149" t="s">
        <v>7486</v>
      </c>
      <c r="AB583" s="149" t="s">
        <v>7485</v>
      </c>
      <c r="AC583" s="189" t="s">
        <v>7465</v>
      </c>
      <c r="AD583" s="145"/>
      <c r="AE583" s="145"/>
      <c r="AF583" s="145"/>
      <c r="AG583" s="145"/>
      <c r="AH583" s="145"/>
      <c r="AI583" s="145"/>
      <c r="AJ583" s="129"/>
      <c r="AK583" s="208" t="s">
        <v>7487</v>
      </c>
      <c r="AL583" s="209"/>
      <c r="AM583" s="209"/>
    </row>
    <row r="584" spans="1:39" ht="28.5">
      <c r="A584" s="137">
        <f>SUBTOTAL(3,$B$3:B584)</f>
        <v>582</v>
      </c>
      <c r="B584" s="203" t="s">
        <v>7466</v>
      </c>
      <c r="C584" s="163" t="s">
        <v>7488</v>
      </c>
      <c r="D584" s="163" t="s">
        <v>7489</v>
      </c>
      <c r="E584" s="129" t="s">
        <v>7110</v>
      </c>
      <c r="F584" s="129" t="s">
        <v>7490</v>
      </c>
      <c r="G584" s="129" t="s">
        <v>2345</v>
      </c>
      <c r="H584" s="129" t="s">
        <v>3427</v>
      </c>
      <c r="I584" s="129" t="s">
        <v>40</v>
      </c>
      <c r="J584" s="188">
        <v>37725</v>
      </c>
      <c r="K584" s="129" t="s">
        <v>41</v>
      </c>
      <c r="L584" s="129" t="s">
        <v>42</v>
      </c>
      <c r="M584" s="163" t="s">
        <v>4016</v>
      </c>
      <c r="N584" s="188">
        <v>45401</v>
      </c>
      <c r="O584" s="163" t="s">
        <v>44</v>
      </c>
      <c r="P584" s="129" t="s">
        <v>2347</v>
      </c>
      <c r="Q584" s="129" t="s">
        <v>3676</v>
      </c>
      <c r="R584" s="163" t="s">
        <v>7491</v>
      </c>
      <c r="S584" s="129">
        <v>34923</v>
      </c>
      <c r="T584" s="160">
        <v>102063903585</v>
      </c>
      <c r="U584" s="126" t="s">
        <v>7492</v>
      </c>
      <c r="V584" s="151">
        <v>3715403048</v>
      </c>
      <c r="W584" s="145" t="s">
        <v>7493</v>
      </c>
      <c r="X584" s="145" t="s">
        <v>7494</v>
      </c>
      <c r="Y584" s="149" t="s">
        <v>65</v>
      </c>
      <c r="Z584" s="145" t="s">
        <v>7115</v>
      </c>
      <c r="AA584" s="149" t="s">
        <v>7496</v>
      </c>
      <c r="AB584" s="149" t="s">
        <v>7495</v>
      </c>
      <c r="AC584" s="189" t="s">
        <v>7466</v>
      </c>
      <c r="AD584" s="145"/>
      <c r="AE584" s="145"/>
      <c r="AF584" s="145"/>
      <c r="AG584" s="145"/>
      <c r="AH584" s="145"/>
      <c r="AI584" s="145"/>
      <c r="AJ584" s="129"/>
      <c r="AK584" s="208" t="s">
        <v>7497</v>
      </c>
      <c r="AL584" s="209"/>
      <c r="AM584" s="209"/>
    </row>
    <row r="585" spans="1:39" ht="28.5">
      <c r="A585" s="137">
        <f>SUBTOTAL(3,$B$3:B585)</f>
        <v>583</v>
      </c>
      <c r="B585" s="203" t="s">
        <v>7467</v>
      </c>
      <c r="C585" s="163" t="s">
        <v>7498</v>
      </c>
      <c r="D585" s="163" t="s">
        <v>7498</v>
      </c>
      <c r="E585" s="129" t="s">
        <v>7499</v>
      </c>
      <c r="F585" s="129" t="s">
        <v>7500</v>
      </c>
      <c r="G585" s="129" t="s">
        <v>2389</v>
      </c>
      <c r="H585" s="129" t="s">
        <v>72</v>
      </c>
      <c r="I585" s="129" t="s">
        <v>40</v>
      </c>
      <c r="J585" s="188">
        <v>37069</v>
      </c>
      <c r="K585" s="129" t="s">
        <v>41</v>
      </c>
      <c r="L585" s="129" t="s">
        <v>42</v>
      </c>
      <c r="M585" s="163" t="s">
        <v>4016</v>
      </c>
      <c r="N585" s="188">
        <v>45402</v>
      </c>
      <c r="O585" s="163" t="s">
        <v>44</v>
      </c>
      <c r="P585" s="129" t="s">
        <v>2347</v>
      </c>
      <c r="Q585" s="129" t="s">
        <v>3676</v>
      </c>
      <c r="R585" s="163" t="s">
        <v>7501</v>
      </c>
      <c r="S585" s="129">
        <v>34918</v>
      </c>
      <c r="T585" s="160">
        <v>101984408053</v>
      </c>
      <c r="U585" s="126" t="s">
        <v>7502</v>
      </c>
      <c r="V585" s="151">
        <v>3715403059</v>
      </c>
      <c r="W585" s="145" t="s">
        <v>7503</v>
      </c>
      <c r="X585" s="145" t="s">
        <v>7504</v>
      </c>
      <c r="Y585" s="149" t="s">
        <v>65</v>
      </c>
      <c r="Z585" s="145" t="s">
        <v>7505</v>
      </c>
      <c r="AA585" s="149" t="s">
        <v>7507</v>
      </c>
      <c r="AB585" s="149" t="s">
        <v>7506</v>
      </c>
      <c r="AC585" s="189" t="s">
        <v>7467</v>
      </c>
      <c r="AD585" s="145"/>
      <c r="AE585" s="145"/>
      <c r="AF585" s="145"/>
      <c r="AG585" s="145"/>
      <c r="AH585" s="145"/>
      <c r="AI585" s="145"/>
      <c r="AJ585" s="129"/>
      <c r="AK585" s="208" t="s">
        <v>7508</v>
      </c>
      <c r="AL585" s="209"/>
      <c r="AM585" s="209"/>
    </row>
    <row r="586" spans="1:39" ht="28.5">
      <c r="A586" s="137">
        <f>SUBTOTAL(3,$B$3:B586)</f>
        <v>584</v>
      </c>
      <c r="B586" s="203" t="s">
        <v>7509</v>
      </c>
      <c r="C586" s="163" t="s">
        <v>7512</v>
      </c>
      <c r="D586" s="163" t="s">
        <v>7513</v>
      </c>
      <c r="E586" s="129" t="s">
        <v>754</v>
      </c>
      <c r="F586" s="129" t="s">
        <v>4337</v>
      </c>
      <c r="G586" s="129" t="s">
        <v>2345</v>
      </c>
      <c r="H586" s="129" t="s">
        <v>7514</v>
      </c>
      <c r="I586" s="129" t="s">
        <v>40</v>
      </c>
      <c r="J586" s="188">
        <v>36026</v>
      </c>
      <c r="K586" s="129" t="s">
        <v>280</v>
      </c>
      <c r="L586" s="129" t="s">
        <v>42</v>
      </c>
      <c r="M586" s="163" t="s">
        <v>4016</v>
      </c>
      <c r="N586" s="188">
        <v>45411</v>
      </c>
      <c r="O586" s="163" t="s">
        <v>44</v>
      </c>
      <c r="P586" s="129" t="s">
        <v>2347</v>
      </c>
      <c r="Q586" s="129" t="s">
        <v>3676</v>
      </c>
      <c r="R586" s="163" t="s">
        <v>7515</v>
      </c>
      <c r="S586" s="129">
        <v>34922</v>
      </c>
      <c r="T586" s="160">
        <v>101488865375</v>
      </c>
      <c r="U586" s="126" t="s">
        <v>7516</v>
      </c>
      <c r="V586" s="151">
        <v>3715403074</v>
      </c>
      <c r="W586" s="145" t="s">
        <v>7517</v>
      </c>
      <c r="X586" s="145" t="s">
        <v>7518</v>
      </c>
      <c r="Y586" s="149" t="s">
        <v>65</v>
      </c>
      <c r="Z586" s="145" t="s">
        <v>5589</v>
      </c>
      <c r="AA586" s="149" t="s">
        <v>7520</v>
      </c>
      <c r="AB586" s="149" t="s">
        <v>7519</v>
      </c>
      <c r="AC586" s="189" t="s">
        <v>7509</v>
      </c>
      <c r="AD586" s="145"/>
      <c r="AE586" s="145"/>
      <c r="AF586" s="145"/>
      <c r="AG586" s="145"/>
      <c r="AH586" s="145"/>
      <c r="AI586" s="145"/>
      <c r="AJ586" s="129"/>
      <c r="AK586" s="208" t="s">
        <v>7522</v>
      </c>
      <c r="AL586" s="209"/>
      <c r="AM586" s="209"/>
    </row>
    <row r="587" spans="1:39" ht="42.75">
      <c r="A587" s="137">
        <f>SUBTOTAL(3,$B$3:B587)</f>
        <v>585</v>
      </c>
      <c r="B587" s="203" t="s">
        <v>7510</v>
      </c>
      <c r="C587" s="163" t="s">
        <v>7523</v>
      </c>
      <c r="D587" s="163" t="s">
        <v>7524</v>
      </c>
      <c r="E587" s="129" t="s">
        <v>7525</v>
      </c>
      <c r="F587" s="129" t="s">
        <v>7526</v>
      </c>
      <c r="G587" s="129" t="s">
        <v>2345</v>
      </c>
      <c r="H587" s="129" t="s">
        <v>1991</v>
      </c>
      <c r="I587" s="129" t="s">
        <v>40</v>
      </c>
      <c r="J587" s="188">
        <v>36776</v>
      </c>
      <c r="K587" s="129" t="s">
        <v>41</v>
      </c>
      <c r="L587" s="129" t="s">
        <v>42</v>
      </c>
      <c r="M587" s="163" t="s">
        <v>4016</v>
      </c>
      <c r="N587" s="188">
        <v>45413</v>
      </c>
      <c r="O587" s="163" t="s">
        <v>44</v>
      </c>
      <c r="P587" s="129" t="s">
        <v>2347</v>
      </c>
      <c r="Q587" s="129" t="s">
        <v>3676</v>
      </c>
      <c r="R587" s="163" t="s">
        <v>7527</v>
      </c>
      <c r="S587" s="129">
        <v>35335</v>
      </c>
      <c r="T587" s="160">
        <v>101654800878</v>
      </c>
      <c r="U587" s="126" t="s">
        <v>7528</v>
      </c>
      <c r="V587" s="151">
        <v>3715425927</v>
      </c>
      <c r="W587" s="145" t="s">
        <v>7529</v>
      </c>
      <c r="X587" s="145" t="s">
        <v>7530</v>
      </c>
      <c r="Y587" s="149" t="s">
        <v>4952</v>
      </c>
      <c r="Z587" s="145" t="s">
        <v>7531</v>
      </c>
      <c r="AA587" s="149" t="s">
        <v>7532</v>
      </c>
      <c r="AB587" s="149" t="s">
        <v>7532</v>
      </c>
      <c r="AC587" s="189" t="s">
        <v>7510</v>
      </c>
      <c r="AD587" s="145"/>
      <c r="AE587" s="145"/>
      <c r="AF587" s="145"/>
      <c r="AG587" s="145"/>
      <c r="AH587" s="145"/>
      <c r="AI587" s="145"/>
      <c r="AJ587" s="129"/>
      <c r="AK587" s="208" t="s">
        <v>7521</v>
      </c>
      <c r="AL587" s="209"/>
      <c r="AM587" s="209"/>
    </row>
    <row r="588" spans="1:39" ht="42.75">
      <c r="A588" s="137">
        <f>SUBTOTAL(3,$B$3:B588)</f>
        <v>586</v>
      </c>
      <c r="B588" s="215" t="s">
        <v>7511</v>
      </c>
      <c r="C588" s="163" t="s">
        <v>7533</v>
      </c>
      <c r="D588" s="163" t="s">
        <v>7533</v>
      </c>
      <c r="E588" s="129" t="s">
        <v>1254</v>
      </c>
      <c r="F588" s="129" t="s">
        <v>2036</v>
      </c>
      <c r="G588" s="129" t="s">
        <v>2345</v>
      </c>
      <c r="H588" s="129" t="s">
        <v>1256</v>
      </c>
      <c r="I588" s="129" t="s">
        <v>40</v>
      </c>
      <c r="J588" s="188">
        <v>34798</v>
      </c>
      <c r="K588" s="129" t="s">
        <v>41</v>
      </c>
      <c r="L588" s="129" t="s">
        <v>42</v>
      </c>
      <c r="M588" s="163" t="s">
        <v>7545</v>
      </c>
      <c r="N588" s="188">
        <v>45413</v>
      </c>
      <c r="O588" s="163" t="s">
        <v>2991</v>
      </c>
      <c r="P588" s="129" t="s">
        <v>2347</v>
      </c>
      <c r="Q588" s="129" t="s">
        <v>3676</v>
      </c>
      <c r="R588" s="163">
        <v>8490967342</v>
      </c>
      <c r="S588" s="129">
        <v>35336</v>
      </c>
      <c r="T588" s="160">
        <v>102070736514</v>
      </c>
      <c r="U588" s="126" t="s">
        <v>7546</v>
      </c>
      <c r="V588" s="151">
        <v>3715425938</v>
      </c>
      <c r="W588" s="145" t="s">
        <v>7626</v>
      </c>
      <c r="X588" s="145" t="s">
        <v>7552</v>
      </c>
      <c r="Y588" s="149" t="s">
        <v>51</v>
      </c>
      <c r="Z588" s="145" t="s">
        <v>50</v>
      </c>
      <c r="AA588" s="149" t="s">
        <v>7553</v>
      </c>
      <c r="AB588" s="149" t="s">
        <v>7553</v>
      </c>
      <c r="AC588" s="189" t="s">
        <v>7511</v>
      </c>
      <c r="AD588" s="145"/>
      <c r="AE588" s="145"/>
      <c r="AF588" s="145"/>
      <c r="AG588" s="145"/>
      <c r="AH588" s="145"/>
      <c r="AI588" s="145"/>
      <c r="AJ588" s="129"/>
      <c r="AK588" s="208" t="s">
        <v>7554</v>
      </c>
      <c r="AL588" s="209"/>
      <c r="AM588" s="209"/>
    </row>
    <row r="589" spans="1:39" ht="28.5">
      <c r="A589" s="137">
        <f>SUBTOTAL(3,$B$3:B589)</f>
        <v>587</v>
      </c>
      <c r="B589" s="215" t="s">
        <v>7557</v>
      </c>
      <c r="C589" s="163" t="s">
        <v>7558</v>
      </c>
      <c r="D589" s="163" t="s">
        <v>7559</v>
      </c>
      <c r="E589" s="129" t="s">
        <v>263</v>
      </c>
      <c r="F589" s="129" t="s">
        <v>7560</v>
      </c>
      <c r="G589" s="129" t="s">
        <v>2389</v>
      </c>
      <c r="H589" s="129" t="s">
        <v>810</v>
      </c>
      <c r="I589" s="129" t="s">
        <v>40</v>
      </c>
      <c r="J589" s="188">
        <v>36045</v>
      </c>
      <c r="K589" s="129" t="s">
        <v>41</v>
      </c>
      <c r="L589" s="129" t="s">
        <v>42</v>
      </c>
      <c r="M589" s="163" t="s">
        <v>1992</v>
      </c>
      <c r="N589" s="188">
        <v>45413</v>
      </c>
      <c r="O589" s="163" t="s">
        <v>2981</v>
      </c>
      <c r="P589" s="129" t="s">
        <v>2347</v>
      </c>
      <c r="Q589" s="129" t="s">
        <v>3676</v>
      </c>
      <c r="R589" s="163" t="s">
        <v>7561</v>
      </c>
      <c r="S589" s="129">
        <v>35338</v>
      </c>
      <c r="T589" s="160">
        <v>101984408114</v>
      </c>
      <c r="U589" s="126" t="s">
        <v>7562</v>
      </c>
      <c r="V589" s="151">
        <v>3715425955</v>
      </c>
      <c r="W589" s="145" t="s">
        <v>7563</v>
      </c>
      <c r="X589" s="145" t="s">
        <v>7564</v>
      </c>
      <c r="Y589" s="149" t="s">
        <v>65</v>
      </c>
      <c r="Z589" s="145" t="s">
        <v>7565</v>
      </c>
      <c r="AA589" s="149" t="s">
        <v>7566</v>
      </c>
      <c r="AB589" s="149" t="s">
        <v>7566</v>
      </c>
      <c r="AC589" s="189" t="s">
        <v>7557</v>
      </c>
      <c r="AD589" s="145"/>
      <c r="AE589" s="145"/>
      <c r="AF589" s="145"/>
      <c r="AG589" s="145"/>
      <c r="AH589" s="145"/>
      <c r="AI589" s="145"/>
      <c r="AJ589" s="129"/>
      <c r="AK589" s="208"/>
      <c r="AL589" s="209"/>
      <c r="AM589" s="209"/>
    </row>
    <row r="590" spans="1:39" ht="28.5">
      <c r="A590" s="137">
        <f>SUBTOTAL(3,$B$3:B590)</f>
        <v>588</v>
      </c>
      <c r="B590" s="215" t="s">
        <v>7567</v>
      </c>
      <c r="C590" s="163" t="s">
        <v>7568</v>
      </c>
      <c r="D590" s="163" t="s">
        <v>7568</v>
      </c>
      <c r="E590" s="129" t="s">
        <v>7569</v>
      </c>
      <c r="F590" s="129" t="s">
        <v>7570</v>
      </c>
      <c r="G590" s="129" t="s">
        <v>2389</v>
      </c>
      <c r="H590" s="129" t="s">
        <v>7571</v>
      </c>
      <c r="I590" s="129" t="s">
        <v>40</v>
      </c>
      <c r="J590" s="188">
        <v>37677</v>
      </c>
      <c r="K590" s="129" t="s">
        <v>41</v>
      </c>
      <c r="L590" s="129" t="s">
        <v>42</v>
      </c>
      <c r="M590" s="163" t="s">
        <v>1104</v>
      </c>
      <c r="N590" s="188">
        <v>45418</v>
      </c>
      <c r="O590" s="163" t="s">
        <v>2991</v>
      </c>
      <c r="P590" s="129" t="s">
        <v>2347</v>
      </c>
      <c r="Q590" s="129" t="s">
        <v>3676</v>
      </c>
      <c r="R590" s="163">
        <v>7574000379</v>
      </c>
      <c r="S590" s="129">
        <v>35339</v>
      </c>
      <c r="T590" s="160">
        <v>102000097060</v>
      </c>
      <c r="U590" s="126" t="s">
        <v>7572</v>
      </c>
      <c r="V590" s="148">
        <v>3715355563</v>
      </c>
      <c r="W590" s="145" t="s">
        <v>7573</v>
      </c>
      <c r="X590" s="145" t="s">
        <v>7574</v>
      </c>
      <c r="Y590" s="149" t="s">
        <v>65</v>
      </c>
      <c r="Z590" s="145" t="s">
        <v>1873</v>
      </c>
      <c r="AA590" s="149" t="s">
        <v>7575</v>
      </c>
      <c r="AB590" s="149" t="s">
        <v>7575</v>
      </c>
      <c r="AC590" s="189" t="s">
        <v>7567</v>
      </c>
      <c r="AD590" s="145"/>
      <c r="AE590" s="145"/>
      <c r="AF590" s="145"/>
      <c r="AG590" s="145"/>
      <c r="AH590" s="145"/>
      <c r="AI590" s="145"/>
      <c r="AJ590" s="129"/>
      <c r="AK590" s="208" t="s">
        <v>7576</v>
      </c>
      <c r="AL590" s="209"/>
      <c r="AM590" s="209"/>
    </row>
    <row r="591" spans="1:39" ht="28.5">
      <c r="A591" s="137">
        <f>SUBTOTAL(3,$B$3:B591)</f>
        <v>589</v>
      </c>
      <c r="B591" s="203" t="s">
        <v>7577</v>
      </c>
      <c r="C591" s="163" t="s">
        <v>7578</v>
      </c>
      <c r="D591" s="163" t="s">
        <v>7578</v>
      </c>
      <c r="E591" s="129" t="s">
        <v>1980</v>
      </c>
      <c r="F591" s="129" t="s">
        <v>3496</v>
      </c>
      <c r="G591" s="129" t="s">
        <v>2345</v>
      </c>
      <c r="H591" s="129" t="s">
        <v>2422</v>
      </c>
      <c r="I591" s="129" t="s">
        <v>40</v>
      </c>
      <c r="J591" s="188">
        <v>36924</v>
      </c>
      <c r="K591" s="129" t="s">
        <v>41</v>
      </c>
      <c r="L591" s="129" t="s">
        <v>42</v>
      </c>
      <c r="M591" s="163" t="s">
        <v>4016</v>
      </c>
      <c r="N591" s="188">
        <v>45420</v>
      </c>
      <c r="O591" s="163" t="s">
        <v>44</v>
      </c>
      <c r="P591" s="129" t="s">
        <v>2347</v>
      </c>
      <c r="Q591" s="129" t="s">
        <v>3676</v>
      </c>
      <c r="R591" s="163" t="s">
        <v>7579</v>
      </c>
      <c r="S591" s="129">
        <v>35340</v>
      </c>
      <c r="T591" s="160">
        <v>102070755863</v>
      </c>
      <c r="U591" s="126" t="s">
        <v>7580</v>
      </c>
      <c r="V591" s="151">
        <v>3715425977</v>
      </c>
      <c r="W591" s="145" t="s">
        <v>7581</v>
      </c>
      <c r="X591" s="145" t="s">
        <v>7582</v>
      </c>
      <c r="Y591" s="149" t="s">
        <v>65</v>
      </c>
      <c r="Z591" s="145" t="s">
        <v>7583</v>
      </c>
      <c r="AA591" s="149" t="s">
        <v>7584</v>
      </c>
      <c r="AB591" s="149" t="s">
        <v>7584</v>
      </c>
      <c r="AC591" s="189" t="s">
        <v>7577</v>
      </c>
      <c r="AD591" s="145"/>
      <c r="AE591" s="145"/>
      <c r="AF591" s="145"/>
      <c r="AG591" s="145"/>
      <c r="AH591" s="145"/>
      <c r="AI591" s="145"/>
      <c r="AJ591" s="129"/>
      <c r="AK591" s="208" t="s">
        <v>7585</v>
      </c>
      <c r="AL591" s="209"/>
      <c r="AM591" s="209"/>
    </row>
    <row r="592" spans="1:39" ht="28.5">
      <c r="A592" s="137">
        <f>SUBTOTAL(3,$B$3:B592)</f>
        <v>590</v>
      </c>
      <c r="B592" s="203" t="s">
        <v>7586</v>
      </c>
      <c r="C592" s="163" t="s">
        <v>7587</v>
      </c>
      <c r="D592" s="163" t="s">
        <v>7587</v>
      </c>
      <c r="E592" s="129" t="s">
        <v>6866</v>
      </c>
      <c r="F592" s="129" t="s">
        <v>7588</v>
      </c>
      <c r="G592" s="129" t="s">
        <v>2345</v>
      </c>
      <c r="H592" s="129" t="s">
        <v>7589</v>
      </c>
      <c r="I592" s="129" t="s">
        <v>40</v>
      </c>
      <c r="J592" s="188">
        <v>35961</v>
      </c>
      <c r="K592" s="129" t="s">
        <v>41</v>
      </c>
      <c r="L592" s="129" t="s">
        <v>42</v>
      </c>
      <c r="M592" s="163" t="s">
        <v>4016</v>
      </c>
      <c r="N592" s="188">
        <v>45420</v>
      </c>
      <c r="O592" s="163" t="s">
        <v>44</v>
      </c>
      <c r="P592" s="129" t="s">
        <v>2347</v>
      </c>
      <c r="Q592" s="129" t="s">
        <v>3676</v>
      </c>
      <c r="R592" s="163">
        <v>9913416721</v>
      </c>
      <c r="S592" s="129">
        <v>35341</v>
      </c>
      <c r="T592" s="160">
        <v>101871513207</v>
      </c>
      <c r="U592" s="126" t="s">
        <v>7590</v>
      </c>
      <c r="V592" s="148">
        <v>3715431372</v>
      </c>
      <c r="W592" s="145" t="s">
        <v>7591</v>
      </c>
      <c r="X592" s="145" t="s">
        <v>7644</v>
      </c>
      <c r="Y592" s="149" t="s">
        <v>4952</v>
      </c>
      <c r="Z592" s="145" t="s">
        <v>7645</v>
      </c>
      <c r="AA592" s="149" t="s">
        <v>7592</v>
      </c>
      <c r="AB592" s="149" t="s">
        <v>7592</v>
      </c>
      <c r="AC592" s="189" t="s">
        <v>7586</v>
      </c>
      <c r="AD592" s="145"/>
      <c r="AE592" s="145"/>
      <c r="AF592" s="145"/>
      <c r="AG592" s="145"/>
      <c r="AH592" s="145"/>
      <c r="AI592" s="145"/>
      <c r="AJ592" s="129"/>
      <c r="AK592" s="208"/>
      <c r="AL592" s="209"/>
      <c r="AM592" s="209"/>
    </row>
    <row r="593" spans="1:39" ht="28.5">
      <c r="A593" s="137">
        <f>SUBTOTAL(3,$B$3:B593)</f>
        <v>591</v>
      </c>
      <c r="B593" s="215" t="s">
        <v>7593</v>
      </c>
      <c r="C593" s="163" t="s">
        <v>7594</v>
      </c>
      <c r="D593" s="163" t="s">
        <v>7595</v>
      </c>
      <c r="E593" s="129" t="s">
        <v>7596</v>
      </c>
      <c r="F593" s="129" t="s">
        <v>7597</v>
      </c>
      <c r="G593" s="129" t="s">
        <v>2345</v>
      </c>
      <c r="H593" s="129" t="s">
        <v>7598</v>
      </c>
      <c r="I593" s="129" t="s">
        <v>40</v>
      </c>
      <c r="J593" s="188">
        <v>36576</v>
      </c>
      <c r="K593" s="129" t="s">
        <v>41</v>
      </c>
      <c r="L593" s="129" t="s">
        <v>42</v>
      </c>
      <c r="M593" s="163" t="s">
        <v>1104</v>
      </c>
      <c r="N593" s="188">
        <v>45420</v>
      </c>
      <c r="O593" s="163" t="s">
        <v>2991</v>
      </c>
      <c r="P593" s="129" t="s">
        <v>2347</v>
      </c>
      <c r="Q593" s="129" t="s">
        <v>3676</v>
      </c>
      <c r="R593" s="163" t="s">
        <v>7599</v>
      </c>
      <c r="S593" s="129">
        <v>35342</v>
      </c>
      <c r="T593" s="160">
        <v>102002237103</v>
      </c>
      <c r="U593" s="126" t="s">
        <v>7600</v>
      </c>
      <c r="V593" s="151">
        <v>3715426015</v>
      </c>
      <c r="W593" s="145" t="s">
        <v>7601</v>
      </c>
      <c r="X593" s="145" t="s">
        <v>7602</v>
      </c>
      <c r="Y593" s="149" t="s">
        <v>146</v>
      </c>
      <c r="Z593" s="145" t="s">
        <v>7603</v>
      </c>
      <c r="AA593" s="149" t="s">
        <v>7604</v>
      </c>
      <c r="AB593" s="149" t="s">
        <v>7604</v>
      </c>
      <c r="AC593" s="189" t="s">
        <v>7593</v>
      </c>
      <c r="AD593" s="145"/>
      <c r="AE593" s="145"/>
      <c r="AF593" s="145"/>
      <c r="AG593" s="145"/>
      <c r="AH593" s="145"/>
      <c r="AI593" s="145"/>
      <c r="AJ593" s="129"/>
      <c r="AK593" s="208" t="s">
        <v>7605</v>
      </c>
      <c r="AL593" s="209"/>
      <c r="AM593" s="209"/>
    </row>
    <row r="594" spans="1:39" ht="28.5">
      <c r="A594" s="137">
        <f>SUBTOTAL(3,$B$3:B594)</f>
        <v>592</v>
      </c>
      <c r="B594" s="203" t="s">
        <v>7606</v>
      </c>
      <c r="C594" s="163" t="s">
        <v>7616</v>
      </c>
      <c r="D594" s="163" t="s">
        <v>7616</v>
      </c>
      <c r="E594" s="129" t="s">
        <v>7617</v>
      </c>
      <c r="F594" s="129" t="s">
        <v>5021</v>
      </c>
      <c r="G594" s="129" t="s">
        <v>2345</v>
      </c>
      <c r="H594" s="129" t="s">
        <v>7618</v>
      </c>
      <c r="I594" s="129" t="s">
        <v>40</v>
      </c>
      <c r="J594" s="188">
        <v>36442</v>
      </c>
      <c r="K594" s="129" t="s">
        <v>41</v>
      </c>
      <c r="L594" s="129" t="s">
        <v>42</v>
      </c>
      <c r="M594" s="163" t="s">
        <v>4016</v>
      </c>
      <c r="N594" s="188">
        <v>45425</v>
      </c>
      <c r="O594" s="163" t="s">
        <v>44</v>
      </c>
      <c r="P594" s="129" t="s">
        <v>2347</v>
      </c>
      <c r="Q594" s="129" t="s">
        <v>3676</v>
      </c>
      <c r="R594" s="163" t="s">
        <v>7619</v>
      </c>
      <c r="S594" s="129">
        <v>35343</v>
      </c>
      <c r="T594" s="160">
        <v>101677091072</v>
      </c>
      <c r="U594" s="126" t="s">
        <v>7620</v>
      </c>
      <c r="V594" s="148">
        <v>3715426076</v>
      </c>
      <c r="W594" s="145" t="s">
        <v>7621</v>
      </c>
      <c r="X594" s="145" t="s">
        <v>7622</v>
      </c>
      <c r="Y594" s="149" t="s">
        <v>4952</v>
      </c>
      <c r="Z594" s="145" t="s">
        <v>4953</v>
      </c>
      <c r="AA594" s="149" t="s">
        <v>7623</v>
      </c>
      <c r="AB594" s="149" t="s">
        <v>7624</v>
      </c>
      <c r="AC594" s="189" t="s">
        <v>7606</v>
      </c>
      <c r="AD594" s="145"/>
      <c r="AE594" s="145"/>
      <c r="AF594" s="145"/>
      <c r="AG594" s="145"/>
      <c r="AH594" s="145"/>
      <c r="AI594" s="145"/>
      <c r="AJ594" s="129"/>
      <c r="AK594" s="208" t="s">
        <v>7625</v>
      </c>
      <c r="AL594" s="209"/>
      <c r="AM594" s="209"/>
    </row>
    <row r="595" spans="1:39" ht="28.5">
      <c r="A595" s="137">
        <f>SUBTOTAL(3,$B$3:B595)</f>
        <v>593</v>
      </c>
      <c r="B595" s="203" t="s">
        <v>7607</v>
      </c>
      <c r="C595" s="163" t="s">
        <v>7627</v>
      </c>
      <c r="D595" s="163" t="s">
        <v>7627</v>
      </c>
      <c r="E595" s="129" t="s">
        <v>136</v>
      </c>
      <c r="F595" s="129" t="s">
        <v>3699</v>
      </c>
      <c r="G595" s="129" t="s">
        <v>2345</v>
      </c>
      <c r="H595" s="129" t="s">
        <v>292</v>
      </c>
      <c r="I595" s="129" t="s">
        <v>40</v>
      </c>
      <c r="J595" s="188">
        <v>36764</v>
      </c>
      <c r="K595" s="129" t="s">
        <v>41</v>
      </c>
      <c r="L595" s="129" t="s">
        <v>42</v>
      </c>
      <c r="M595" s="163" t="s">
        <v>1044</v>
      </c>
      <c r="N595" s="188">
        <v>45427</v>
      </c>
      <c r="O595" s="163" t="s">
        <v>2991</v>
      </c>
      <c r="P595" s="129" t="s">
        <v>2347</v>
      </c>
      <c r="Q595" s="129" t="s">
        <v>3676</v>
      </c>
      <c r="R595" s="163">
        <v>7283890716</v>
      </c>
      <c r="S595" s="129">
        <v>35360</v>
      </c>
      <c r="T595" s="160">
        <v>102073776686</v>
      </c>
      <c r="U595" s="126" t="s">
        <v>7628</v>
      </c>
      <c r="V595" s="151">
        <v>3715431391</v>
      </c>
      <c r="W595" s="145" t="s">
        <v>7629</v>
      </c>
      <c r="X595" s="145" t="s">
        <v>7630</v>
      </c>
      <c r="Y595" s="149" t="s">
        <v>146</v>
      </c>
      <c r="Z595" s="145" t="s">
        <v>1388</v>
      </c>
      <c r="AA595" s="149" t="s">
        <v>7631</v>
      </c>
      <c r="AB595" s="149" t="s">
        <v>7631</v>
      </c>
      <c r="AC595" s="189" t="s">
        <v>7607</v>
      </c>
      <c r="AD595" s="145"/>
      <c r="AE595" s="145"/>
      <c r="AF595" s="145"/>
      <c r="AG595" s="145"/>
      <c r="AH595" s="145"/>
      <c r="AI595" s="145"/>
      <c r="AJ595" s="129"/>
      <c r="AK595" s="208" t="s">
        <v>7632</v>
      </c>
      <c r="AL595" s="209"/>
      <c r="AM595" s="209"/>
    </row>
    <row r="596" spans="1:39" ht="28.5">
      <c r="A596" s="137">
        <f>SUBTOTAL(3,$B$3:B596)</f>
        <v>594</v>
      </c>
      <c r="B596" s="203" t="s">
        <v>7608</v>
      </c>
      <c r="C596" s="163" t="s">
        <v>7609</v>
      </c>
      <c r="D596" s="163" t="s">
        <v>7609</v>
      </c>
      <c r="E596" s="129" t="s">
        <v>3157</v>
      </c>
      <c r="F596" s="129" t="s">
        <v>7610</v>
      </c>
      <c r="G596" s="129" t="s">
        <v>2345</v>
      </c>
      <c r="H596" s="129" t="s">
        <v>810</v>
      </c>
      <c r="I596" s="129" t="s">
        <v>40</v>
      </c>
      <c r="J596" s="188">
        <v>36925</v>
      </c>
      <c r="K596" s="129" t="s">
        <v>41</v>
      </c>
      <c r="L596" s="129" t="s">
        <v>42</v>
      </c>
      <c r="M596" s="163" t="s">
        <v>6371</v>
      </c>
      <c r="N596" s="188">
        <v>45432</v>
      </c>
      <c r="O596" s="163" t="s">
        <v>2621</v>
      </c>
      <c r="P596" s="129" t="s">
        <v>2347</v>
      </c>
      <c r="Q596" s="129" t="s">
        <v>3676</v>
      </c>
      <c r="R596" s="163" t="s">
        <v>7611</v>
      </c>
      <c r="S596" s="129">
        <v>35361</v>
      </c>
      <c r="T596" s="160">
        <v>102073776693</v>
      </c>
      <c r="U596" s="126" t="s">
        <v>7612</v>
      </c>
      <c r="V596" s="151">
        <v>3715448655</v>
      </c>
      <c r="W596" s="145" t="s">
        <v>7613</v>
      </c>
      <c r="X596" s="145" t="s">
        <v>7643</v>
      </c>
      <c r="Y596" s="149" t="s">
        <v>7017</v>
      </c>
      <c r="Z596" s="145" t="s">
        <v>7018</v>
      </c>
      <c r="AA596" s="149" t="s">
        <v>7614</v>
      </c>
      <c r="AB596" s="149" t="s">
        <v>7614</v>
      </c>
      <c r="AC596" s="189" t="s">
        <v>7608</v>
      </c>
      <c r="AD596" s="145"/>
      <c r="AE596" s="145"/>
      <c r="AF596" s="145"/>
      <c r="AG596" s="145"/>
      <c r="AH596" s="145"/>
      <c r="AI596" s="145"/>
      <c r="AJ596" s="129"/>
      <c r="AK596" s="208" t="s">
        <v>7615</v>
      </c>
      <c r="AL596" s="209"/>
      <c r="AM596" s="209"/>
    </row>
    <row r="597" spans="1:39" ht="28.5">
      <c r="A597" s="137">
        <f>SUBTOTAL(3,$B$3:B597)</f>
        <v>595</v>
      </c>
      <c r="B597" s="203" t="s">
        <v>7633</v>
      </c>
      <c r="C597" s="163" t="s">
        <v>7634</v>
      </c>
      <c r="D597" s="163" t="s">
        <v>7635</v>
      </c>
      <c r="E597" s="129" t="s">
        <v>4666</v>
      </c>
      <c r="F597" s="129" t="s">
        <v>37</v>
      </c>
      <c r="G597" s="129" t="s">
        <v>2345</v>
      </c>
      <c r="H597" s="129" t="s">
        <v>711</v>
      </c>
      <c r="I597" s="129" t="s">
        <v>40</v>
      </c>
      <c r="J597" s="188">
        <v>36470</v>
      </c>
      <c r="K597" s="129" t="s">
        <v>41</v>
      </c>
      <c r="L597" s="129" t="s">
        <v>42</v>
      </c>
      <c r="M597" s="163" t="s">
        <v>7636</v>
      </c>
      <c r="N597" s="188">
        <v>45429</v>
      </c>
      <c r="O597" s="163" t="s">
        <v>6174</v>
      </c>
      <c r="P597" s="129" t="s">
        <v>2347</v>
      </c>
      <c r="Q597" s="129" t="s">
        <v>3676</v>
      </c>
      <c r="R597" s="163">
        <v>7434942290</v>
      </c>
      <c r="S597" s="129">
        <v>35362</v>
      </c>
      <c r="T597" s="160">
        <v>102073776705</v>
      </c>
      <c r="U597" s="126" t="s">
        <v>7637</v>
      </c>
      <c r="V597" s="151">
        <v>3715448675</v>
      </c>
      <c r="W597" s="145" t="s">
        <v>7638</v>
      </c>
      <c r="X597" s="145" t="s">
        <v>7639</v>
      </c>
      <c r="Y597" s="149" t="s">
        <v>65</v>
      </c>
      <c r="Z597" s="145" t="s">
        <v>1643</v>
      </c>
      <c r="AA597" s="149" t="s">
        <v>7641</v>
      </c>
      <c r="AB597" s="149" t="s">
        <v>7640</v>
      </c>
      <c r="AC597" s="189" t="s">
        <v>7633</v>
      </c>
      <c r="AD597" s="145"/>
      <c r="AE597" s="145"/>
      <c r="AF597" s="145"/>
      <c r="AG597" s="145"/>
      <c r="AH597" s="145"/>
      <c r="AI597" s="145"/>
      <c r="AJ597" s="129"/>
      <c r="AK597" s="208" t="s">
        <v>7642</v>
      </c>
      <c r="AL597" s="209"/>
      <c r="AM597" s="209"/>
    </row>
    <row r="598" spans="1:39" ht="28.5">
      <c r="A598" s="137">
        <f>SUBTOTAL(3,$B$3:B598)</f>
        <v>596</v>
      </c>
      <c r="B598" s="203" t="s">
        <v>7646</v>
      </c>
      <c r="C598" s="163" t="s">
        <v>7647</v>
      </c>
      <c r="D598" s="163" t="s">
        <v>7647</v>
      </c>
      <c r="E598" s="129" t="s">
        <v>7183</v>
      </c>
      <c r="F598" s="129" t="s">
        <v>4337</v>
      </c>
      <c r="G598" s="129" t="s">
        <v>2345</v>
      </c>
      <c r="H598" s="129" t="s">
        <v>7648</v>
      </c>
      <c r="I598" s="129" t="s">
        <v>40</v>
      </c>
      <c r="J598" s="188">
        <v>36369</v>
      </c>
      <c r="K598" s="129" t="s">
        <v>280</v>
      </c>
      <c r="L598" s="129" t="s">
        <v>42</v>
      </c>
      <c r="M598" s="163" t="s">
        <v>4016</v>
      </c>
      <c r="N598" s="188">
        <v>45439</v>
      </c>
      <c r="O598" s="163" t="s">
        <v>44</v>
      </c>
      <c r="P598" s="129" t="s">
        <v>2347</v>
      </c>
      <c r="Q598" s="129" t="s">
        <v>3676</v>
      </c>
      <c r="R598" s="163">
        <v>8980234381</v>
      </c>
      <c r="S598" s="129">
        <v>35413</v>
      </c>
      <c r="T598" s="160">
        <v>101756445613</v>
      </c>
      <c r="U598" s="126" t="s">
        <v>7649</v>
      </c>
      <c r="V598" s="151">
        <v>3715471535</v>
      </c>
      <c r="W598" s="145" t="s">
        <v>7650</v>
      </c>
      <c r="X598" s="145" t="s">
        <v>7655</v>
      </c>
      <c r="Y598" s="149" t="s">
        <v>4952</v>
      </c>
      <c r="Z598" s="145" t="s">
        <v>7654</v>
      </c>
      <c r="AA598" s="149" t="s">
        <v>7651</v>
      </c>
      <c r="AB598" s="149" t="s">
        <v>7651</v>
      </c>
      <c r="AC598" s="189" t="s">
        <v>7646</v>
      </c>
      <c r="AD598" s="145"/>
      <c r="AE598" s="145"/>
      <c r="AF598" s="145"/>
      <c r="AG598" s="145"/>
      <c r="AH598" s="145"/>
      <c r="AI598" s="145"/>
      <c r="AJ598" s="129"/>
      <c r="AK598" s="208" t="s">
        <v>7652</v>
      </c>
      <c r="AL598" s="209"/>
      <c r="AM598" s="209"/>
    </row>
    <row r="599" spans="1:39" ht="42.75">
      <c r="A599" s="137">
        <f>SUBTOTAL(3,$B$3:B599)</f>
        <v>597</v>
      </c>
      <c r="B599" s="203" t="s">
        <v>7657</v>
      </c>
      <c r="C599" s="163" t="s">
        <v>7658</v>
      </c>
      <c r="D599" s="163" t="s">
        <v>7659</v>
      </c>
      <c r="E599" s="129" t="s">
        <v>7660</v>
      </c>
      <c r="F599" s="129" t="s">
        <v>5625</v>
      </c>
      <c r="G599" s="129" t="s">
        <v>2345</v>
      </c>
      <c r="H599" s="129" t="s">
        <v>4188</v>
      </c>
      <c r="I599" s="129" t="s">
        <v>40</v>
      </c>
      <c r="J599" s="188">
        <v>37324</v>
      </c>
      <c r="K599" s="129" t="s">
        <v>41</v>
      </c>
      <c r="L599" s="129" t="s">
        <v>42</v>
      </c>
      <c r="M599" s="163" t="s">
        <v>3103</v>
      </c>
      <c r="N599" s="188">
        <v>45449</v>
      </c>
      <c r="O599" s="163" t="s">
        <v>44</v>
      </c>
      <c r="P599" s="129" t="s">
        <v>2347</v>
      </c>
      <c r="Q599" s="129" t="s">
        <v>3676</v>
      </c>
      <c r="R599" s="163" t="s">
        <v>7661</v>
      </c>
      <c r="S599" s="129">
        <v>35534</v>
      </c>
      <c r="T599" s="160">
        <v>102052517226</v>
      </c>
      <c r="U599" s="126" t="s">
        <v>7662</v>
      </c>
      <c r="V599" s="151">
        <v>3715504966</v>
      </c>
      <c r="W599" s="145" t="s">
        <v>7663</v>
      </c>
      <c r="X599" s="145" t="s">
        <v>7664</v>
      </c>
      <c r="Y599" s="149" t="s">
        <v>146</v>
      </c>
      <c r="Z599" s="145" t="s">
        <v>893</v>
      </c>
      <c r="AA599" s="149" t="s">
        <v>7665</v>
      </c>
      <c r="AB599" s="149" t="s">
        <v>7665</v>
      </c>
      <c r="AC599" s="189" t="s">
        <v>7657</v>
      </c>
      <c r="AD599" s="145"/>
      <c r="AE599" s="145"/>
      <c r="AF599" s="145"/>
      <c r="AG599" s="145"/>
      <c r="AH599" s="145"/>
      <c r="AI599" s="145"/>
      <c r="AJ599" s="129"/>
      <c r="AK599" s="208" t="s">
        <v>7666</v>
      </c>
      <c r="AL599" s="209"/>
      <c r="AM599" s="209"/>
    </row>
    <row r="600" spans="1:39" ht="42.75">
      <c r="A600" s="137">
        <f>SUBTOTAL(3,$B$3:B600)</f>
        <v>598</v>
      </c>
      <c r="B600" s="203" t="s">
        <v>7667</v>
      </c>
      <c r="C600" s="163" t="s">
        <v>7806</v>
      </c>
      <c r="D600" s="163" t="s">
        <v>7806</v>
      </c>
      <c r="E600" s="129" t="s">
        <v>2473</v>
      </c>
      <c r="F600" s="129" t="s">
        <v>3564</v>
      </c>
      <c r="G600" s="129" t="s">
        <v>2345</v>
      </c>
      <c r="H600" s="129" t="s">
        <v>1256</v>
      </c>
      <c r="I600" s="129" t="s">
        <v>40</v>
      </c>
      <c r="J600" s="188">
        <v>37379</v>
      </c>
      <c r="K600" s="129" t="s">
        <v>41</v>
      </c>
      <c r="L600" s="129" t="s">
        <v>42</v>
      </c>
      <c r="M600" s="163" t="s">
        <v>3103</v>
      </c>
      <c r="N600" s="188">
        <v>45449</v>
      </c>
      <c r="O600" s="163" t="s">
        <v>44</v>
      </c>
      <c r="P600" s="129" t="s">
        <v>2347</v>
      </c>
      <c r="Q600" s="129" t="s">
        <v>3676</v>
      </c>
      <c r="R600" s="163" t="s">
        <v>7668</v>
      </c>
      <c r="S600" s="129">
        <v>35538</v>
      </c>
      <c r="T600" s="160">
        <v>102084798803</v>
      </c>
      <c r="U600" s="126" t="s">
        <v>7669</v>
      </c>
      <c r="V600" s="151">
        <v>3715504968</v>
      </c>
      <c r="W600" s="145" t="s">
        <v>7670</v>
      </c>
      <c r="X600" s="145" t="s">
        <v>7671</v>
      </c>
      <c r="Y600" s="149" t="s">
        <v>65</v>
      </c>
      <c r="Z600" s="145" t="s">
        <v>7672</v>
      </c>
      <c r="AA600" s="149" t="s">
        <v>5720</v>
      </c>
      <c r="AB600" s="149" t="s">
        <v>7673</v>
      </c>
      <c r="AC600" s="189" t="s">
        <v>7667</v>
      </c>
      <c r="AD600" s="145"/>
      <c r="AE600" s="145"/>
      <c r="AF600" s="145"/>
      <c r="AG600" s="145"/>
      <c r="AH600" s="145"/>
      <c r="AI600" s="145"/>
      <c r="AJ600" s="129"/>
      <c r="AK600" s="208" t="s">
        <v>7674</v>
      </c>
      <c r="AL600" s="209"/>
      <c r="AM600" s="209"/>
    </row>
    <row r="601" spans="1:39" ht="28.5">
      <c r="A601" s="137">
        <f>SUBTOTAL(3,$B$3:B601)</f>
        <v>599</v>
      </c>
      <c r="B601" s="203" t="s">
        <v>7675</v>
      </c>
      <c r="C601" s="163" t="s">
        <v>7676</v>
      </c>
      <c r="D601" s="163" t="s">
        <v>7676</v>
      </c>
      <c r="E601" s="129" t="s">
        <v>7677</v>
      </c>
      <c r="F601" s="129" t="s">
        <v>7678</v>
      </c>
      <c r="G601" s="129" t="s">
        <v>2345</v>
      </c>
      <c r="H601" s="129" t="s">
        <v>7679</v>
      </c>
      <c r="I601" s="129" t="s">
        <v>40</v>
      </c>
      <c r="J601" s="188">
        <v>35981</v>
      </c>
      <c r="K601" s="129" t="s">
        <v>41</v>
      </c>
      <c r="L601" s="129" t="s">
        <v>42</v>
      </c>
      <c r="M601" s="163" t="s">
        <v>1151</v>
      </c>
      <c r="N601" s="188">
        <v>45454</v>
      </c>
      <c r="O601" s="163" t="s">
        <v>2991</v>
      </c>
      <c r="P601" s="129" t="s">
        <v>2347</v>
      </c>
      <c r="Q601" s="129" t="s">
        <v>3676</v>
      </c>
      <c r="R601" s="163">
        <v>8200049616</v>
      </c>
      <c r="S601" s="129">
        <v>35531</v>
      </c>
      <c r="T601" s="160">
        <v>101935193553</v>
      </c>
      <c r="U601" s="126" t="s">
        <v>7680</v>
      </c>
      <c r="V601" s="151">
        <v>3715504971</v>
      </c>
      <c r="W601" s="145" t="s">
        <v>7681</v>
      </c>
      <c r="X601" s="145" t="s">
        <v>7682</v>
      </c>
      <c r="Y601" s="149" t="s">
        <v>146</v>
      </c>
      <c r="Z601" s="145" t="s">
        <v>2352</v>
      </c>
      <c r="AA601" s="149" t="s">
        <v>7683</v>
      </c>
      <c r="AB601" s="149" t="s">
        <v>7683</v>
      </c>
      <c r="AC601" s="189" t="s">
        <v>7675</v>
      </c>
      <c r="AD601" s="145"/>
      <c r="AE601" s="145"/>
      <c r="AF601" s="145"/>
      <c r="AG601" s="145"/>
      <c r="AH601" s="145"/>
      <c r="AI601" s="145"/>
      <c r="AJ601" s="129"/>
      <c r="AK601" s="208" t="s">
        <v>7684</v>
      </c>
      <c r="AL601" s="209"/>
      <c r="AM601" s="209"/>
    </row>
    <row r="602" spans="1:39" ht="42.75">
      <c r="A602" s="137">
        <f>SUBTOTAL(3,$B$3:B602)</f>
        <v>600</v>
      </c>
      <c r="B602" s="203" t="s">
        <v>7685</v>
      </c>
      <c r="C602" s="163" t="s">
        <v>7686</v>
      </c>
      <c r="D602" s="163" t="s">
        <v>7686</v>
      </c>
      <c r="E602" s="129" t="s">
        <v>7687</v>
      </c>
      <c r="F602" s="129" t="s">
        <v>4946</v>
      </c>
      <c r="G602" s="129" t="s">
        <v>2389</v>
      </c>
      <c r="H602" s="129" t="s">
        <v>768</v>
      </c>
      <c r="I602" s="129" t="s">
        <v>40</v>
      </c>
      <c r="J602" s="188">
        <v>35582</v>
      </c>
      <c r="K602" s="129" t="s">
        <v>41</v>
      </c>
      <c r="L602" s="129" t="s">
        <v>42</v>
      </c>
      <c r="M602" s="163" t="s">
        <v>7697</v>
      </c>
      <c r="N602" s="188">
        <v>45455</v>
      </c>
      <c r="O602" s="163" t="s">
        <v>2991</v>
      </c>
      <c r="P602" s="129" t="s">
        <v>2347</v>
      </c>
      <c r="Q602" s="129" t="s">
        <v>3676</v>
      </c>
      <c r="R602" s="163" t="s">
        <v>7688</v>
      </c>
      <c r="S602" s="129">
        <v>35529</v>
      </c>
      <c r="T602" s="160">
        <v>102084676076</v>
      </c>
      <c r="U602" s="126" t="s">
        <v>7689</v>
      </c>
      <c r="V602" s="151">
        <v>3715504974</v>
      </c>
      <c r="W602" s="145" t="s">
        <v>7690</v>
      </c>
      <c r="X602" s="145" t="s">
        <v>7703</v>
      </c>
      <c r="Y602" s="149" t="s">
        <v>132</v>
      </c>
      <c r="Z602" s="145" t="s">
        <v>7704</v>
      </c>
      <c r="AA602" s="149" t="s">
        <v>7691</v>
      </c>
      <c r="AB602" s="149" t="s">
        <v>7691</v>
      </c>
      <c r="AC602" s="189" t="s">
        <v>7685</v>
      </c>
      <c r="AD602" s="145"/>
      <c r="AE602" s="145"/>
      <c r="AF602" s="145"/>
      <c r="AG602" s="145"/>
      <c r="AH602" s="145"/>
      <c r="AI602" s="145"/>
      <c r="AJ602" s="129"/>
      <c r="AK602" s="208" t="s">
        <v>7692</v>
      </c>
      <c r="AL602" s="209"/>
      <c r="AM602" s="209"/>
    </row>
    <row r="603" spans="1:39" ht="28.5">
      <c r="A603" s="137">
        <f>SUBTOTAL(3,$B$3:B603)</f>
        <v>601</v>
      </c>
      <c r="B603" s="203" t="s">
        <v>7693</v>
      </c>
      <c r="C603" s="163" t="s">
        <v>7694</v>
      </c>
      <c r="D603" s="163" t="s">
        <v>7695</v>
      </c>
      <c r="E603" s="129" t="s">
        <v>544</v>
      </c>
      <c r="F603" s="129" t="s">
        <v>1212</v>
      </c>
      <c r="G603" s="129" t="s">
        <v>2389</v>
      </c>
      <c r="H603" s="129" t="s">
        <v>3273</v>
      </c>
      <c r="I603" s="129" t="s">
        <v>40</v>
      </c>
      <c r="J603" s="188">
        <v>34040</v>
      </c>
      <c r="K603" s="129" t="s">
        <v>41</v>
      </c>
      <c r="L603" s="129" t="s">
        <v>42</v>
      </c>
      <c r="M603" s="163" t="s">
        <v>7696</v>
      </c>
      <c r="N603" s="188">
        <v>45455</v>
      </c>
      <c r="O603" s="163" t="s">
        <v>2991</v>
      </c>
      <c r="P603" s="129" t="s">
        <v>2347</v>
      </c>
      <c r="Q603" s="129" t="s">
        <v>3676</v>
      </c>
      <c r="R603" s="163" t="s">
        <v>7698</v>
      </c>
      <c r="S603" s="129">
        <v>35539</v>
      </c>
      <c r="T603" s="160">
        <v>102084798819</v>
      </c>
      <c r="U603" s="126" t="s">
        <v>7699</v>
      </c>
      <c r="V603" s="151" t="s">
        <v>7193</v>
      </c>
      <c r="W603" s="145" t="s">
        <v>7700</v>
      </c>
      <c r="X603" s="145" t="s">
        <v>7193</v>
      </c>
      <c r="Y603" s="149" t="s">
        <v>7193</v>
      </c>
      <c r="Z603" s="145" t="s">
        <v>7193</v>
      </c>
      <c r="AA603" s="149" t="s">
        <v>7701</v>
      </c>
      <c r="AB603" s="149" t="s">
        <v>7702</v>
      </c>
      <c r="AC603" s="189" t="s">
        <v>7693</v>
      </c>
      <c r="AD603" s="145"/>
      <c r="AE603" s="145"/>
      <c r="AF603" s="145"/>
      <c r="AG603" s="145"/>
      <c r="AH603" s="145"/>
      <c r="AI603" s="145"/>
      <c r="AJ603" s="129"/>
      <c r="AK603" s="208"/>
      <c r="AL603" s="209"/>
      <c r="AM603" s="209"/>
    </row>
    <row r="604" spans="1:39" ht="28.5">
      <c r="A604" s="137">
        <f>SUBTOTAL(3,$B$3:B604)</f>
        <v>602</v>
      </c>
      <c r="B604" s="203" t="s">
        <v>7705</v>
      </c>
      <c r="C604" s="163" t="s">
        <v>7706</v>
      </c>
      <c r="D604" s="163" t="s">
        <v>7707</v>
      </c>
      <c r="E604" s="129" t="s">
        <v>722</v>
      </c>
      <c r="F604" s="129" t="s">
        <v>7708</v>
      </c>
      <c r="G604" s="129" t="s">
        <v>2345</v>
      </c>
      <c r="H604" s="129" t="s">
        <v>239</v>
      </c>
      <c r="I604" s="129" t="s">
        <v>40</v>
      </c>
      <c r="J604" s="188">
        <v>34269</v>
      </c>
      <c r="K604" s="129" t="s">
        <v>280</v>
      </c>
      <c r="L604" s="129" t="s">
        <v>42</v>
      </c>
      <c r="M604" s="163" t="s">
        <v>4016</v>
      </c>
      <c r="N604" s="188">
        <v>45455</v>
      </c>
      <c r="O604" s="163" t="s">
        <v>44</v>
      </c>
      <c r="P604" s="129" t="s">
        <v>2347</v>
      </c>
      <c r="Q604" s="129" t="s">
        <v>3676</v>
      </c>
      <c r="R604" s="163">
        <v>7990281374</v>
      </c>
      <c r="S604" s="129">
        <v>35526</v>
      </c>
      <c r="T604" s="160">
        <v>102037019441</v>
      </c>
      <c r="U604" s="126" t="s">
        <v>7709</v>
      </c>
      <c r="V604" s="151">
        <v>3715504977</v>
      </c>
      <c r="W604" s="145" t="s">
        <v>7710</v>
      </c>
      <c r="X604" s="145" t="s">
        <v>7711</v>
      </c>
      <c r="Y604" s="149" t="s">
        <v>146</v>
      </c>
      <c r="Z604" s="145" t="s">
        <v>2352</v>
      </c>
      <c r="AA604" s="149" t="s">
        <v>7712</v>
      </c>
      <c r="AB604" s="149" t="s">
        <v>7713</v>
      </c>
      <c r="AC604" s="189" t="s">
        <v>7705</v>
      </c>
      <c r="AD604" s="145"/>
      <c r="AE604" s="145"/>
      <c r="AF604" s="145"/>
      <c r="AG604" s="145"/>
      <c r="AH604" s="145"/>
      <c r="AI604" s="145"/>
      <c r="AJ604" s="129"/>
      <c r="AK604" s="208" t="s">
        <v>7714</v>
      </c>
      <c r="AL604" s="209"/>
      <c r="AM604" s="209"/>
    </row>
    <row r="605" spans="1:39" ht="28.5">
      <c r="A605" s="137">
        <f>SUBTOTAL(3,$B$3:B605)</f>
        <v>603</v>
      </c>
      <c r="B605" s="203" t="s">
        <v>7715</v>
      </c>
      <c r="C605" s="163" t="s">
        <v>7716</v>
      </c>
      <c r="D605" s="163" t="s">
        <v>7716</v>
      </c>
      <c r="E605" s="129" t="s">
        <v>7717</v>
      </c>
      <c r="F605" s="129" t="s">
        <v>2098</v>
      </c>
      <c r="G605" s="129" t="s">
        <v>2345</v>
      </c>
      <c r="H605" s="129" t="s">
        <v>2065</v>
      </c>
      <c r="I605" s="129" t="s">
        <v>40</v>
      </c>
      <c r="J605" s="188">
        <v>37452</v>
      </c>
      <c r="K605" s="129" t="s">
        <v>41</v>
      </c>
      <c r="L605" s="129" t="s">
        <v>42</v>
      </c>
      <c r="M605" s="163" t="s">
        <v>4016</v>
      </c>
      <c r="N605" s="188">
        <v>45458</v>
      </c>
      <c r="O605" s="163" t="s">
        <v>44</v>
      </c>
      <c r="P605" s="129" t="s">
        <v>2347</v>
      </c>
      <c r="Q605" s="129" t="s">
        <v>3676</v>
      </c>
      <c r="R605" s="163" t="s">
        <v>7718</v>
      </c>
      <c r="S605" s="129">
        <v>35528</v>
      </c>
      <c r="T605" s="160">
        <v>101934931831</v>
      </c>
      <c r="U605" s="126" t="s">
        <v>7719</v>
      </c>
      <c r="V605" s="151">
        <v>3715504980</v>
      </c>
      <c r="W605" s="145" t="s">
        <v>7720</v>
      </c>
      <c r="X605" s="145" t="s">
        <v>7721</v>
      </c>
      <c r="Y605" s="149" t="s">
        <v>65</v>
      </c>
      <c r="Z605" s="145" t="s">
        <v>7722</v>
      </c>
      <c r="AA605" s="149" t="s">
        <v>7723</v>
      </c>
      <c r="AB605" s="149" t="s">
        <v>7724</v>
      </c>
      <c r="AC605" s="189" t="s">
        <v>5605</v>
      </c>
      <c r="AD605" s="145"/>
      <c r="AE605" s="145"/>
      <c r="AF605" s="145"/>
      <c r="AG605" s="145"/>
      <c r="AH605" s="145"/>
      <c r="AI605" s="145"/>
      <c r="AJ605" s="129"/>
      <c r="AK605" s="208" t="s">
        <v>7725</v>
      </c>
      <c r="AL605" s="209"/>
      <c r="AM605" s="209"/>
    </row>
    <row r="606" spans="1:39" ht="28.5">
      <c r="A606" s="137">
        <f>SUBTOTAL(3,$B$3:B606)</f>
        <v>604</v>
      </c>
      <c r="B606" s="203" t="s">
        <v>7726</v>
      </c>
      <c r="C606" s="163" t="s">
        <v>7727</v>
      </c>
      <c r="D606" s="163" t="s">
        <v>7727</v>
      </c>
      <c r="E606" s="129" t="s">
        <v>7728</v>
      </c>
      <c r="F606" s="129" t="s">
        <v>2134</v>
      </c>
      <c r="G606" s="129" t="s">
        <v>2389</v>
      </c>
      <c r="H606" s="129" t="s">
        <v>7729</v>
      </c>
      <c r="I606" s="129" t="s">
        <v>40</v>
      </c>
      <c r="J606" s="188">
        <v>36963</v>
      </c>
      <c r="K606" s="129" t="s">
        <v>41</v>
      </c>
      <c r="L606" s="129" t="s">
        <v>42</v>
      </c>
      <c r="M606" s="163" t="s">
        <v>1044</v>
      </c>
      <c r="N606" s="188">
        <v>45458</v>
      </c>
      <c r="O606" s="163" t="s">
        <v>2991</v>
      </c>
      <c r="P606" s="129" t="s">
        <v>2347</v>
      </c>
      <c r="Q606" s="129" t="s">
        <v>3676</v>
      </c>
      <c r="R606" s="163">
        <v>8485986749</v>
      </c>
      <c r="S606" s="129">
        <v>35532</v>
      </c>
      <c r="T606" s="160">
        <v>102084676082</v>
      </c>
      <c r="U606" s="126" t="s">
        <v>7730</v>
      </c>
      <c r="V606" s="151">
        <v>3715504981</v>
      </c>
      <c r="W606" s="145" t="s">
        <v>7731</v>
      </c>
      <c r="X606" s="145" t="s">
        <v>7732</v>
      </c>
      <c r="Y606" s="149" t="s">
        <v>132</v>
      </c>
      <c r="Z606" s="145" t="s">
        <v>3033</v>
      </c>
      <c r="AA606" s="149" t="s">
        <v>7733</v>
      </c>
      <c r="AB606" s="149" t="s">
        <v>7733</v>
      </c>
      <c r="AC606" s="189" t="s">
        <v>7726</v>
      </c>
      <c r="AD606" s="145"/>
      <c r="AE606" s="145"/>
      <c r="AF606" s="145"/>
      <c r="AG606" s="145"/>
      <c r="AH606" s="145"/>
      <c r="AI606" s="145"/>
      <c r="AJ606" s="129"/>
      <c r="AK606" s="208" t="s">
        <v>7734</v>
      </c>
      <c r="AL606" s="209"/>
      <c r="AM606" s="209"/>
    </row>
    <row r="607" spans="1:39" ht="42.75">
      <c r="A607" s="137">
        <f>SUBTOTAL(3,$B$3:B607)</f>
        <v>605</v>
      </c>
      <c r="B607" s="203" t="s">
        <v>7735</v>
      </c>
      <c r="C607" s="163" t="s">
        <v>7736</v>
      </c>
      <c r="D607" s="163" t="s">
        <v>7736</v>
      </c>
      <c r="E607" s="129" t="s">
        <v>136</v>
      </c>
      <c r="F607" s="129" t="s">
        <v>7737</v>
      </c>
      <c r="G607" s="129" t="s">
        <v>2345</v>
      </c>
      <c r="H607" s="129" t="s">
        <v>659</v>
      </c>
      <c r="I607" s="129" t="s">
        <v>40</v>
      </c>
      <c r="J607" s="188">
        <v>36752</v>
      </c>
      <c r="K607" s="129" t="s">
        <v>41</v>
      </c>
      <c r="L607" s="129" t="s">
        <v>42</v>
      </c>
      <c r="M607" s="163" t="s">
        <v>7738</v>
      </c>
      <c r="N607" s="188">
        <v>45460</v>
      </c>
      <c r="O607" s="163" t="s">
        <v>5956</v>
      </c>
      <c r="P607" s="129" t="s">
        <v>2347</v>
      </c>
      <c r="Q607" s="129" t="s">
        <v>3676</v>
      </c>
      <c r="R607" s="163" t="s">
        <v>7739</v>
      </c>
      <c r="S607" s="129">
        <v>35533</v>
      </c>
      <c r="T607" s="160">
        <v>101737338484</v>
      </c>
      <c r="U607" s="126" t="s">
        <v>7740</v>
      </c>
      <c r="V607" s="151">
        <v>3715504985</v>
      </c>
      <c r="W607" s="145" t="s">
        <v>7741</v>
      </c>
      <c r="X607" s="145" t="s">
        <v>7755</v>
      </c>
      <c r="Y607" s="149" t="s">
        <v>4952</v>
      </c>
      <c r="Z607" s="145" t="s">
        <v>7756</v>
      </c>
      <c r="AA607" s="149" t="s">
        <v>7742</v>
      </c>
      <c r="AB607" s="149" t="s">
        <v>7742</v>
      </c>
      <c r="AC607" s="189" t="s">
        <v>7735</v>
      </c>
      <c r="AD607" s="145"/>
      <c r="AE607" s="145"/>
      <c r="AF607" s="145"/>
      <c r="AG607" s="145"/>
      <c r="AH607" s="145"/>
      <c r="AI607" s="145"/>
      <c r="AJ607" s="129"/>
      <c r="AK607" s="208" t="s">
        <v>7743</v>
      </c>
      <c r="AL607" s="209"/>
      <c r="AM607" s="209"/>
    </row>
    <row r="608" spans="1:39" ht="28.5">
      <c r="A608" s="137">
        <f>SUBTOTAL(3,$B$3:B608)</f>
        <v>606</v>
      </c>
      <c r="B608" s="203" t="s">
        <v>7744</v>
      </c>
      <c r="C608" s="163" t="s">
        <v>7745</v>
      </c>
      <c r="D608" s="163" t="s">
        <v>7745</v>
      </c>
      <c r="E608" s="129" t="s">
        <v>4847</v>
      </c>
      <c r="F608" s="129" t="s">
        <v>7746</v>
      </c>
      <c r="G608" s="129" t="s">
        <v>2345</v>
      </c>
      <c r="H608" s="129" t="s">
        <v>4109</v>
      </c>
      <c r="I608" s="129" t="s">
        <v>40</v>
      </c>
      <c r="J608" s="188">
        <v>36447</v>
      </c>
      <c r="K608" s="129" t="s">
        <v>280</v>
      </c>
      <c r="L608" s="129" t="s">
        <v>42</v>
      </c>
      <c r="M608" s="163" t="s">
        <v>4222</v>
      </c>
      <c r="N608" s="188">
        <v>45461</v>
      </c>
      <c r="O608" s="163" t="s">
        <v>2981</v>
      </c>
      <c r="P608" s="129" t="s">
        <v>2347</v>
      </c>
      <c r="Q608" s="129" t="s">
        <v>3676</v>
      </c>
      <c r="R608" s="163" t="s">
        <v>7747</v>
      </c>
      <c r="S608" s="129">
        <v>35527</v>
      </c>
      <c r="T608" s="160">
        <v>102027044349</v>
      </c>
      <c r="U608" s="126" t="s">
        <v>7748</v>
      </c>
      <c r="V608" s="151">
        <v>3715504986</v>
      </c>
      <c r="W608" s="145" t="s">
        <v>7749</v>
      </c>
      <c r="X608" s="145" t="s">
        <v>7750</v>
      </c>
      <c r="Y608" s="149" t="s">
        <v>7017</v>
      </c>
      <c r="Z608" s="145" t="s">
        <v>7751</v>
      </c>
      <c r="AA608" s="149" t="s">
        <v>7752</v>
      </c>
      <c r="AB608" s="149" t="s">
        <v>7753</v>
      </c>
      <c r="AC608" s="189" t="s">
        <v>7744</v>
      </c>
      <c r="AD608" s="145"/>
      <c r="AE608" s="145"/>
      <c r="AF608" s="145"/>
      <c r="AG608" s="145"/>
      <c r="AH608" s="145"/>
      <c r="AI608" s="145"/>
      <c r="AJ608" s="129"/>
      <c r="AK608" s="208" t="s">
        <v>7754</v>
      </c>
      <c r="AL608" s="209"/>
      <c r="AM608" s="209"/>
    </row>
    <row r="609" spans="1:39" ht="28.5">
      <c r="A609" s="137">
        <f>SUBTOTAL(3,$B$3:B609)</f>
        <v>607</v>
      </c>
      <c r="B609" s="203" t="s">
        <v>7757</v>
      </c>
      <c r="C609" s="163" t="s">
        <v>7790</v>
      </c>
      <c r="D609" s="163" t="s">
        <v>7790</v>
      </c>
      <c r="E609" s="129" t="s">
        <v>110</v>
      </c>
      <c r="F609" s="129" t="s">
        <v>7791</v>
      </c>
      <c r="G609" s="129" t="s">
        <v>2345</v>
      </c>
      <c r="H609" s="129" t="s">
        <v>7792</v>
      </c>
      <c r="I609" s="129" t="s">
        <v>40</v>
      </c>
      <c r="J609" s="188">
        <v>36462</v>
      </c>
      <c r="K609" s="129" t="s">
        <v>280</v>
      </c>
      <c r="L609" s="129" t="s">
        <v>42</v>
      </c>
      <c r="M609" s="163" t="s">
        <v>4016</v>
      </c>
      <c r="N609" s="188">
        <v>45462</v>
      </c>
      <c r="O609" s="163" t="s">
        <v>44</v>
      </c>
      <c r="P609" s="129" t="s">
        <v>2347</v>
      </c>
      <c r="Q609" s="129" t="s">
        <v>3676</v>
      </c>
      <c r="R609" s="163">
        <v>9725076685</v>
      </c>
      <c r="S609" s="129">
        <v>35530</v>
      </c>
      <c r="T609" s="160">
        <v>101829441070</v>
      </c>
      <c r="U609" s="126" t="s">
        <v>7793</v>
      </c>
      <c r="V609" s="151">
        <v>3715504988</v>
      </c>
      <c r="W609" s="145" t="s">
        <v>7794</v>
      </c>
      <c r="X609" s="145" t="s">
        <v>7795</v>
      </c>
      <c r="Y609" s="149" t="s">
        <v>146</v>
      </c>
      <c r="Z609" s="145" t="s">
        <v>2352</v>
      </c>
      <c r="AA609" s="149" t="s">
        <v>7796</v>
      </c>
      <c r="AB609" s="149" t="s">
        <v>7796</v>
      </c>
      <c r="AC609" s="189" t="s">
        <v>7757</v>
      </c>
      <c r="AD609" s="145"/>
      <c r="AE609" s="145"/>
      <c r="AF609" s="145"/>
      <c r="AG609" s="145"/>
      <c r="AH609" s="145"/>
      <c r="AI609" s="145"/>
      <c r="AJ609" s="129"/>
      <c r="AK609" s="208" t="s">
        <v>7797</v>
      </c>
      <c r="AL609" s="209"/>
      <c r="AM609" s="209"/>
    </row>
    <row r="610" spans="1:39" ht="28.5">
      <c r="A610" s="137">
        <f>SUBTOTAL(3,$B$3:B610)</f>
        <v>608</v>
      </c>
      <c r="B610" s="203" t="s">
        <v>7758</v>
      </c>
      <c r="C610" s="163" t="s">
        <v>7798</v>
      </c>
      <c r="D610" s="163" t="s">
        <v>7798</v>
      </c>
      <c r="E610" s="129" t="s">
        <v>249</v>
      </c>
      <c r="F610" s="129" t="s">
        <v>440</v>
      </c>
      <c r="G610" s="129" t="s">
        <v>2345</v>
      </c>
      <c r="H610" s="129" t="s">
        <v>7799</v>
      </c>
      <c r="I610" s="129" t="s">
        <v>40</v>
      </c>
      <c r="J610" s="188">
        <v>35670</v>
      </c>
      <c r="K610" s="129" t="s">
        <v>280</v>
      </c>
      <c r="L610" s="129" t="s">
        <v>42</v>
      </c>
      <c r="M610" s="163" t="s">
        <v>4016</v>
      </c>
      <c r="N610" s="188">
        <v>45462</v>
      </c>
      <c r="O610" s="163" t="s">
        <v>44</v>
      </c>
      <c r="P610" s="129" t="s">
        <v>2347</v>
      </c>
      <c r="Q610" s="129" t="s">
        <v>3676</v>
      </c>
      <c r="R610" s="163">
        <v>8780516596</v>
      </c>
      <c r="S610" s="129">
        <v>35536</v>
      </c>
      <c r="T610" s="160">
        <v>101386624961</v>
      </c>
      <c r="U610" s="126" t="s">
        <v>7800</v>
      </c>
      <c r="V610" s="151">
        <v>3715504990</v>
      </c>
      <c r="W610" s="145" t="s">
        <v>7801</v>
      </c>
      <c r="X610" s="145" t="s">
        <v>7802</v>
      </c>
      <c r="Y610" s="149" t="s">
        <v>4952</v>
      </c>
      <c r="Z610" s="145" t="s">
        <v>7803</v>
      </c>
      <c r="AA610" s="149" t="s">
        <v>7804</v>
      </c>
      <c r="AB610" s="149" t="s">
        <v>7804</v>
      </c>
      <c r="AC610" s="189" t="s">
        <v>7758</v>
      </c>
      <c r="AD610" s="145"/>
      <c r="AE610" s="145"/>
      <c r="AF610" s="145"/>
      <c r="AG610" s="145"/>
      <c r="AH610" s="145"/>
      <c r="AI610" s="145"/>
      <c r="AJ610" s="129"/>
      <c r="AK610" s="208" t="s">
        <v>7805</v>
      </c>
      <c r="AL610" s="209"/>
      <c r="AM610" s="209"/>
    </row>
    <row r="611" spans="1:39" ht="28.5">
      <c r="A611" s="137">
        <f>SUBTOTAL(3,$B$3:B611)</f>
        <v>609</v>
      </c>
      <c r="B611" s="203" t="s">
        <v>7759</v>
      </c>
      <c r="C611" s="163" t="s">
        <v>7760</v>
      </c>
      <c r="D611" s="163" t="s">
        <v>7761</v>
      </c>
      <c r="E611" s="129" t="s">
        <v>136</v>
      </c>
      <c r="F611" s="129" t="s">
        <v>189</v>
      </c>
      <c r="G611" s="129" t="s">
        <v>2389</v>
      </c>
      <c r="H611" s="129" t="s">
        <v>3598</v>
      </c>
      <c r="I611" s="129" t="s">
        <v>40</v>
      </c>
      <c r="J611" s="188">
        <v>34511</v>
      </c>
      <c r="K611" s="129" t="s">
        <v>41</v>
      </c>
      <c r="L611" s="129" t="s">
        <v>42</v>
      </c>
      <c r="M611" s="163" t="s">
        <v>1104</v>
      </c>
      <c r="N611" s="188">
        <v>45464</v>
      </c>
      <c r="O611" s="163" t="s">
        <v>2991</v>
      </c>
      <c r="P611" s="129" t="s">
        <v>2347</v>
      </c>
      <c r="Q611" s="129" t="s">
        <v>3676</v>
      </c>
      <c r="R611" s="163" t="s">
        <v>7762</v>
      </c>
      <c r="S611" s="129">
        <v>35580</v>
      </c>
      <c r="T611" s="160">
        <v>102088844290</v>
      </c>
      <c r="U611" s="126" t="s">
        <v>6178</v>
      </c>
      <c r="V611" s="148">
        <v>3715528549</v>
      </c>
      <c r="W611" s="145" t="s">
        <v>7763</v>
      </c>
      <c r="X611" s="145" t="s">
        <v>7817</v>
      </c>
      <c r="Y611" s="149" t="s">
        <v>65</v>
      </c>
      <c r="Z611" s="145" t="s">
        <v>7816</v>
      </c>
      <c r="AA611" s="149" t="s">
        <v>4974</v>
      </c>
      <c r="AB611" s="149" t="s">
        <v>7764</v>
      </c>
      <c r="AC611" s="189" t="s">
        <v>7759</v>
      </c>
      <c r="AD611" s="145"/>
      <c r="AE611" s="145"/>
      <c r="AF611" s="145"/>
      <c r="AG611" s="145"/>
      <c r="AH611" s="145"/>
      <c r="AI611" s="145"/>
      <c r="AJ611" s="129"/>
      <c r="AK611" s="208" t="s">
        <v>7765</v>
      </c>
      <c r="AL611" s="209"/>
      <c r="AM611" s="209"/>
    </row>
    <row r="612" spans="1:39" ht="28.5">
      <c r="A612" s="137">
        <f>SUBTOTAL(3,$B$3:B612)</f>
        <v>610</v>
      </c>
      <c r="B612" s="203" t="s">
        <v>7766</v>
      </c>
      <c r="C612" s="163" t="s">
        <v>7767</v>
      </c>
      <c r="D612" s="163" t="s">
        <v>7768</v>
      </c>
      <c r="E612" s="129" t="s">
        <v>7769</v>
      </c>
      <c r="F612" s="129" t="s">
        <v>7770</v>
      </c>
      <c r="G612" s="129" t="s">
        <v>2345</v>
      </c>
      <c r="H612" s="129" t="s">
        <v>7771</v>
      </c>
      <c r="I612" s="129" t="s">
        <v>40</v>
      </c>
      <c r="J612" s="188">
        <v>36437</v>
      </c>
      <c r="K612" s="129" t="s">
        <v>41</v>
      </c>
      <c r="L612" s="129" t="s">
        <v>42</v>
      </c>
      <c r="M612" s="163" t="s">
        <v>1044</v>
      </c>
      <c r="N612" s="188">
        <v>45465</v>
      </c>
      <c r="O612" s="163" t="s">
        <v>2991</v>
      </c>
      <c r="P612" s="129" t="s">
        <v>2347</v>
      </c>
      <c r="Q612" s="129" t="s">
        <v>3676</v>
      </c>
      <c r="R612" s="163" t="s">
        <v>7772</v>
      </c>
      <c r="S612" s="129">
        <v>35535</v>
      </c>
      <c r="T612" s="160">
        <v>101932541677</v>
      </c>
      <c r="U612" s="126" t="s">
        <v>7773</v>
      </c>
      <c r="V612" s="151">
        <v>3714740438</v>
      </c>
      <c r="W612" s="145" t="s">
        <v>7774</v>
      </c>
      <c r="X612" s="145" t="s">
        <v>7789</v>
      </c>
      <c r="Y612" s="149" t="s">
        <v>65</v>
      </c>
      <c r="Z612" s="145" t="s">
        <v>1643</v>
      </c>
      <c r="AA612" s="149" t="s">
        <v>7775</v>
      </c>
      <c r="AB612" s="149" t="s">
        <v>7775</v>
      </c>
      <c r="AC612" s="189" t="s">
        <v>7766</v>
      </c>
      <c r="AD612" s="145"/>
      <c r="AE612" s="145"/>
      <c r="AF612" s="145"/>
      <c r="AG612" s="145"/>
      <c r="AH612" s="145"/>
      <c r="AI612" s="145"/>
      <c r="AJ612" s="129"/>
      <c r="AK612" s="208" t="s">
        <v>7776</v>
      </c>
      <c r="AL612" s="209"/>
      <c r="AM612" s="209"/>
    </row>
    <row r="613" spans="1:39" ht="28.5">
      <c r="A613" s="137">
        <f>SUBTOTAL(3,$B$3:B613)</f>
        <v>611</v>
      </c>
      <c r="B613" s="203" t="s">
        <v>7777</v>
      </c>
      <c r="C613" s="163" t="s">
        <v>7778</v>
      </c>
      <c r="D613" s="163" t="s">
        <v>7779</v>
      </c>
      <c r="E613" s="129" t="s">
        <v>7780</v>
      </c>
      <c r="F613" s="129" t="s">
        <v>7781</v>
      </c>
      <c r="G613" s="129" t="s">
        <v>2345</v>
      </c>
      <c r="H613" s="129" t="s">
        <v>7782</v>
      </c>
      <c r="I613" s="129" t="s">
        <v>40</v>
      </c>
      <c r="J613" s="188">
        <v>36760</v>
      </c>
      <c r="K613" s="129" t="s">
        <v>41</v>
      </c>
      <c r="L613" s="129" t="s">
        <v>42</v>
      </c>
      <c r="M613" s="163" t="s">
        <v>1104</v>
      </c>
      <c r="N613" s="188">
        <v>45465</v>
      </c>
      <c r="O613" s="163" t="s">
        <v>2991</v>
      </c>
      <c r="P613" s="129" t="s">
        <v>2347</v>
      </c>
      <c r="Q613" s="129" t="s">
        <v>3676</v>
      </c>
      <c r="R613" s="163" t="s">
        <v>7783</v>
      </c>
      <c r="S613" s="129">
        <v>35537</v>
      </c>
      <c r="T613" s="160">
        <v>101942785195</v>
      </c>
      <c r="U613" s="126" t="s">
        <v>7784</v>
      </c>
      <c r="V613" s="151">
        <v>3714847970</v>
      </c>
      <c r="W613" s="145" t="s">
        <v>7785</v>
      </c>
      <c r="X613" s="145" t="s">
        <v>7786</v>
      </c>
      <c r="Y613" s="149" t="s">
        <v>146</v>
      </c>
      <c r="Z613" s="145" t="s">
        <v>447</v>
      </c>
      <c r="AA613" s="149" t="s">
        <v>7787</v>
      </c>
      <c r="AB613" s="149" t="s">
        <v>7787</v>
      </c>
      <c r="AC613" s="189" t="s">
        <v>7777</v>
      </c>
      <c r="AD613" s="145"/>
      <c r="AE613" s="145"/>
      <c r="AF613" s="145"/>
      <c r="AG613" s="145"/>
      <c r="AH613" s="145"/>
      <c r="AI613" s="145"/>
      <c r="AJ613" s="129"/>
      <c r="AK613" s="208" t="s">
        <v>7788</v>
      </c>
      <c r="AL613" s="209"/>
      <c r="AM613" s="209"/>
    </row>
    <row r="614" spans="1:39" ht="28.5">
      <c r="A614" s="137">
        <f>SUBTOTAL(3,$B$3:B614)</f>
        <v>612</v>
      </c>
      <c r="B614" s="203" t="s">
        <v>7807</v>
      </c>
      <c r="C614" s="163" t="s">
        <v>7808</v>
      </c>
      <c r="D614" s="163" t="s">
        <v>7808</v>
      </c>
      <c r="E614" s="129" t="s">
        <v>722</v>
      </c>
      <c r="F614" s="129" t="s">
        <v>124</v>
      </c>
      <c r="G614" s="129" t="s">
        <v>2389</v>
      </c>
      <c r="H614" s="129" t="s">
        <v>4078</v>
      </c>
      <c r="I614" s="129" t="s">
        <v>40</v>
      </c>
      <c r="J614" s="188">
        <v>37572</v>
      </c>
      <c r="K614" s="129" t="s">
        <v>41</v>
      </c>
      <c r="L614" s="129" t="s">
        <v>42</v>
      </c>
      <c r="M614" s="163" t="s">
        <v>4016</v>
      </c>
      <c r="N614" s="188">
        <v>45469</v>
      </c>
      <c r="O614" s="163" t="s">
        <v>44</v>
      </c>
      <c r="P614" s="129" t="s">
        <v>2347</v>
      </c>
      <c r="Q614" s="129" t="s">
        <v>3676</v>
      </c>
      <c r="R614" s="163">
        <v>9104148614</v>
      </c>
      <c r="S614" s="129">
        <v>35581</v>
      </c>
      <c r="T614" s="160">
        <v>102088844300</v>
      </c>
      <c r="U614" s="126" t="s">
        <v>7809</v>
      </c>
      <c r="V614" s="151">
        <v>3715528564</v>
      </c>
      <c r="W614" s="145" t="s">
        <v>7810</v>
      </c>
      <c r="X614" s="145" t="s">
        <v>7811</v>
      </c>
      <c r="Y614" s="149" t="s">
        <v>65</v>
      </c>
      <c r="Z614" s="145" t="s">
        <v>7812</v>
      </c>
      <c r="AA614" s="149" t="s">
        <v>7813</v>
      </c>
      <c r="AB614" s="149" t="s">
        <v>7814</v>
      </c>
      <c r="AC614" s="189" t="s">
        <v>7807</v>
      </c>
      <c r="AD614" s="145"/>
      <c r="AE614" s="145"/>
      <c r="AF614" s="145"/>
      <c r="AG614" s="145"/>
      <c r="AH614" s="145"/>
      <c r="AI614" s="145"/>
      <c r="AJ614" s="129"/>
      <c r="AK614" s="208" t="s">
        <v>7815</v>
      </c>
      <c r="AL614" s="209"/>
      <c r="AM614" s="209"/>
    </row>
    <row r="615" spans="1:39" ht="28.5">
      <c r="A615" s="137">
        <f>SUBTOTAL(3,$B$3:B615)</f>
        <v>613</v>
      </c>
      <c r="B615" s="203" t="s">
        <v>7818</v>
      </c>
      <c r="C615" s="163" t="s">
        <v>7819</v>
      </c>
      <c r="D615" s="163" t="s">
        <v>7819</v>
      </c>
      <c r="E615" s="129" t="s">
        <v>212</v>
      </c>
      <c r="F615" s="129" t="s">
        <v>6550</v>
      </c>
      <c r="G615" s="129" t="s">
        <v>2345</v>
      </c>
      <c r="H615" s="129" t="s">
        <v>7820</v>
      </c>
      <c r="I615" s="129" t="s">
        <v>40</v>
      </c>
      <c r="J615" s="188">
        <v>37431</v>
      </c>
      <c r="K615" s="129" t="s">
        <v>41</v>
      </c>
      <c r="L615" s="129" t="s">
        <v>42</v>
      </c>
      <c r="M615" s="163" t="s">
        <v>6752</v>
      </c>
      <c r="N615" s="188">
        <v>45474</v>
      </c>
      <c r="O615" s="163" t="s">
        <v>44</v>
      </c>
      <c r="P615" s="129" t="s">
        <v>2347</v>
      </c>
      <c r="Q615" s="129" t="s">
        <v>3676</v>
      </c>
      <c r="R615" s="163">
        <v>9106336883</v>
      </c>
      <c r="S615" s="124">
        <v>35689</v>
      </c>
      <c r="T615" s="144">
        <v>102097163357</v>
      </c>
      <c r="U615" s="126" t="s">
        <v>7821</v>
      </c>
      <c r="V615" s="151">
        <v>3715547038</v>
      </c>
      <c r="W615" s="145" t="s">
        <v>7822</v>
      </c>
      <c r="X615" s="145" t="s">
        <v>7823</v>
      </c>
      <c r="Y615" s="149" t="s">
        <v>65</v>
      </c>
      <c r="Z615" s="145" t="s">
        <v>774</v>
      </c>
      <c r="AA615" s="149" t="s">
        <v>7824</v>
      </c>
      <c r="AB615" s="149" t="s">
        <v>7824</v>
      </c>
      <c r="AC615" s="189" t="s">
        <v>7818</v>
      </c>
      <c r="AD615" s="145"/>
      <c r="AE615" s="145"/>
      <c r="AF615" s="145"/>
      <c r="AG615" s="145"/>
      <c r="AH615" s="145"/>
      <c r="AI615" s="145"/>
      <c r="AJ615" s="129"/>
      <c r="AK615" s="208" t="s">
        <v>7825</v>
      </c>
      <c r="AL615" s="209"/>
      <c r="AM615" s="209"/>
    </row>
    <row r="616" spans="1:39" ht="28.5">
      <c r="A616" s="137">
        <f>SUBTOTAL(3,$B$3:B616)</f>
        <v>614</v>
      </c>
      <c r="B616" s="203" t="s">
        <v>7826</v>
      </c>
      <c r="C616" s="163" t="s">
        <v>7827</v>
      </c>
      <c r="D616" s="163" t="s">
        <v>7827</v>
      </c>
      <c r="E616" s="129" t="s">
        <v>7828</v>
      </c>
      <c r="F616" s="129" t="s">
        <v>7829</v>
      </c>
      <c r="G616" s="129" t="s">
        <v>2345</v>
      </c>
      <c r="H616" s="129" t="s">
        <v>2818</v>
      </c>
      <c r="I616" s="129" t="s">
        <v>40</v>
      </c>
      <c r="J616" s="188">
        <v>37807</v>
      </c>
      <c r="K616" s="129" t="s">
        <v>41</v>
      </c>
      <c r="L616" s="129" t="s">
        <v>42</v>
      </c>
      <c r="M616" s="163" t="s">
        <v>4016</v>
      </c>
      <c r="N616" s="188">
        <v>45474</v>
      </c>
      <c r="O616" s="163" t="s">
        <v>44</v>
      </c>
      <c r="P616" s="129" t="s">
        <v>2347</v>
      </c>
      <c r="Q616" s="129" t="s">
        <v>3676</v>
      </c>
      <c r="R616" s="163" t="s">
        <v>7830</v>
      </c>
      <c r="S616" s="124">
        <v>35687</v>
      </c>
      <c r="T616" s="144">
        <v>102097163335</v>
      </c>
      <c r="U616" s="126" t="s">
        <v>7831</v>
      </c>
      <c r="V616" s="151">
        <v>3715547048</v>
      </c>
      <c r="W616" s="145" t="s">
        <v>7832</v>
      </c>
      <c r="X616" s="145" t="s">
        <v>7833</v>
      </c>
      <c r="Y616" s="149" t="s">
        <v>65</v>
      </c>
      <c r="Z616" s="145" t="s">
        <v>91</v>
      </c>
      <c r="AA616" s="149" t="s">
        <v>7723</v>
      </c>
      <c r="AB616" s="149" t="s">
        <v>7834</v>
      </c>
      <c r="AC616" s="189" t="s">
        <v>7826</v>
      </c>
      <c r="AD616" s="145"/>
      <c r="AE616" s="145"/>
      <c r="AF616" s="145"/>
      <c r="AG616" s="145"/>
      <c r="AH616" s="145"/>
      <c r="AI616" s="145"/>
      <c r="AJ616" s="129"/>
      <c r="AK616" s="208" t="s">
        <v>7835</v>
      </c>
      <c r="AL616" s="209"/>
      <c r="AM616" s="209"/>
    </row>
    <row r="617" spans="1:39" ht="28.5">
      <c r="A617" s="137">
        <f>SUBTOTAL(3,$B$3:B617)</f>
        <v>615</v>
      </c>
      <c r="B617" s="203" t="s">
        <v>7836</v>
      </c>
      <c r="C617" s="163" t="s">
        <v>7837</v>
      </c>
      <c r="D617" s="163" t="s">
        <v>7837</v>
      </c>
      <c r="E617" s="129" t="s">
        <v>544</v>
      </c>
      <c r="F617" s="129" t="s">
        <v>7838</v>
      </c>
      <c r="G617" s="129" t="s">
        <v>2345</v>
      </c>
      <c r="H617" s="129" t="s">
        <v>4371</v>
      </c>
      <c r="I617" s="129" t="s">
        <v>40</v>
      </c>
      <c r="J617" s="188">
        <v>37699</v>
      </c>
      <c r="K617" s="129" t="s">
        <v>41</v>
      </c>
      <c r="L617" s="129" t="s">
        <v>42</v>
      </c>
      <c r="M617" s="163" t="s">
        <v>4016</v>
      </c>
      <c r="N617" s="188">
        <v>45474</v>
      </c>
      <c r="O617" s="163" t="s">
        <v>44</v>
      </c>
      <c r="P617" s="129" t="s">
        <v>2347</v>
      </c>
      <c r="Q617" s="129" t="s">
        <v>3676</v>
      </c>
      <c r="R617" s="163" t="s">
        <v>7839</v>
      </c>
      <c r="S617" s="124">
        <v>35693</v>
      </c>
      <c r="T617" s="144">
        <v>102063306143</v>
      </c>
      <c r="U617" s="126" t="s">
        <v>7840</v>
      </c>
      <c r="V617" s="151">
        <v>3715547058</v>
      </c>
      <c r="W617" s="145" t="s">
        <v>7841</v>
      </c>
      <c r="X617" s="145" t="s">
        <v>7842</v>
      </c>
      <c r="Y617" s="149" t="s">
        <v>65</v>
      </c>
      <c r="Z617" s="145" t="s">
        <v>91</v>
      </c>
      <c r="AA617" s="149" t="s">
        <v>7723</v>
      </c>
      <c r="AB617" s="149" t="s">
        <v>7843</v>
      </c>
      <c r="AC617" s="189" t="s">
        <v>7836</v>
      </c>
      <c r="AD617" s="145"/>
      <c r="AE617" s="145"/>
      <c r="AF617" s="145"/>
      <c r="AG617" s="145"/>
      <c r="AH617" s="145"/>
      <c r="AI617" s="145"/>
      <c r="AJ617" s="129"/>
      <c r="AK617" s="208" t="s">
        <v>7844</v>
      </c>
      <c r="AL617" s="209"/>
      <c r="AM617" s="209"/>
    </row>
    <row r="618" spans="1:39">
      <c r="A618" s="137">
        <f>SUBTOTAL(3,$B$3:B618)</f>
        <v>616</v>
      </c>
      <c r="B618" s="203" t="s">
        <v>7845</v>
      </c>
      <c r="C618" s="163" t="s">
        <v>3727</v>
      </c>
      <c r="D618" s="163" t="s">
        <v>3727</v>
      </c>
      <c r="E618" s="163" t="s">
        <v>3727</v>
      </c>
      <c r="F618" s="163" t="s">
        <v>3727</v>
      </c>
      <c r="G618" s="163" t="s">
        <v>3727</v>
      </c>
      <c r="H618" s="163" t="s">
        <v>3727</v>
      </c>
      <c r="I618" s="163" t="s">
        <v>3727</v>
      </c>
      <c r="J618" s="163" t="s">
        <v>3727</v>
      </c>
      <c r="K618" s="163" t="s">
        <v>3727</v>
      </c>
      <c r="L618" s="163" t="s">
        <v>3727</v>
      </c>
      <c r="M618" s="163" t="s">
        <v>3727</v>
      </c>
      <c r="N618" s="163" t="s">
        <v>3727</v>
      </c>
      <c r="O618" s="163" t="s">
        <v>3727</v>
      </c>
      <c r="P618" s="163" t="s">
        <v>3727</v>
      </c>
      <c r="Q618" s="163" t="s">
        <v>3727</v>
      </c>
      <c r="R618" s="163" t="s">
        <v>3727</v>
      </c>
      <c r="S618" s="163" t="s">
        <v>3727</v>
      </c>
      <c r="T618" s="163" t="s">
        <v>3727</v>
      </c>
      <c r="U618" s="163" t="s">
        <v>3727</v>
      </c>
      <c r="V618" s="163" t="s">
        <v>3727</v>
      </c>
      <c r="W618" s="163" t="s">
        <v>3727</v>
      </c>
      <c r="X618" s="163" t="s">
        <v>3727</v>
      </c>
      <c r="Y618" s="163" t="s">
        <v>3727</v>
      </c>
      <c r="Z618" s="163" t="s">
        <v>3727</v>
      </c>
      <c r="AA618" s="163" t="s">
        <v>3727</v>
      </c>
      <c r="AB618" s="163" t="s">
        <v>3727</v>
      </c>
      <c r="AC618" s="163" t="s">
        <v>3727</v>
      </c>
      <c r="AD618" s="163" t="s">
        <v>3727</v>
      </c>
      <c r="AE618" s="163" t="s">
        <v>3727</v>
      </c>
      <c r="AF618" s="163" t="s">
        <v>3727</v>
      </c>
      <c r="AG618" s="163" t="s">
        <v>3727</v>
      </c>
      <c r="AH618" s="163" t="s">
        <v>3727</v>
      </c>
      <c r="AI618" s="163" t="s">
        <v>3727</v>
      </c>
      <c r="AJ618" s="163" t="s">
        <v>3727</v>
      </c>
      <c r="AK618" s="163" t="s">
        <v>3727</v>
      </c>
      <c r="AL618" s="163" t="s">
        <v>3727</v>
      </c>
      <c r="AM618" s="163" t="s">
        <v>3727</v>
      </c>
    </row>
    <row r="619" spans="1:39" ht="28.5">
      <c r="A619" s="137">
        <f>SUBTOTAL(3,$B$3:B619)</f>
        <v>617</v>
      </c>
      <c r="B619" s="203" t="s">
        <v>7846</v>
      </c>
      <c r="C619" s="163" t="s">
        <v>7847</v>
      </c>
      <c r="D619" s="163" t="s">
        <v>7847</v>
      </c>
      <c r="E619" s="129" t="s">
        <v>1428</v>
      </c>
      <c r="F619" s="129" t="s">
        <v>368</v>
      </c>
      <c r="G619" s="129" t="s">
        <v>2389</v>
      </c>
      <c r="H619" s="129" t="s">
        <v>593</v>
      </c>
      <c r="I619" s="129" t="s">
        <v>40</v>
      </c>
      <c r="J619" s="188">
        <v>37841</v>
      </c>
      <c r="K619" s="129" t="s">
        <v>41</v>
      </c>
      <c r="L619" s="129" t="s">
        <v>42</v>
      </c>
      <c r="M619" s="163" t="s">
        <v>4016</v>
      </c>
      <c r="N619" s="188">
        <v>45476</v>
      </c>
      <c r="O619" s="163" t="s">
        <v>44</v>
      </c>
      <c r="P619" s="129" t="s">
        <v>2347</v>
      </c>
      <c r="Q619" s="129" t="s">
        <v>3676</v>
      </c>
      <c r="R619" s="163" t="s">
        <v>7848</v>
      </c>
      <c r="S619" s="124">
        <v>35683</v>
      </c>
      <c r="T619" s="144">
        <v>102068654730</v>
      </c>
      <c r="U619" s="126" t="s">
        <v>7849</v>
      </c>
      <c r="V619" s="151">
        <v>3715547071</v>
      </c>
      <c r="W619" s="145" t="s">
        <v>7850</v>
      </c>
      <c r="X619" s="145" t="s">
        <v>7851</v>
      </c>
      <c r="Y619" s="149" t="s">
        <v>146</v>
      </c>
      <c r="Z619" s="145" t="s">
        <v>447</v>
      </c>
      <c r="AA619" s="149" t="s">
        <v>7852</v>
      </c>
      <c r="AB619" s="149" t="s">
        <v>7853</v>
      </c>
      <c r="AC619" s="189" t="s">
        <v>7846</v>
      </c>
      <c r="AD619" s="145"/>
      <c r="AE619" s="145"/>
      <c r="AF619" s="145"/>
      <c r="AG619" s="145"/>
      <c r="AH619" s="145"/>
      <c r="AI619" s="145"/>
      <c r="AJ619" s="129"/>
      <c r="AK619" s="208" t="s">
        <v>7854</v>
      </c>
      <c r="AL619" s="209"/>
      <c r="AM619" s="209"/>
    </row>
    <row r="620" spans="1:39" ht="28.5">
      <c r="A620" s="137">
        <f>SUBTOTAL(3,$B$3:B620)</f>
        <v>618</v>
      </c>
      <c r="B620" s="203" t="s">
        <v>7855</v>
      </c>
      <c r="C620" s="163" t="s">
        <v>7856</v>
      </c>
      <c r="D620" s="163" t="s">
        <v>7857</v>
      </c>
      <c r="E620" s="129" t="s">
        <v>7858</v>
      </c>
      <c r="F620" s="129" t="s">
        <v>3564</v>
      </c>
      <c r="G620" s="129" t="s">
        <v>2345</v>
      </c>
      <c r="H620" s="129" t="s">
        <v>1899</v>
      </c>
      <c r="I620" s="129" t="s">
        <v>40</v>
      </c>
      <c r="J620" s="188">
        <v>36611</v>
      </c>
      <c r="K620" s="129" t="s">
        <v>41</v>
      </c>
      <c r="L620" s="129" t="s">
        <v>42</v>
      </c>
      <c r="M620" s="163" t="s">
        <v>4016</v>
      </c>
      <c r="N620" s="188">
        <v>45476</v>
      </c>
      <c r="O620" s="163" t="s">
        <v>44</v>
      </c>
      <c r="P620" s="129" t="s">
        <v>2347</v>
      </c>
      <c r="Q620" s="129" t="s">
        <v>3676</v>
      </c>
      <c r="R620" s="163" t="s">
        <v>7859</v>
      </c>
      <c r="S620" s="124">
        <v>35682</v>
      </c>
      <c r="T620" s="144">
        <v>101643865533</v>
      </c>
      <c r="U620" s="126" t="s">
        <v>7860</v>
      </c>
      <c r="V620" s="151">
        <v>3715547109</v>
      </c>
      <c r="W620" s="145" t="s">
        <v>7861</v>
      </c>
      <c r="X620" s="145" t="s">
        <v>7862</v>
      </c>
      <c r="Y620" s="149" t="s">
        <v>65</v>
      </c>
      <c r="Z620" s="145" t="s">
        <v>7863</v>
      </c>
      <c r="AA620" s="149" t="s">
        <v>7864</v>
      </c>
      <c r="AB620" s="149" t="s">
        <v>7864</v>
      </c>
      <c r="AC620" s="189" t="s">
        <v>7855</v>
      </c>
      <c r="AD620" s="145"/>
      <c r="AE620" s="145"/>
      <c r="AF620" s="145"/>
      <c r="AG620" s="145"/>
      <c r="AH620" s="145"/>
      <c r="AI620" s="145"/>
      <c r="AJ620" s="129"/>
      <c r="AK620" s="208"/>
      <c r="AL620" s="209"/>
      <c r="AM620" s="209"/>
    </row>
    <row r="621" spans="1:39" ht="28.5">
      <c r="A621" s="137">
        <f>SUBTOTAL(3,$B$3:B621)</f>
        <v>619</v>
      </c>
      <c r="B621" s="203" t="s">
        <v>7865</v>
      </c>
      <c r="C621" s="163" t="s">
        <v>7866</v>
      </c>
      <c r="D621" s="163" t="s">
        <v>7866</v>
      </c>
      <c r="E621" s="129" t="s">
        <v>3645</v>
      </c>
      <c r="F621" s="129" t="s">
        <v>7867</v>
      </c>
      <c r="G621" s="129" t="s">
        <v>2389</v>
      </c>
      <c r="H621" s="129" t="s">
        <v>7868</v>
      </c>
      <c r="I621" s="129" t="s">
        <v>40</v>
      </c>
      <c r="J621" s="188">
        <v>37586</v>
      </c>
      <c r="K621" s="129" t="s">
        <v>41</v>
      </c>
      <c r="L621" s="129" t="s">
        <v>42</v>
      </c>
      <c r="M621" s="163" t="s">
        <v>4016</v>
      </c>
      <c r="N621" s="188">
        <v>45477</v>
      </c>
      <c r="O621" s="163" t="s">
        <v>44</v>
      </c>
      <c r="P621" s="129" t="s">
        <v>2347</v>
      </c>
      <c r="Q621" s="129" t="s">
        <v>3676</v>
      </c>
      <c r="R621" s="163" t="s">
        <v>7869</v>
      </c>
      <c r="S621" s="124">
        <v>35696</v>
      </c>
      <c r="T621" s="144">
        <v>102097163388</v>
      </c>
      <c r="U621" s="126" t="s">
        <v>7870</v>
      </c>
      <c r="V621" s="151">
        <v>3715547123</v>
      </c>
      <c r="W621" s="145" t="s">
        <v>7871</v>
      </c>
      <c r="X621" s="145" t="s">
        <v>7872</v>
      </c>
      <c r="Y621" s="149" t="s">
        <v>65</v>
      </c>
      <c r="Z621" s="145" t="s">
        <v>2954</v>
      </c>
      <c r="AA621" s="149" t="s">
        <v>7873</v>
      </c>
      <c r="AB621" s="149" t="s">
        <v>7874</v>
      </c>
      <c r="AC621" s="189" t="s">
        <v>7865</v>
      </c>
      <c r="AD621" s="145"/>
      <c r="AE621" s="145"/>
      <c r="AF621" s="145"/>
      <c r="AG621" s="145"/>
      <c r="AH621" s="145"/>
      <c r="AI621" s="145"/>
      <c r="AJ621" s="129"/>
      <c r="AK621" s="208" t="s">
        <v>7875</v>
      </c>
      <c r="AL621" s="209"/>
      <c r="AM621" s="209"/>
    </row>
    <row r="622" spans="1:39" ht="28.5">
      <c r="A622" s="137">
        <f>SUBTOTAL(3,$B$3:B622)</f>
        <v>620</v>
      </c>
      <c r="B622" s="203" t="s">
        <v>7876</v>
      </c>
      <c r="C622" s="163" t="s">
        <v>7877</v>
      </c>
      <c r="D622" s="163" t="s">
        <v>7877</v>
      </c>
      <c r="E622" s="129" t="s">
        <v>2043</v>
      </c>
      <c r="F622" s="129" t="s">
        <v>4684</v>
      </c>
      <c r="G622" s="129" t="s">
        <v>2389</v>
      </c>
      <c r="H622" s="129" t="s">
        <v>7878</v>
      </c>
      <c r="I622" s="129" t="s">
        <v>40</v>
      </c>
      <c r="J622" s="188">
        <v>37202</v>
      </c>
      <c r="K622" s="129" t="s">
        <v>41</v>
      </c>
      <c r="L622" s="129" t="s">
        <v>42</v>
      </c>
      <c r="M622" s="163" t="s">
        <v>4016</v>
      </c>
      <c r="N622" s="188">
        <v>45477</v>
      </c>
      <c r="O622" s="163" t="s">
        <v>44</v>
      </c>
      <c r="P622" s="129" t="s">
        <v>2347</v>
      </c>
      <c r="Q622" s="129" t="s">
        <v>3676</v>
      </c>
      <c r="R622" s="163" t="s">
        <v>7879</v>
      </c>
      <c r="S622" s="124">
        <v>35697</v>
      </c>
      <c r="T622" s="144">
        <v>102056362449</v>
      </c>
      <c r="U622" s="126" t="s">
        <v>7880</v>
      </c>
      <c r="V622" s="151">
        <v>3715547136</v>
      </c>
      <c r="W622" s="145" t="s">
        <v>7881</v>
      </c>
      <c r="X622" s="145" t="s">
        <v>7882</v>
      </c>
      <c r="Y622" s="149" t="s">
        <v>65</v>
      </c>
      <c r="Z622" s="145" t="s">
        <v>7883</v>
      </c>
      <c r="AA622" s="149" t="s">
        <v>7873</v>
      </c>
      <c r="AB622" s="149" t="s">
        <v>7884</v>
      </c>
      <c r="AC622" s="189" t="s">
        <v>7876</v>
      </c>
      <c r="AD622" s="145"/>
      <c r="AE622" s="145"/>
      <c r="AF622" s="145"/>
      <c r="AG622" s="145"/>
      <c r="AH622" s="145"/>
      <c r="AI622" s="145"/>
      <c r="AJ622" s="129"/>
      <c r="AK622" s="208" t="s">
        <v>7885</v>
      </c>
      <c r="AL622" s="209"/>
      <c r="AM622" s="209"/>
    </row>
    <row r="623" spans="1:39" ht="42.75">
      <c r="A623" s="137">
        <f>SUBTOTAL(3,$B$3:B623)</f>
        <v>621</v>
      </c>
      <c r="B623" s="203" t="s">
        <v>7886</v>
      </c>
      <c r="C623" s="163" t="s">
        <v>7887</v>
      </c>
      <c r="D623" s="163" t="s">
        <v>7888</v>
      </c>
      <c r="E623" s="129" t="s">
        <v>161</v>
      </c>
      <c r="F623" s="129" t="s">
        <v>7889</v>
      </c>
      <c r="G623" s="129" t="s">
        <v>2345</v>
      </c>
      <c r="H623" s="129" t="s">
        <v>7890</v>
      </c>
      <c r="I623" s="129" t="s">
        <v>40</v>
      </c>
      <c r="J623" s="188">
        <v>37316</v>
      </c>
      <c r="K623" s="129" t="s">
        <v>41</v>
      </c>
      <c r="L623" s="129" t="s">
        <v>42</v>
      </c>
      <c r="M623" s="163" t="s">
        <v>4016</v>
      </c>
      <c r="N623" s="188">
        <v>45477</v>
      </c>
      <c r="O623" s="163" t="s">
        <v>44</v>
      </c>
      <c r="P623" s="129" t="s">
        <v>2347</v>
      </c>
      <c r="Q623" s="129" t="s">
        <v>3676</v>
      </c>
      <c r="R623" s="163">
        <v>9723001931</v>
      </c>
      <c r="S623" s="124">
        <v>35684</v>
      </c>
      <c r="T623" s="144">
        <v>102097163326</v>
      </c>
      <c r="U623" s="126" t="s">
        <v>7891</v>
      </c>
      <c r="V623" s="151">
        <v>3715547153</v>
      </c>
      <c r="W623" s="145" t="s">
        <v>7892</v>
      </c>
      <c r="X623" s="145" t="s">
        <v>7893</v>
      </c>
      <c r="Y623" s="149" t="s">
        <v>65</v>
      </c>
      <c r="Z623" s="145" t="s">
        <v>7894</v>
      </c>
      <c r="AA623" s="149" t="s">
        <v>7895</v>
      </c>
      <c r="AB623" s="149" t="s">
        <v>7896</v>
      </c>
      <c r="AC623" s="189" t="s">
        <v>7886</v>
      </c>
      <c r="AD623" s="145"/>
      <c r="AE623" s="145"/>
      <c r="AF623" s="145"/>
      <c r="AG623" s="145"/>
      <c r="AH623" s="145"/>
      <c r="AI623" s="145"/>
      <c r="AJ623" s="129"/>
      <c r="AK623" s="208" t="s">
        <v>7897</v>
      </c>
      <c r="AL623" s="209"/>
      <c r="AM623" s="209"/>
    </row>
    <row r="624" spans="1:39" ht="28.5">
      <c r="A624" s="137">
        <f>SUBTOTAL(3,$B$3:B624)</f>
        <v>622</v>
      </c>
      <c r="B624" s="203" t="s">
        <v>7898</v>
      </c>
      <c r="C624" s="163" t="s">
        <v>7899</v>
      </c>
      <c r="D624" s="163" t="s">
        <v>7900</v>
      </c>
      <c r="E624" s="129" t="s">
        <v>1428</v>
      </c>
      <c r="F624" s="129" t="s">
        <v>3999</v>
      </c>
      <c r="G624" s="129" t="s">
        <v>2389</v>
      </c>
      <c r="H624" s="129" t="s">
        <v>7901</v>
      </c>
      <c r="I624" s="129" t="s">
        <v>40</v>
      </c>
      <c r="J624" s="188">
        <v>37531</v>
      </c>
      <c r="K624" s="129" t="s">
        <v>41</v>
      </c>
      <c r="L624" s="129" t="s">
        <v>42</v>
      </c>
      <c r="M624" s="163" t="s">
        <v>4016</v>
      </c>
      <c r="N624" s="188">
        <v>45477</v>
      </c>
      <c r="O624" s="163" t="s">
        <v>44</v>
      </c>
      <c r="P624" s="129" t="s">
        <v>2347</v>
      </c>
      <c r="Q624" s="129" t="s">
        <v>3676</v>
      </c>
      <c r="R624" s="163">
        <v>9586709030</v>
      </c>
      <c r="S624" s="124">
        <v>35685</v>
      </c>
      <c r="T624" s="144">
        <v>102080064615</v>
      </c>
      <c r="U624" s="126" t="s">
        <v>7902</v>
      </c>
      <c r="V624" s="151">
        <v>3715547163</v>
      </c>
      <c r="W624" s="145" t="s">
        <v>7903</v>
      </c>
      <c r="X624" s="145" t="s">
        <v>7904</v>
      </c>
      <c r="Y624" s="149" t="s">
        <v>132</v>
      </c>
      <c r="Z624" s="145" t="s">
        <v>7905</v>
      </c>
      <c r="AA624" s="149" t="s">
        <v>7906</v>
      </c>
      <c r="AB624" s="149" t="s">
        <v>7907</v>
      </c>
      <c r="AC624" s="189" t="s">
        <v>7898</v>
      </c>
      <c r="AD624" s="145"/>
      <c r="AE624" s="145"/>
      <c r="AF624" s="145"/>
      <c r="AG624" s="145"/>
      <c r="AH624" s="145"/>
      <c r="AI624" s="145"/>
      <c r="AJ624" s="129"/>
      <c r="AK624" s="208" t="s">
        <v>7908</v>
      </c>
      <c r="AL624" s="209"/>
      <c r="AM624" s="209"/>
    </row>
    <row r="625" spans="1:39" ht="42.75">
      <c r="A625" s="137">
        <f>SUBTOTAL(3,$B$3:B625)</f>
        <v>623</v>
      </c>
      <c r="B625" s="203" t="s">
        <v>7909</v>
      </c>
      <c r="C625" s="163" t="s">
        <v>7910</v>
      </c>
      <c r="D625" s="163" t="s">
        <v>7910</v>
      </c>
      <c r="E625" s="129" t="s">
        <v>7911</v>
      </c>
      <c r="F625" s="129" t="s">
        <v>1078</v>
      </c>
      <c r="G625" s="129" t="s">
        <v>2345</v>
      </c>
      <c r="H625" s="129" t="s">
        <v>7912</v>
      </c>
      <c r="I625" s="129" t="s">
        <v>40</v>
      </c>
      <c r="J625" s="188">
        <v>37148</v>
      </c>
      <c r="K625" s="129" t="s">
        <v>41</v>
      </c>
      <c r="L625" s="129" t="s">
        <v>42</v>
      </c>
      <c r="M625" s="163" t="s">
        <v>6752</v>
      </c>
      <c r="N625" s="188">
        <v>45477</v>
      </c>
      <c r="O625" s="163" t="s">
        <v>44</v>
      </c>
      <c r="P625" s="129" t="s">
        <v>2347</v>
      </c>
      <c r="Q625" s="129" t="s">
        <v>3676</v>
      </c>
      <c r="R625" s="163" t="s">
        <v>7913</v>
      </c>
      <c r="S625" s="124">
        <v>35698</v>
      </c>
      <c r="T625" s="144">
        <v>102097163390</v>
      </c>
      <c r="U625" s="126" t="s">
        <v>7914</v>
      </c>
      <c r="V625" s="151">
        <v>3715547175</v>
      </c>
      <c r="W625" s="145" t="s">
        <v>7915</v>
      </c>
      <c r="X625" s="145" t="s">
        <v>7916</v>
      </c>
      <c r="Y625" s="149" t="s">
        <v>132</v>
      </c>
      <c r="Z625" s="145" t="s">
        <v>856</v>
      </c>
      <c r="AA625" s="149" t="s">
        <v>7917</v>
      </c>
      <c r="AB625" s="149" t="s">
        <v>7917</v>
      </c>
      <c r="AC625" s="189" t="s">
        <v>7909</v>
      </c>
      <c r="AD625" s="145"/>
      <c r="AE625" s="145"/>
      <c r="AF625" s="145"/>
      <c r="AG625" s="145"/>
      <c r="AH625" s="145"/>
      <c r="AI625" s="145"/>
      <c r="AJ625" s="129"/>
      <c r="AK625" s="208" t="s">
        <v>7918</v>
      </c>
      <c r="AL625" s="209"/>
      <c r="AM625" s="209"/>
    </row>
    <row r="626" spans="1:39" ht="28.5">
      <c r="A626" s="137">
        <f>SUBTOTAL(3,$B$3:B626)</f>
        <v>624</v>
      </c>
      <c r="B626" s="203" t="s">
        <v>7919</v>
      </c>
      <c r="C626" s="163" t="s">
        <v>7920</v>
      </c>
      <c r="D626" s="163" t="s">
        <v>7921</v>
      </c>
      <c r="E626" s="129" t="s">
        <v>7858</v>
      </c>
      <c r="F626" s="129" t="s">
        <v>870</v>
      </c>
      <c r="G626" s="129" t="s">
        <v>2345</v>
      </c>
      <c r="H626" s="129" t="s">
        <v>724</v>
      </c>
      <c r="I626" s="129" t="s">
        <v>40</v>
      </c>
      <c r="J626" s="188">
        <v>37386</v>
      </c>
      <c r="K626" s="129" t="s">
        <v>41</v>
      </c>
      <c r="L626" s="129" t="s">
        <v>42</v>
      </c>
      <c r="M626" s="163" t="s">
        <v>6752</v>
      </c>
      <c r="N626" s="188">
        <v>45478</v>
      </c>
      <c r="O626" s="163" t="s">
        <v>44</v>
      </c>
      <c r="P626" s="129" t="s">
        <v>2347</v>
      </c>
      <c r="Q626" s="129" t="s">
        <v>3676</v>
      </c>
      <c r="R626" s="163">
        <v>9328178359</v>
      </c>
      <c r="S626" s="124">
        <v>35680</v>
      </c>
      <c r="T626" s="144">
        <v>102097163303</v>
      </c>
      <c r="U626" s="126" t="s">
        <v>7922</v>
      </c>
      <c r="V626" s="151">
        <v>3715547185</v>
      </c>
      <c r="W626" s="145" t="s">
        <v>7923</v>
      </c>
      <c r="X626" s="145" t="s">
        <v>7924</v>
      </c>
      <c r="Y626" s="149" t="s">
        <v>132</v>
      </c>
      <c r="Z626" s="145" t="s">
        <v>1317</v>
      </c>
      <c r="AA626" s="149" t="s">
        <v>7925</v>
      </c>
      <c r="AB626" s="149" t="s">
        <v>7925</v>
      </c>
      <c r="AC626" s="189" t="s">
        <v>7919</v>
      </c>
      <c r="AD626" s="145"/>
      <c r="AE626" s="145"/>
      <c r="AF626" s="145"/>
      <c r="AG626" s="145"/>
      <c r="AH626" s="145"/>
      <c r="AI626" s="145"/>
      <c r="AJ626" s="129"/>
      <c r="AK626" s="208" t="s">
        <v>7926</v>
      </c>
      <c r="AL626" s="209"/>
      <c r="AM626" s="209"/>
    </row>
    <row r="627" spans="1:39" ht="42.75">
      <c r="A627" s="137">
        <f>SUBTOTAL(3,$B$3:B627)</f>
        <v>625</v>
      </c>
      <c r="B627" s="203" t="s">
        <v>7935</v>
      </c>
      <c r="C627" s="163" t="s">
        <v>7927</v>
      </c>
      <c r="D627" s="163" t="s">
        <v>7927</v>
      </c>
      <c r="E627" s="129" t="s">
        <v>6305</v>
      </c>
      <c r="F627" s="129" t="s">
        <v>5997</v>
      </c>
      <c r="G627" s="129" t="s">
        <v>2345</v>
      </c>
      <c r="H627" s="129" t="s">
        <v>138</v>
      </c>
      <c r="I627" s="129" t="s">
        <v>40</v>
      </c>
      <c r="J627" s="188">
        <v>37368</v>
      </c>
      <c r="K627" s="129" t="s">
        <v>41</v>
      </c>
      <c r="L627" s="129" t="s">
        <v>42</v>
      </c>
      <c r="M627" s="163" t="s">
        <v>7928</v>
      </c>
      <c r="N627" s="188">
        <v>45481</v>
      </c>
      <c r="O627" s="163" t="s">
        <v>7395</v>
      </c>
      <c r="P627" s="129" t="s">
        <v>2347</v>
      </c>
      <c r="Q627" s="129" t="s">
        <v>3676</v>
      </c>
      <c r="R627" s="163" t="s">
        <v>7929</v>
      </c>
      <c r="S627" s="124">
        <v>35688</v>
      </c>
      <c r="T627" s="144">
        <v>102097163342</v>
      </c>
      <c r="U627" s="126" t="s">
        <v>7930</v>
      </c>
      <c r="V627" s="151">
        <v>3715547203</v>
      </c>
      <c r="W627" s="145" t="s">
        <v>7931</v>
      </c>
      <c r="X627" s="145" t="s">
        <v>7932</v>
      </c>
      <c r="Y627" s="149" t="s">
        <v>1289</v>
      </c>
      <c r="Z627" s="145" t="s">
        <v>7933</v>
      </c>
      <c r="AA627" s="149" t="s">
        <v>7934</v>
      </c>
      <c r="AB627" s="149" t="s">
        <v>7934</v>
      </c>
      <c r="AC627" s="189" t="s">
        <v>7935</v>
      </c>
      <c r="AD627" s="145"/>
      <c r="AE627" s="145"/>
      <c r="AF627" s="145"/>
      <c r="AG627" s="145"/>
      <c r="AH627" s="145"/>
      <c r="AI627" s="145"/>
      <c r="AJ627" s="129"/>
      <c r="AK627" s="208" t="s">
        <v>7936</v>
      </c>
      <c r="AL627" s="209"/>
      <c r="AM627" s="209"/>
    </row>
    <row r="628" spans="1:39" ht="42.75">
      <c r="A628" s="137">
        <f>SUBTOTAL(3,$B$3:B628)</f>
        <v>626</v>
      </c>
      <c r="B628" s="203" t="s">
        <v>7937</v>
      </c>
      <c r="C628" s="163" t="s">
        <v>7938</v>
      </c>
      <c r="D628" s="163" t="s">
        <v>7939</v>
      </c>
      <c r="E628" s="129" t="s">
        <v>948</v>
      </c>
      <c r="F628" s="129" t="s">
        <v>7940</v>
      </c>
      <c r="G628" s="129" t="s">
        <v>2345</v>
      </c>
      <c r="H628" s="129" t="s">
        <v>441</v>
      </c>
      <c r="I628" s="129" t="s">
        <v>40</v>
      </c>
      <c r="J628" s="188">
        <v>37234</v>
      </c>
      <c r="K628" s="129" t="s">
        <v>41</v>
      </c>
      <c r="L628" s="129" t="s">
        <v>42</v>
      </c>
      <c r="M628" s="163" t="s">
        <v>3066</v>
      </c>
      <c r="N628" s="188">
        <v>45481</v>
      </c>
      <c r="O628" s="163" t="s">
        <v>7201</v>
      </c>
      <c r="P628" s="129" t="s">
        <v>2347</v>
      </c>
      <c r="Q628" s="129" t="s">
        <v>3676</v>
      </c>
      <c r="R628" s="163" t="s">
        <v>7941</v>
      </c>
      <c r="S628" s="124">
        <v>35692</v>
      </c>
      <c r="T628" s="144">
        <v>101689636108</v>
      </c>
      <c r="U628" s="126" t="s">
        <v>7942</v>
      </c>
      <c r="V628" s="151">
        <v>3715547213</v>
      </c>
      <c r="W628" s="145" t="s">
        <v>7943</v>
      </c>
      <c r="X628" s="145" t="s">
        <v>7944</v>
      </c>
      <c r="Y628" s="149" t="s">
        <v>146</v>
      </c>
      <c r="Z628" s="145" t="s">
        <v>7945</v>
      </c>
      <c r="AA628" s="149" t="s">
        <v>7946</v>
      </c>
      <c r="AB628" s="149" t="s">
        <v>7946</v>
      </c>
      <c r="AC628" s="189" t="s">
        <v>7937</v>
      </c>
      <c r="AD628" s="145"/>
      <c r="AE628" s="145"/>
      <c r="AF628" s="145"/>
      <c r="AG628" s="145"/>
      <c r="AH628" s="145"/>
      <c r="AI628" s="145"/>
      <c r="AJ628" s="129"/>
      <c r="AK628" s="208" t="s">
        <v>7947</v>
      </c>
      <c r="AL628" s="209"/>
      <c r="AM628" s="209"/>
    </row>
    <row r="629" spans="1:39" ht="28.5">
      <c r="A629" s="137">
        <f>SUBTOTAL(3,$B$3:B629)</f>
        <v>627</v>
      </c>
      <c r="B629" s="203" t="s">
        <v>7948</v>
      </c>
      <c r="C629" s="163" t="s">
        <v>7953</v>
      </c>
      <c r="D629" s="163" t="s">
        <v>7974</v>
      </c>
      <c r="E629" s="129" t="s">
        <v>1980</v>
      </c>
      <c r="F629" s="129" t="s">
        <v>7975</v>
      </c>
      <c r="G629" s="129" t="s">
        <v>2345</v>
      </c>
      <c r="H629" s="129" t="s">
        <v>7976</v>
      </c>
      <c r="I629" s="129" t="s">
        <v>40</v>
      </c>
      <c r="J629" s="188">
        <v>37320</v>
      </c>
      <c r="K629" s="129" t="s">
        <v>41</v>
      </c>
      <c r="L629" s="129" t="s">
        <v>42</v>
      </c>
      <c r="M629" s="163" t="s">
        <v>4016</v>
      </c>
      <c r="N629" s="188">
        <v>45485</v>
      </c>
      <c r="O629" s="163" t="s">
        <v>44</v>
      </c>
      <c r="P629" s="129" t="s">
        <v>2347</v>
      </c>
      <c r="Q629" s="129" t="s">
        <v>3676</v>
      </c>
      <c r="R629" s="163" t="s">
        <v>7977</v>
      </c>
      <c r="S629" s="124">
        <v>35690</v>
      </c>
      <c r="T629" s="144">
        <v>101995800064</v>
      </c>
      <c r="U629" s="126" t="s">
        <v>7193</v>
      </c>
      <c r="V629" s="151">
        <v>3715561192</v>
      </c>
      <c r="W629" s="145" t="s">
        <v>7978</v>
      </c>
      <c r="X629" s="145" t="s">
        <v>7979</v>
      </c>
      <c r="Y629" s="149" t="s">
        <v>1852</v>
      </c>
      <c r="Z629" s="145" t="s">
        <v>7980</v>
      </c>
      <c r="AA629" s="149" t="s">
        <v>7981</v>
      </c>
      <c r="AB629" s="149" t="s">
        <v>7981</v>
      </c>
      <c r="AC629" s="189" t="s">
        <v>7948</v>
      </c>
      <c r="AD629" s="145"/>
      <c r="AE629" s="145"/>
      <c r="AF629" s="145"/>
      <c r="AG629" s="145"/>
      <c r="AH629" s="145"/>
      <c r="AI629" s="145"/>
      <c r="AJ629" s="129"/>
      <c r="AK629" s="208" t="s">
        <v>7982</v>
      </c>
      <c r="AL629" s="209"/>
      <c r="AM629" s="209"/>
    </row>
    <row r="630" spans="1:39" ht="28.5">
      <c r="A630" s="137">
        <f>SUBTOTAL(3,$B$3:B630)</f>
        <v>628</v>
      </c>
      <c r="B630" s="203" t="s">
        <v>7949</v>
      </c>
      <c r="C630" s="163" t="s">
        <v>7983</v>
      </c>
      <c r="D630" s="163" t="s">
        <v>7983</v>
      </c>
      <c r="E630" s="129" t="s">
        <v>7984</v>
      </c>
      <c r="F630" s="129" t="s">
        <v>7985</v>
      </c>
      <c r="G630" s="129" t="s">
        <v>2389</v>
      </c>
      <c r="H630" s="129" t="s">
        <v>7986</v>
      </c>
      <c r="I630" s="129" t="s">
        <v>40</v>
      </c>
      <c r="J630" s="188">
        <v>36739</v>
      </c>
      <c r="K630" s="129" t="s">
        <v>41</v>
      </c>
      <c r="L630" s="129" t="s">
        <v>42</v>
      </c>
      <c r="M630" s="163" t="s">
        <v>4016</v>
      </c>
      <c r="N630" s="188">
        <v>45485</v>
      </c>
      <c r="O630" s="163" t="s">
        <v>44</v>
      </c>
      <c r="P630" s="129" t="s">
        <v>2347</v>
      </c>
      <c r="Q630" s="129" t="s">
        <v>3676</v>
      </c>
      <c r="R630" s="163" t="s">
        <v>7987</v>
      </c>
      <c r="S630" s="124">
        <v>35686</v>
      </c>
      <c r="T630" s="144">
        <v>102002806758</v>
      </c>
      <c r="U630" s="126" t="s">
        <v>7988</v>
      </c>
      <c r="V630" s="151">
        <v>3715561194</v>
      </c>
      <c r="W630" s="145" t="s">
        <v>7989</v>
      </c>
      <c r="X630" s="145" t="s">
        <v>7991</v>
      </c>
      <c r="Y630" s="149" t="s">
        <v>1977</v>
      </c>
      <c r="Z630" s="145" t="s">
        <v>7990</v>
      </c>
      <c r="AA630" s="149" t="s">
        <v>7992</v>
      </c>
      <c r="AB630" s="149" t="s">
        <v>7992</v>
      </c>
      <c r="AC630" s="189" t="s">
        <v>7949</v>
      </c>
      <c r="AD630" s="145"/>
      <c r="AE630" s="145"/>
      <c r="AF630" s="145"/>
      <c r="AG630" s="145"/>
      <c r="AH630" s="145"/>
      <c r="AI630" s="145"/>
      <c r="AJ630" s="129"/>
      <c r="AK630" s="208" t="s">
        <v>7993</v>
      </c>
      <c r="AL630" s="209"/>
      <c r="AM630" s="209"/>
    </row>
    <row r="631" spans="1:39" ht="28.5">
      <c r="A631" s="137">
        <f>SUBTOTAL(3,$B$3:B631)</f>
        <v>629</v>
      </c>
      <c r="B631" s="203" t="s">
        <v>7950</v>
      </c>
      <c r="C631" s="163" t="s">
        <v>7994</v>
      </c>
      <c r="D631" s="163" t="s">
        <v>7995</v>
      </c>
      <c r="E631" s="129" t="s">
        <v>276</v>
      </c>
      <c r="F631" s="129" t="s">
        <v>7996</v>
      </c>
      <c r="G631" s="129" t="s">
        <v>2345</v>
      </c>
      <c r="H631" s="129" t="s">
        <v>2120</v>
      </c>
      <c r="I631" s="129" t="s">
        <v>40</v>
      </c>
      <c r="J631" s="188">
        <v>36312</v>
      </c>
      <c r="K631" s="129" t="s">
        <v>280</v>
      </c>
      <c r="L631" s="129" t="s">
        <v>42</v>
      </c>
      <c r="M631" s="163" t="s">
        <v>4016</v>
      </c>
      <c r="N631" s="188">
        <v>45488</v>
      </c>
      <c r="O631" s="163" t="s">
        <v>44</v>
      </c>
      <c r="P631" s="129" t="s">
        <v>2347</v>
      </c>
      <c r="Q631" s="129" t="s">
        <v>3676</v>
      </c>
      <c r="R631" s="163" t="s">
        <v>7997</v>
      </c>
      <c r="S631" s="124">
        <v>35694</v>
      </c>
      <c r="T631" s="144">
        <v>102048437392</v>
      </c>
      <c r="U631" s="126" t="s">
        <v>7193</v>
      </c>
      <c r="V631" s="151">
        <v>3715561196</v>
      </c>
      <c r="W631" s="145" t="s">
        <v>7998</v>
      </c>
      <c r="X631" s="145" t="s">
        <v>7999</v>
      </c>
      <c r="Y631" s="149" t="s">
        <v>65</v>
      </c>
      <c r="Z631" s="145" t="s">
        <v>207</v>
      </c>
      <c r="AA631" s="149" t="s">
        <v>8000</v>
      </c>
      <c r="AB631" s="149" t="s">
        <v>8000</v>
      </c>
      <c r="AC631" s="189" t="s">
        <v>7950</v>
      </c>
      <c r="AD631" s="145"/>
      <c r="AE631" s="145"/>
      <c r="AF631" s="145"/>
      <c r="AG631" s="145"/>
      <c r="AH631" s="145"/>
      <c r="AI631" s="145"/>
      <c r="AJ631" s="129"/>
      <c r="AK631" s="208" t="s">
        <v>8001</v>
      </c>
      <c r="AL631" s="209"/>
      <c r="AM631" s="209"/>
    </row>
    <row r="632" spans="1:39" ht="42.75">
      <c r="A632" s="137">
        <f>SUBTOTAL(3,$B$3:B632)</f>
        <v>630</v>
      </c>
      <c r="B632" s="203" t="s">
        <v>7951</v>
      </c>
      <c r="C632" s="163" t="s">
        <v>7954</v>
      </c>
      <c r="D632" s="163" t="s">
        <v>7954</v>
      </c>
      <c r="E632" s="129" t="s">
        <v>3157</v>
      </c>
      <c r="F632" s="129" t="s">
        <v>7955</v>
      </c>
      <c r="G632" s="129" t="s">
        <v>2389</v>
      </c>
      <c r="H632" s="129" t="s">
        <v>4684</v>
      </c>
      <c r="I632" s="129" t="s">
        <v>40</v>
      </c>
      <c r="J632" s="188">
        <v>36846</v>
      </c>
      <c r="K632" s="129" t="s">
        <v>41</v>
      </c>
      <c r="L632" s="129" t="s">
        <v>42</v>
      </c>
      <c r="M632" s="163" t="s">
        <v>7956</v>
      </c>
      <c r="N632" s="188">
        <v>45489</v>
      </c>
      <c r="O632" s="163" t="s">
        <v>5956</v>
      </c>
      <c r="P632" s="129" t="s">
        <v>2347</v>
      </c>
      <c r="Q632" s="129" t="s">
        <v>3676</v>
      </c>
      <c r="R632" s="163" t="s">
        <v>7957</v>
      </c>
      <c r="S632" s="124">
        <v>35691</v>
      </c>
      <c r="T632" s="144">
        <v>102097163361</v>
      </c>
      <c r="U632" s="126" t="s">
        <v>7958</v>
      </c>
      <c r="V632" s="151">
        <v>3715561198</v>
      </c>
      <c r="W632" s="145" t="s">
        <v>7959</v>
      </c>
      <c r="X632" s="145" t="s">
        <v>7960</v>
      </c>
      <c r="Y632" s="149" t="s">
        <v>51</v>
      </c>
      <c r="Z632" s="145" t="s">
        <v>7961</v>
      </c>
      <c r="AA632" s="149" t="s">
        <v>7962</v>
      </c>
      <c r="AB632" s="149" t="s">
        <v>7962</v>
      </c>
      <c r="AC632" s="189" t="s">
        <v>7951</v>
      </c>
      <c r="AD632" s="145"/>
      <c r="AE632" s="145"/>
      <c r="AF632" s="145"/>
      <c r="AG632" s="145"/>
      <c r="AH632" s="145"/>
      <c r="AI632" s="145"/>
      <c r="AJ632" s="129"/>
      <c r="AK632" s="208" t="s">
        <v>7963</v>
      </c>
      <c r="AL632" s="209"/>
      <c r="AM632" s="209"/>
    </row>
    <row r="633" spans="1:39" ht="42.75">
      <c r="A633" s="137">
        <f>SUBTOTAL(3,$B$3:B633)</f>
        <v>631</v>
      </c>
      <c r="B633" s="203" t="s">
        <v>7952</v>
      </c>
      <c r="C633" s="163" t="s">
        <v>7964</v>
      </c>
      <c r="D633" s="163" t="s">
        <v>7964</v>
      </c>
      <c r="E633" s="129" t="s">
        <v>7965</v>
      </c>
      <c r="F633" s="129" t="s">
        <v>2255</v>
      </c>
      <c r="G633" s="129" t="s">
        <v>2389</v>
      </c>
      <c r="H633" s="129" t="s">
        <v>7966</v>
      </c>
      <c r="I633" s="129" t="s">
        <v>40</v>
      </c>
      <c r="J633" s="188">
        <v>37418</v>
      </c>
      <c r="K633" s="129" t="s">
        <v>280</v>
      </c>
      <c r="L633" s="129" t="s">
        <v>42</v>
      </c>
      <c r="M633" s="163" t="s">
        <v>7956</v>
      </c>
      <c r="N633" s="188">
        <v>45489</v>
      </c>
      <c r="O633" s="163" t="s">
        <v>5956</v>
      </c>
      <c r="P633" s="129" t="s">
        <v>2347</v>
      </c>
      <c r="Q633" s="129" t="s">
        <v>3676</v>
      </c>
      <c r="R633" s="163" t="s">
        <v>7967</v>
      </c>
      <c r="S633" s="124">
        <v>35681</v>
      </c>
      <c r="T633" s="144">
        <v>102097163319</v>
      </c>
      <c r="U633" s="126" t="s">
        <v>7968</v>
      </c>
      <c r="V633" s="151">
        <v>3715561200</v>
      </c>
      <c r="W633" s="145" t="s">
        <v>7969</v>
      </c>
      <c r="X633" s="145" t="s">
        <v>7970</v>
      </c>
      <c r="Y633" s="149" t="s">
        <v>65</v>
      </c>
      <c r="Z633" s="145" t="s">
        <v>7971</v>
      </c>
      <c r="AA633" s="149" t="s">
        <v>7972</v>
      </c>
      <c r="AB633" s="149" t="s">
        <v>7972</v>
      </c>
      <c r="AC633" s="189" t="s">
        <v>7952</v>
      </c>
      <c r="AD633" s="145"/>
      <c r="AE633" s="145"/>
      <c r="AF633" s="145"/>
      <c r="AG633" s="145"/>
      <c r="AH633" s="145"/>
      <c r="AI633" s="145"/>
      <c r="AJ633" s="129"/>
      <c r="AK633" s="208" t="s">
        <v>7973</v>
      </c>
      <c r="AL633" s="209"/>
      <c r="AM633" s="209"/>
    </row>
    <row r="634" spans="1:39" ht="28.5">
      <c r="A634" s="137">
        <f>SUBTOTAL(3,$B$3:B634)</f>
        <v>632</v>
      </c>
      <c r="B634" s="203" t="s">
        <v>8002</v>
      </c>
      <c r="C634" s="163" t="s">
        <v>8003</v>
      </c>
      <c r="D634" s="163" t="s">
        <v>8004</v>
      </c>
      <c r="E634" s="129" t="s">
        <v>754</v>
      </c>
      <c r="F634" s="129" t="s">
        <v>8005</v>
      </c>
      <c r="G634" s="129" t="s">
        <v>2345</v>
      </c>
      <c r="H634" s="129" t="s">
        <v>8006</v>
      </c>
      <c r="I634" s="129" t="s">
        <v>40</v>
      </c>
      <c r="J634" s="188">
        <v>37009</v>
      </c>
      <c r="K634" s="129" t="s">
        <v>41</v>
      </c>
      <c r="L634" s="129" t="s">
        <v>42</v>
      </c>
      <c r="M634" s="163" t="s">
        <v>4222</v>
      </c>
      <c r="N634" s="188">
        <v>45505</v>
      </c>
      <c r="O634" s="163" t="s">
        <v>2981</v>
      </c>
      <c r="P634" s="129" t="s">
        <v>2347</v>
      </c>
      <c r="Q634" s="129" t="s">
        <v>3676</v>
      </c>
      <c r="R634" s="163">
        <v>9570076523</v>
      </c>
      <c r="S634" s="129">
        <v>35731</v>
      </c>
      <c r="T634" s="160">
        <v>102100849128</v>
      </c>
      <c r="U634" s="126" t="s">
        <v>8007</v>
      </c>
      <c r="V634" s="151">
        <v>3715578171</v>
      </c>
      <c r="W634" s="145" t="s">
        <v>8008</v>
      </c>
      <c r="X634" s="145" t="s">
        <v>8009</v>
      </c>
      <c r="Y634" s="149" t="s">
        <v>326</v>
      </c>
      <c r="Z634" s="145" t="s">
        <v>8010</v>
      </c>
      <c r="AA634" s="149" t="s">
        <v>8011</v>
      </c>
      <c r="AB634" s="149" t="s">
        <v>8012</v>
      </c>
      <c r="AC634" s="189" t="s">
        <v>8002</v>
      </c>
      <c r="AD634" s="145"/>
      <c r="AE634" s="145"/>
      <c r="AF634" s="145"/>
      <c r="AG634" s="145"/>
      <c r="AH634" s="145"/>
      <c r="AI634" s="145"/>
      <c r="AJ634" s="129"/>
      <c r="AK634" s="208" t="s">
        <v>8013</v>
      </c>
      <c r="AL634" s="209"/>
      <c r="AM634" s="209"/>
    </row>
    <row r="635" spans="1:39" ht="42.75">
      <c r="A635" s="137">
        <f>SUBTOTAL(3,$B$3:B635)</f>
        <v>633</v>
      </c>
      <c r="B635" s="203" t="s">
        <v>8014</v>
      </c>
      <c r="C635" s="163" t="s">
        <v>8015</v>
      </c>
      <c r="D635" s="163" t="s">
        <v>8015</v>
      </c>
      <c r="E635" s="129" t="s">
        <v>8016</v>
      </c>
      <c r="F635" s="129" t="s">
        <v>8017</v>
      </c>
      <c r="G635" s="129" t="s">
        <v>2389</v>
      </c>
      <c r="H635" s="129" t="s">
        <v>8018</v>
      </c>
      <c r="I635" s="129" t="s">
        <v>40</v>
      </c>
      <c r="J635" s="188">
        <v>35475</v>
      </c>
      <c r="K635" s="129" t="s">
        <v>41</v>
      </c>
      <c r="L635" s="129" t="s">
        <v>42</v>
      </c>
      <c r="M635" s="163" t="s">
        <v>1044</v>
      </c>
      <c r="N635" s="188">
        <v>45505</v>
      </c>
      <c r="O635" s="163" t="s">
        <v>2991</v>
      </c>
      <c r="P635" s="129" t="s">
        <v>2347</v>
      </c>
      <c r="Q635" s="129" t="s">
        <v>3676</v>
      </c>
      <c r="R635" s="163" t="s">
        <v>8019</v>
      </c>
      <c r="S635" s="129">
        <v>35729</v>
      </c>
      <c r="T635" s="160">
        <v>101681571969</v>
      </c>
      <c r="U635" s="126" t="s">
        <v>8020</v>
      </c>
      <c r="V635" s="151">
        <v>3714739151</v>
      </c>
      <c r="W635" s="145" t="s">
        <v>8021</v>
      </c>
      <c r="X635" s="145" t="s">
        <v>8022</v>
      </c>
      <c r="Y635" s="149" t="s">
        <v>1852</v>
      </c>
      <c r="Z635" s="145" t="s">
        <v>2332</v>
      </c>
      <c r="AA635" s="149" t="s">
        <v>8023</v>
      </c>
      <c r="AB635" s="149" t="s">
        <v>8023</v>
      </c>
      <c r="AC635" s="189" t="s">
        <v>8014</v>
      </c>
      <c r="AD635" s="145"/>
      <c r="AE635" s="145"/>
      <c r="AF635" s="145"/>
      <c r="AG635" s="145"/>
      <c r="AH635" s="145"/>
      <c r="AI635" s="145"/>
      <c r="AJ635" s="129"/>
      <c r="AK635" s="208" t="s">
        <v>8024</v>
      </c>
      <c r="AL635" s="209"/>
      <c r="AM635" s="209"/>
    </row>
    <row r="636" spans="1:39" ht="28.5">
      <c r="A636" s="137">
        <f>SUBTOTAL(3,$B$3:B636)</f>
        <v>634</v>
      </c>
      <c r="B636" s="203" t="s">
        <v>8025</v>
      </c>
      <c r="C636" s="163" t="s">
        <v>8026</v>
      </c>
      <c r="D636" s="163" t="s">
        <v>8027</v>
      </c>
      <c r="E636" s="129" t="s">
        <v>2988</v>
      </c>
      <c r="F636" s="129" t="s">
        <v>8028</v>
      </c>
      <c r="G636" s="129" t="s">
        <v>2345</v>
      </c>
      <c r="H636" s="129" t="s">
        <v>8029</v>
      </c>
      <c r="I636" s="129" t="s">
        <v>40</v>
      </c>
      <c r="J636" s="188">
        <v>37863</v>
      </c>
      <c r="K636" s="129" t="s">
        <v>41</v>
      </c>
      <c r="L636" s="129" t="s">
        <v>42</v>
      </c>
      <c r="M636" s="163" t="s">
        <v>1104</v>
      </c>
      <c r="N636" s="188">
        <v>45506</v>
      </c>
      <c r="O636" s="163" t="s">
        <v>2991</v>
      </c>
      <c r="P636" s="129" t="s">
        <v>2347</v>
      </c>
      <c r="Q636" s="129" t="s">
        <v>3676</v>
      </c>
      <c r="R636" s="163" t="s">
        <v>8030</v>
      </c>
      <c r="S636" s="129">
        <v>35730</v>
      </c>
      <c r="T636" s="160">
        <v>102030188592</v>
      </c>
      <c r="U636" s="126" t="s">
        <v>8031</v>
      </c>
      <c r="V636" s="151">
        <v>3715578232</v>
      </c>
      <c r="W636" s="145" t="s">
        <v>8032</v>
      </c>
      <c r="X636" s="145" t="s">
        <v>8034</v>
      </c>
      <c r="Y636" s="149" t="s">
        <v>132</v>
      </c>
      <c r="Z636" s="145" t="s">
        <v>1317</v>
      </c>
      <c r="AA636" s="149" t="s">
        <v>8033</v>
      </c>
      <c r="AB636" s="149" t="s">
        <v>8033</v>
      </c>
      <c r="AC636" s="189" t="s">
        <v>8025</v>
      </c>
      <c r="AD636" s="145"/>
      <c r="AE636" s="145"/>
      <c r="AF636" s="145"/>
      <c r="AG636" s="145"/>
      <c r="AH636" s="145"/>
      <c r="AI636" s="145"/>
      <c r="AJ636" s="129"/>
      <c r="AK636" s="208"/>
      <c r="AL636" s="209"/>
      <c r="AM636" s="209"/>
    </row>
    <row r="637" spans="1:39" ht="28.5">
      <c r="A637" s="137">
        <f>SUBTOTAL(3,$B$3:B637)</f>
        <v>635</v>
      </c>
      <c r="B637" s="203" t="s">
        <v>8035</v>
      </c>
      <c r="C637" s="163" t="s">
        <v>8036</v>
      </c>
      <c r="D637" s="163" t="s">
        <v>8036</v>
      </c>
      <c r="E637" s="129" t="s">
        <v>1428</v>
      </c>
      <c r="F637" s="129" t="s">
        <v>8037</v>
      </c>
      <c r="G637" s="129" t="s">
        <v>2389</v>
      </c>
      <c r="H637" s="129" t="s">
        <v>711</v>
      </c>
      <c r="I637" s="129" t="s">
        <v>40</v>
      </c>
      <c r="J637" s="188">
        <v>37910</v>
      </c>
      <c r="K637" s="129" t="s">
        <v>41</v>
      </c>
      <c r="L637" s="129" t="s">
        <v>42</v>
      </c>
      <c r="M637" s="163" t="s">
        <v>1044</v>
      </c>
      <c r="N637" s="188">
        <v>45506</v>
      </c>
      <c r="O637" s="163" t="s">
        <v>2991</v>
      </c>
      <c r="P637" s="129" t="s">
        <v>2347</v>
      </c>
      <c r="Q637" s="129" t="s">
        <v>3676</v>
      </c>
      <c r="R637" s="163" t="s">
        <v>8038</v>
      </c>
      <c r="S637" s="129">
        <v>35728</v>
      </c>
      <c r="T637" s="160">
        <v>101753082616</v>
      </c>
      <c r="U637" s="126" t="s">
        <v>8039</v>
      </c>
      <c r="V637" s="151">
        <v>3714052747</v>
      </c>
      <c r="W637" s="145" t="s">
        <v>8040</v>
      </c>
      <c r="X637" s="145" t="s">
        <v>8041</v>
      </c>
      <c r="Y637" s="149" t="s">
        <v>51</v>
      </c>
      <c r="Z637" s="145" t="s">
        <v>50</v>
      </c>
      <c r="AA637" s="149" t="s">
        <v>8042</v>
      </c>
      <c r="AB637" s="149" t="s">
        <v>8042</v>
      </c>
      <c r="AC637" s="189" t="s">
        <v>8035</v>
      </c>
      <c r="AD637" s="145"/>
      <c r="AE637" s="145"/>
      <c r="AF637" s="145"/>
      <c r="AG637" s="145"/>
      <c r="AH637" s="145"/>
      <c r="AI637" s="145"/>
      <c r="AJ637" s="129"/>
      <c r="AK637" s="208" t="s">
        <v>8043</v>
      </c>
      <c r="AL637" s="209"/>
      <c r="AM637" s="209"/>
    </row>
    <row r="638" spans="1:39" ht="28.5">
      <c r="A638" s="137">
        <f>SUBTOTAL(3,$B$3:B638)</f>
        <v>636</v>
      </c>
      <c r="B638" s="203" t="s">
        <v>8044</v>
      </c>
      <c r="C638" s="163" t="s">
        <v>8058</v>
      </c>
      <c r="D638" s="163" t="s">
        <v>8058</v>
      </c>
      <c r="E638" s="129" t="s">
        <v>70</v>
      </c>
      <c r="F638" s="129" t="s">
        <v>5997</v>
      </c>
      <c r="G638" s="129" t="s">
        <v>2345</v>
      </c>
      <c r="H638" s="129" t="s">
        <v>6858</v>
      </c>
      <c r="I638" s="129" t="s">
        <v>40</v>
      </c>
      <c r="J638" s="188">
        <v>35344</v>
      </c>
      <c r="K638" s="129" t="s">
        <v>280</v>
      </c>
      <c r="L638" s="129" t="s">
        <v>42</v>
      </c>
      <c r="M638" s="163" t="s">
        <v>1104</v>
      </c>
      <c r="N638" s="188">
        <v>45507</v>
      </c>
      <c r="O638" s="163" t="s">
        <v>2991</v>
      </c>
      <c r="P638" s="129" t="s">
        <v>2347</v>
      </c>
      <c r="Q638" s="129" t="s">
        <v>3676</v>
      </c>
      <c r="R638" s="163">
        <v>7096172356</v>
      </c>
      <c r="S638" s="129">
        <v>35784</v>
      </c>
      <c r="T638" s="160">
        <v>101728603553</v>
      </c>
      <c r="U638" s="126" t="s">
        <v>8059</v>
      </c>
      <c r="V638" s="151">
        <v>3715595520</v>
      </c>
      <c r="W638" s="145" t="s">
        <v>8060</v>
      </c>
      <c r="X638" s="145" t="s">
        <v>8061</v>
      </c>
      <c r="Y638" s="149" t="s">
        <v>65</v>
      </c>
      <c r="Z638" s="145" t="s">
        <v>943</v>
      </c>
      <c r="AA638" s="149" t="s">
        <v>8062</v>
      </c>
      <c r="AB638" s="149" t="s">
        <v>8062</v>
      </c>
      <c r="AC638" s="189" t="s">
        <v>8044</v>
      </c>
      <c r="AD638" s="145"/>
      <c r="AE638" s="145"/>
      <c r="AF638" s="145"/>
      <c r="AG638" s="145"/>
      <c r="AH638" s="145"/>
      <c r="AI638" s="145"/>
      <c r="AJ638" s="129"/>
      <c r="AK638" s="208" t="s">
        <v>8063</v>
      </c>
      <c r="AL638" s="209"/>
      <c r="AM638" s="209"/>
    </row>
    <row r="639" spans="1:39" ht="28.5">
      <c r="A639" s="137">
        <f>SUBTOTAL(3,$B$3:B639)</f>
        <v>637</v>
      </c>
      <c r="B639" s="203" t="s">
        <v>8045</v>
      </c>
      <c r="C639" s="163" t="s">
        <v>8064</v>
      </c>
      <c r="D639" s="163" t="s">
        <v>8065</v>
      </c>
      <c r="E639" s="129" t="s">
        <v>175</v>
      </c>
      <c r="F639" s="129" t="s">
        <v>8066</v>
      </c>
      <c r="G639" s="129" t="s">
        <v>2345</v>
      </c>
      <c r="H639" s="129" t="s">
        <v>8067</v>
      </c>
      <c r="I639" s="129" t="s">
        <v>40</v>
      </c>
      <c r="J639" s="188">
        <v>36687</v>
      </c>
      <c r="K639" s="129" t="s">
        <v>280</v>
      </c>
      <c r="L639" s="129" t="s">
        <v>42</v>
      </c>
      <c r="M639" s="163" t="s">
        <v>4222</v>
      </c>
      <c r="N639" s="188">
        <v>45509</v>
      </c>
      <c r="O639" s="163" t="s">
        <v>2981</v>
      </c>
      <c r="P639" s="129" t="s">
        <v>2347</v>
      </c>
      <c r="Q639" s="129" t="s">
        <v>3676</v>
      </c>
      <c r="R639" s="163" t="s">
        <v>8068</v>
      </c>
      <c r="S639" s="129">
        <v>35782</v>
      </c>
      <c r="T639" s="160">
        <v>101791710097</v>
      </c>
      <c r="U639" s="126" t="s">
        <v>8069</v>
      </c>
      <c r="V639" s="151">
        <v>3715595526</v>
      </c>
      <c r="W639" s="145" t="s">
        <v>8070</v>
      </c>
      <c r="X639" s="145" t="s">
        <v>8071</v>
      </c>
      <c r="Y639" s="149" t="s">
        <v>65</v>
      </c>
      <c r="Z639" s="145" t="s">
        <v>8072</v>
      </c>
      <c r="AA639" s="149" t="s">
        <v>8073</v>
      </c>
      <c r="AB639" s="149" t="s">
        <v>8074</v>
      </c>
      <c r="AC639" s="189" t="s">
        <v>8045</v>
      </c>
      <c r="AD639" s="145"/>
      <c r="AE639" s="145"/>
      <c r="AF639" s="145"/>
      <c r="AG639" s="145"/>
      <c r="AH639" s="145"/>
      <c r="AI639" s="145"/>
      <c r="AJ639" s="129"/>
      <c r="AK639" s="208" t="s">
        <v>8075</v>
      </c>
      <c r="AL639" s="209"/>
      <c r="AM639" s="209"/>
    </row>
    <row r="640" spans="1:39" ht="28.5">
      <c r="A640" s="137">
        <f>SUBTOTAL(3,$B$3:B640)</f>
        <v>638</v>
      </c>
      <c r="B640" s="203" t="s">
        <v>8046</v>
      </c>
      <c r="C640" s="163" t="s">
        <v>8047</v>
      </c>
      <c r="D640" s="163" t="s">
        <v>8047</v>
      </c>
      <c r="E640" s="129" t="s">
        <v>56</v>
      </c>
      <c r="F640" s="129" t="s">
        <v>8048</v>
      </c>
      <c r="G640" s="129" t="s">
        <v>2389</v>
      </c>
      <c r="H640" s="129" t="s">
        <v>8049</v>
      </c>
      <c r="I640" s="129" t="s">
        <v>40</v>
      </c>
      <c r="J640" s="188">
        <v>35417</v>
      </c>
      <c r="K640" s="129" t="s">
        <v>41</v>
      </c>
      <c r="L640" s="129" t="s">
        <v>42</v>
      </c>
      <c r="M640" s="163" t="s">
        <v>3103</v>
      </c>
      <c r="N640" s="188">
        <v>45509</v>
      </c>
      <c r="O640" s="163" t="s">
        <v>2991</v>
      </c>
      <c r="P640" s="129" t="s">
        <v>2347</v>
      </c>
      <c r="Q640" s="129" t="s">
        <v>3676</v>
      </c>
      <c r="R640" s="163" t="s">
        <v>8050</v>
      </c>
      <c r="S640" s="129">
        <v>35783</v>
      </c>
      <c r="T640" s="160">
        <v>101294677932</v>
      </c>
      <c r="U640" s="126" t="s">
        <v>8051</v>
      </c>
      <c r="V640" s="148">
        <v>3715177103</v>
      </c>
      <c r="W640" s="145" t="s">
        <v>8052</v>
      </c>
      <c r="X640" s="145" t="s">
        <v>8053</v>
      </c>
      <c r="Y640" s="149" t="s">
        <v>1289</v>
      </c>
      <c r="Z640" s="145" t="s">
        <v>8054</v>
      </c>
      <c r="AA640" s="149" t="s">
        <v>8055</v>
      </c>
      <c r="AB640" s="149" t="s">
        <v>8056</v>
      </c>
      <c r="AC640" s="189" t="s">
        <v>8046</v>
      </c>
      <c r="AD640" s="145"/>
      <c r="AE640" s="145"/>
      <c r="AF640" s="145"/>
      <c r="AG640" s="145"/>
      <c r="AH640" s="145"/>
      <c r="AI640" s="145"/>
      <c r="AJ640" s="129"/>
      <c r="AK640" s="208" t="s">
        <v>8057</v>
      </c>
      <c r="AL640" s="209"/>
      <c r="AM640" s="209"/>
    </row>
    <row r="641" spans="1:39" ht="42.75">
      <c r="A641" s="137">
        <f>SUBTOTAL(3,$B$3:B641)</f>
        <v>639</v>
      </c>
      <c r="B641" s="203" t="s">
        <v>8076</v>
      </c>
      <c r="C641" s="163" t="s">
        <v>8077</v>
      </c>
      <c r="D641" s="163" t="s">
        <v>8078</v>
      </c>
      <c r="E641" s="129" t="s">
        <v>6305</v>
      </c>
      <c r="F641" s="129" t="s">
        <v>8079</v>
      </c>
      <c r="G641" s="129" t="s">
        <v>2389</v>
      </c>
      <c r="H641" s="129" t="s">
        <v>441</v>
      </c>
      <c r="I641" s="129" t="s">
        <v>40</v>
      </c>
      <c r="J641" s="188">
        <v>37862</v>
      </c>
      <c r="K641" s="129" t="s">
        <v>41</v>
      </c>
      <c r="L641" s="129" t="s">
        <v>42</v>
      </c>
      <c r="M641" s="163" t="s">
        <v>1044</v>
      </c>
      <c r="N641" s="188">
        <v>45509</v>
      </c>
      <c r="O641" s="163" t="s">
        <v>2991</v>
      </c>
      <c r="P641" s="129" t="s">
        <v>2347</v>
      </c>
      <c r="Q641" s="129" t="s">
        <v>3676</v>
      </c>
      <c r="R641" s="163">
        <v>9016384155</v>
      </c>
      <c r="S641" s="129">
        <v>35785</v>
      </c>
      <c r="T641" s="160">
        <v>101981952584</v>
      </c>
      <c r="U641" s="126" t="s">
        <v>7193</v>
      </c>
      <c r="V641" s="151">
        <v>3715595539</v>
      </c>
      <c r="W641" s="145" t="s">
        <v>8080</v>
      </c>
      <c r="X641" s="145" t="s">
        <v>8083</v>
      </c>
      <c r="Y641" s="149" t="s">
        <v>146</v>
      </c>
      <c r="Z641" s="145" t="s">
        <v>145</v>
      </c>
      <c r="AA641" s="149" t="s">
        <v>8081</v>
      </c>
      <c r="AB641" s="149" t="s">
        <v>8081</v>
      </c>
      <c r="AC641" s="189" t="s">
        <v>8076</v>
      </c>
      <c r="AD641" s="145"/>
      <c r="AE641" s="145"/>
      <c r="AF641" s="145"/>
      <c r="AG641" s="145"/>
      <c r="AH641" s="145"/>
      <c r="AI641" s="145"/>
      <c r="AJ641" s="129"/>
      <c r="AK641" s="208" t="s">
        <v>8082</v>
      </c>
      <c r="AL641" s="209"/>
      <c r="AM641" s="209"/>
    </row>
    <row r="642" spans="1:39" ht="42.75">
      <c r="A642" s="137">
        <f>SUBTOTAL(3,$B$3:B642)</f>
        <v>640</v>
      </c>
      <c r="B642" s="203" t="s">
        <v>8084</v>
      </c>
      <c r="C642" s="163" t="s">
        <v>8085</v>
      </c>
      <c r="D642" s="163" t="s">
        <v>8085</v>
      </c>
      <c r="E642" s="129" t="s">
        <v>161</v>
      </c>
      <c r="F642" s="129" t="s">
        <v>8086</v>
      </c>
      <c r="G642" s="129" t="s">
        <v>2345</v>
      </c>
      <c r="H642" s="129" t="s">
        <v>8087</v>
      </c>
      <c r="I642" s="129" t="s">
        <v>40</v>
      </c>
      <c r="J642" s="188">
        <v>36719</v>
      </c>
      <c r="K642" s="129" t="s">
        <v>280</v>
      </c>
      <c r="L642" s="129" t="s">
        <v>42</v>
      </c>
      <c r="M642" s="163" t="s">
        <v>6173</v>
      </c>
      <c r="N642" s="188">
        <v>45516</v>
      </c>
      <c r="O642" s="163" t="s">
        <v>6174</v>
      </c>
      <c r="P642" s="129" t="s">
        <v>2347</v>
      </c>
      <c r="Q642" s="129" t="s">
        <v>3676</v>
      </c>
      <c r="R642" s="163" t="s">
        <v>8088</v>
      </c>
      <c r="S642" s="129">
        <v>35867</v>
      </c>
      <c r="T642" s="160">
        <v>102110997522</v>
      </c>
      <c r="U642" s="126" t="s">
        <v>8089</v>
      </c>
      <c r="V642" s="148">
        <v>3715609684</v>
      </c>
      <c r="W642" s="145" t="s">
        <v>8090</v>
      </c>
      <c r="X642" s="145" t="s">
        <v>8091</v>
      </c>
      <c r="Y642" s="216" t="s">
        <v>8093</v>
      </c>
      <c r="Z642" s="145" t="s">
        <v>8092</v>
      </c>
      <c r="AA642" s="149" t="s">
        <v>8094</v>
      </c>
      <c r="AB642" s="149" t="s">
        <v>8095</v>
      </c>
      <c r="AC642" s="189" t="s">
        <v>8084</v>
      </c>
      <c r="AD642" s="145"/>
      <c r="AE642" s="145"/>
      <c r="AF642" s="145"/>
      <c r="AG642" s="145"/>
      <c r="AH642" s="145"/>
      <c r="AI642" s="145"/>
      <c r="AJ642" s="129"/>
      <c r="AK642" s="208" t="s">
        <v>8096</v>
      </c>
      <c r="AL642" s="209"/>
      <c r="AM642" s="209"/>
    </row>
    <row r="643" spans="1:39" ht="28.5">
      <c r="A643" s="137">
        <f>SUBTOTAL(3,$B$3:B643)</f>
        <v>641</v>
      </c>
      <c r="B643" s="203" t="s">
        <v>8097</v>
      </c>
      <c r="C643" s="163" t="s">
        <v>8098</v>
      </c>
      <c r="D643" s="163" t="s">
        <v>8099</v>
      </c>
      <c r="E643" s="129" t="s">
        <v>8100</v>
      </c>
      <c r="F643" s="129" t="s">
        <v>124</v>
      </c>
      <c r="G643" s="129" t="s">
        <v>2389</v>
      </c>
      <c r="H643" s="129" t="s">
        <v>381</v>
      </c>
      <c r="I643" s="129" t="s">
        <v>40</v>
      </c>
      <c r="J643" s="188">
        <v>35852</v>
      </c>
      <c r="K643" s="129" t="s">
        <v>280</v>
      </c>
      <c r="L643" s="129" t="s">
        <v>42</v>
      </c>
      <c r="M643" s="163" t="s">
        <v>1104</v>
      </c>
      <c r="N643" s="188">
        <v>45516</v>
      </c>
      <c r="O643" s="163" t="s">
        <v>2991</v>
      </c>
      <c r="P643" s="129" t="s">
        <v>2347</v>
      </c>
      <c r="Q643" s="129" t="s">
        <v>3676</v>
      </c>
      <c r="R643" s="163">
        <v>8849812562</v>
      </c>
      <c r="S643" s="129">
        <v>35868</v>
      </c>
      <c r="T643" s="160">
        <v>101702005589</v>
      </c>
      <c r="U643" s="126" t="s">
        <v>8101</v>
      </c>
      <c r="V643" s="151">
        <v>3713992722</v>
      </c>
      <c r="W643" s="145" t="s">
        <v>8102</v>
      </c>
      <c r="X643" s="145" t="s">
        <v>8103</v>
      </c>
      <c r="Y643" s="216" t="s">
        <v>65</v>
      </c>
      <c r="Z643" s="145" t="s">
        <v>5589</v>
      </c>
      <c r="AA643" s="149" t="s">
        <v>8104</v>
      </c>
      <c r="AB643" s="149" t="s">
        <v>8104</v>
      </c>
      <c r="AC643" s="189" t="s">
        <v>8097</v>
      </c>
      <c r="AD643" s="145"/>
      <c r="AE643" s="145"/>
      <c r="AF643" s="145"/>
      <c r="AG643" s="145"/>
      <c r="AH643" s="145"/>
      <c r="AI643" s="145"/>
      <c r="AJ643" s="129"/>
      <c r="AK643" s="208" t="s">
        <v>8105</v>
      </c>
      <c r="AL643" s="209"/>
      <c r="AM643" s="209"/>
    </row>
    <row r="644" spans="1:39" ht="28.5">
      <c r="A644" s="137">
        <f>SUBTOTAL(3,$B$3:B644)</f>
        <v>642</v>
      </c>
      <c r="B644" s="203" t="s">
        <v>8106</v>
      </c>
      <c r="C644" s="163" t="s">
        <v>8107</v>
      </c>
      <c r="D644" s="163" t="s">
        <v>8107</v>
      </c>
      <c r="E644" s="129" t="s">
        <v>136</v>
      </c>
      <c r="F644" s="129" t="s">
        <v>8108</v>
      </c>
      <c r="G644" s="129" t="s">
        <v>2345</v>
      </c>
      <c r="H644" s="129" t="s">
        <v>8109</v>
      </c>
      <c r="I644" s="129" t="s">
        <v>40</v>
      </c>
      <c r="J644" s="188">
        <v>37134</v>
      </c>
      <c r="K644" s="129" t="s">
        <v>41</v>
      </c>
      <c r="L644" s="129" t="s">
        <v>42</v>
      </c>
      <c r="M644" s="163" t="s">
        <v>4016</v>
      </c>
      <c r="N644" s="188">
        <v>45520</v>
      </c>
      <c r="O644" s="163" t="s">
        <v>44</v>
      </c>
      <c r="P644" s="129" t="s">
        <v>2347</v>
      </c>
      <c r="Q644" s="129" t="s">
        <v>3676</v>
      </c>
      <c r="R644" s="163" t="s">
        <v>8110</v>
      </c>
      <c r="S644" s="129">
        <v>35866</v>
      </c>
      <c r="T644" s="160">
        <v>101933797418</v>
      </c>
      <c r="U644" s="126" t="s">
        <v>8111</v>
      </c>
      <c r="V644" s="148">
        <v>3715609700</v>
      </c>
      <c r="W644" s="145" t="s">
        <v>8112</v>
      </c>
      <c r="X644" s="145" t="s">
        <v>8113</v>
      </c>
      <c r="Y644" s="216" t="s">
        <v>1289</v>
      </c>
      <c r="Z644" s="145" t="s">
        <v>8114</v>
      </c>
      <c r="AA644" s="149" t="s">
        <v>8115</v>
      </c>
      <c r="AB644" s="149" t="s">
        <v>8115</v>
      </c>
      <c r="AC644" s="189" t="s">
        <v>8106</v>
      </c>
      <c r="AD644" s="145"/>
      <c r="AE644" s="145"/>
      <c r="AF644" s="145"/>
      <c r="AG644" s="145"/>
      <c r="AH644" s="145"/>
      <c r="AI644" s="145"/>
      <c r="AJ644" s="129"/>
      <c r="AK644" s="208" t="s">
        <v>8116</v>
      </c>
      <c r="AL644" s="209"/>
      <c r="AM644" s="209"/>
    </row>
    <row r="645" spans="1:39" ht="28.5">
      <c r="A645" s="137">
        <f>SUBTOTAL(3,$B$3:B645)</f>
        <v>643</v>
      </c>
      <c r="B645" s="203" t="s">
        <v>8117</v>
      </c>
      <c r="C645" s="163" t="s">
        <v>8118</v>
      </c>
      <c r="D645" s="163" t="s">
        <v>8118</v>
      </c>
      <c r="E645" s="129" t="s">
        <v>8119</v>
      </c>
      <c r="F645" s="129" t="s">
        <v>8120</v>
      </c>
      <c r="G645" s="129" t="s">
        <v>2389</v>
      </c>
      <c r="H645" s="129" t="s">
        <v>417</v>
      </c>
      <c r="I645" s="129" t="s">
        <v>40</v>
      </c>
      <c r="J645" s="188">
        <v>36980</v>
      </c>
      <c r="K645" s="129" t="s">
        <v>41</v>
      </c>
      <c r="L645" s="129" t="s">
        <v>42</v>
      </c>
      <c r="M645" s="163" t="s">
        <v>4016</v>
      </c>
      <c r="N645" s="188">
        <v>45520</v>
      </c>
      <c r="O645" s="163" t="s">
        <v>44</v>
      </c>
      <c r="P645" s="129" t="s">
        <v>2347</v>
      </c>
      <c r="Q645" s="129" t="s">
        <v>3676</v>
      </c>
      <c r="R645" s="163">
        <v>7096964626</v>
      </c>
      <c r="S645" s="129">
        <v>35863</v>
      </c>
      <c r="T645" s="160">
        <v>102110997505</v>
      </c>
      <c r="U645" s="126" t="s">
        <v>8121</v>
      </c>
      <c r="V645" s="151">
        <v>3715611370</v>
      </c>
      <c r="W645" s="145" t="s">
        <v>8122</v>
      </c>
      <c r="X645" s="145" t="s">
        <v>8123</v>
      </c>
      <c r="Y645" s="216" t="s">
        <v>65</v>
      </c>
      <c r="Z645" s="145" t="s">
        <v>8124</v>
      </c>
      <c r="AA645" s="149" t="s">
        <v>8125</v>
      </c>
      <c r="AB645" s="149" t="s">
        <v>8125</v>
      </c>
      <c r="AC645" s="189" t="s">
        <v>8117</v>
      </c>
      <c r="AD645" s="145"/>
      <c r="AE645" s="145"/>
      <c r="AF645" s="145"/>
      <c r="AG645" s="145"/>
      <c r="AH645" s="145"/>
      <c r="AI645" s="145"/>
      <c r="AJ645" s="129"/>
      <c r="AK645" s="208" t="s">
        <v>8126</v>
      </c>
      <c r="AL645" s="209"/>
      <c r="AM645" s="209"/>
    </row>
    <row r="646" spans="1:39" ht="42.75">
      <c r="A646" s="137">
        <f>SUBTOTAL(3,$B$3:B646)</f>
        <v>644</v>
      </c>
      <c r="B646" s="203" t="s">
        <v>8127</v>
      </c>
      <c r="C646" s="163" t="s">
        <v>8128</v>
      </c>
      <c r="D646" s="163" t="s">
        <v>8128</v>
      </c>
      <c r="E646" s="129" t="s">
        <v>175</v>
      </c>
      <c r="F646" s="129" t="s">
        <v>8129</v>
      </c>
      <c r="G646" s="129" t="s">
        <v>2345</v>
      </c>
      <c r="H646" s="129" t="s">
        <v>8130</v>
      </c>
      <c r="I646" s="129" t="s">
        <v>40</v>
      </c>
      <c r="J646" s="188">
        <v>37274</v>
      </c>
      <c r="K646" s="129" t="s">
        <v>41</v>
      </c>
      <c r="L646" s="129" t="s">
        <v>42</v>
      </c>
      <c r="M646" s="163" t="s">
        <v>4016</v>
      </c>
      <c r="N646" s="188">
        <v>45520</v>
      </c>
      <c r="O646" s="163" t="s">
        <v>44</v>
      </c>
      <c r="P646" s="129" t="s">
        <v>2347</v>
      </c>
      <c r="Q646" s="129" t="s">
        <v>3676</v>
      </c>
      <c r="R646" s="163" t="s">
        <v>8131</v>
      </c>
      <c r="S646" s="129">
        <v>35871</v>
      </c>
      <c r="T646" s="160">
        <v>101995800190</v>
      </c>
      <c r="U646" s="126" t="s">
        <v>8132</v>
      </c>
      <c r="V646" s="151">
        <v>3715611384</v>
      </c>
      <c r="W646" s="145" t="s">
        <v>8133</v>
      </c>
      <c r="X646" s="145" t="s">
        <v>8134</v>
      </c>
      <c r="Y646" s="216" t="s">
        <v>146</v>
      </c>
      <c r="Z646" s="145" t="s">
        <v>8135</v>
      </c>
      <c r="AA646" s="149" t="s">
        <v>8136</v>
      </c>
      <c r="AB646" s="149" t="s">
        <v>8136</v>
      </c>
      <c r="AC646" s="189" t="s">
        <v>8127</v>
      </c>
      <c r="AD646" s="145"/>
      <c r="AE646" s="145"/>
      <c r="AF646" s="145"/>
      <c r="AG646" s="145"/>
      <c r="AH646" s="145"/>
      <c r="AI646" s="145"/>
      <c r="AJ646" s="129"/>
      <c r="AK646" s="208" t="s">
        <v>8137</v>
      </c>
      <c r="AL646" s="209"/>
      <c r="AM646" s="209"/>
    </row>
    <row r="647" spans="1:39" ht="28.5">
      <c r="A647" s="137">
        <f>SUBTOTAL(3,$B$3:B647)</f>
        <v>645</v>
      </c>
      <c r="B647" s="203" t="s">
        <v>8138</v>
      </c>
      <c r="C647" s="163" t="s">
        <v>8140</v>
      </c>
      <c r="D647" s="163" t="s">
        <v>8140</v>
      </c>
      <c r="E647" s="129" t="s">
        <v>754</v>
      </c>
      <c r="F647" s="129" t="s">
        <v>8141</v>
      </c>
      <c r="G647" s="129" t="s">
        <v>2345</v>
      </c>
      <c r="H647" s="129" t="s">
        <v>8142</v>
      </c>
      <c r="I647" s="129" t="s">
        <v>40</v>
      </c>
      <c r="J647" s="188">
        <v>37126</v>
      </c>
      <c r="K647" s="129" t="s">
        <v>280</v>
      </c>
      <c r="L647" s="129" t="s">
        <v>42</v>
      </c>
      <c r="M647" s="163" t="s">
        <v>4016</v>
      </c>
      <c r="N647" s="188">
        <v>45521</v>
      </c>
      <c r="O647" s="163" t="s">
        <v>44</v>
      </c>
      <c r="P647" s="129" t="s">
        <v>2347</v>
      </c>
      <c r="Q647" s="129" t="s">
        <v>3676</v>
      </c>
      <c r="R647" s="163" t="s">
        <v>8143</v>
      </c>
      <c r="S647" s="129">
        <v>35865</v>
      </c>
      <c r="T647" s="160">
        <v>101946956645</v>
      </c>
      <c r="U647" s="126" t="s">
        <v>8144</v>
      </c>
      <c r="V647" s="151">
        <v>3715611395</v>
      </c>
      <c r="W647" s="145" t="s">
        <v>8145</v>
      </c>
      <c r="X647" s="145" t="s">
        <v>8146</v>
      </c>
      <c r="Y647" s="216" t="s">
        <v>146</v>
      </c>
      <c r="Z647" s="145" t="s">
        <v>8147</v>
      </c>
      <c r="AA647" s="149" t="s">
        <v>8148</v>
      </c>
      <c r="AB647" s="149" t="s">
        <v>8148</v>
      </c>
      <c r="AC647" s="189" t="s">
        <v>8138</v>
      </c>
      <c r="AD647" s="145"/>
      <c r="AE647" s="145"/>
      <c r="AF647" s="145"/>
      <c r="AG647" s="145"/>
      <c r="AH647" s="145"/>
      <c r="AI647" s="145"/>
      <c r="AJ647" s="129"/>
      <c r="AK647" s="208" t="s">
        <v>8149</v>
      </c>
      <c r="AL647" s="209"/>
      <c r="AM647" s="209"/>
    </row>
    <row r="648" spans="1:39" ht="28.5">
      <c r="A648" s="137">
        <f>SUBTOTAL(3,$B$3:B648)</f>
        <v>646</v>
      </c>
      <c r="B648" s="203" t="s">
        <v>8139</v>
      </c>
      <c r="C648" s="163" t="s">
        <v>8150</v>
      </c>
      <c r="D648" s="163" t="s">
        <v>8150</v>
      </c>
      <c r="E648" s="129" t="s">
        <v>8151</v>
      </c>
      <c r="F648" s="129" t="s">
        <v>8152</v>
      </c>
      <c r="G648" s="129" t="s">
        <v>2345</v>
      </c>
      <c r="H648" s="129" t="s">
        <v>659</v>
      </c>
      <c r="I648" s="129" t="s">
        <v>40</v>
      </c>
      <c r="J648" s="188">
        <v>37492</v>
      </c>
      <c r="K648" s="129" t="s">
        <v>41</v>
      </c>
      <c r="L648" s="129" t="s">
        <v>42</v>
      </c>
      <c r="M648" s="163" t="s">
        <v>4016</v>
      </c>
      <c r="N648" s="188">
        <v>45521</v>
      </c>
      <c r="O648" s="163" t="s">
        <v>44</v>
      </c>
      <c r="P648" s="129" t="s">
        <v>2347</v>
      </c>
      <c r="Q648" s="129" t="s">
        <v>3676</v>
      </c>
      <c r="R648" s="163" t="s">
        <v>8153</v>
      </c>
      <c r="S648" s="129">
        <v>35869</v>
      </c>
      <c r="T648" s="160">
        <v>102056122642</v>
      </c>
      <c r="U648" s="126" t="s">
        <v>8154</v>
      </c>
      <c r="V648" s="151">
        <v>3715611405</v>
      </c>
      <c r="W648" s="145" t="s">
        <v>8155</v>
      </c>
      <c r="X648" s="145" t="s">
        <v>8156</v>
      </c>
      <c r="Y648" s="216" t="s">
        <v>146</v>
      </c>
      <c r="Z648" s="145" t="s">
        <v>8157</v>
      </c>
      <c r="AA648" s="149" t="s">
        <v>8158</v>
      </c>
      <c r="AB648" s="149" t="s">
        <v>8158</v>
      </c>
      <c r="AC648" s="189" t="s">
        <v>8139</v>
      </c>
      <c r="AD648" s="145"/>
      <c r="AE648" s="145"/>
      <c r="AF648" s="145"/>
      <c r="AG648" s="145"/>
      <c r="AH648" s="145"/>
      <c r="AI648" s="145"/>
      <c r="AJ648" s="129"/>
      <c r="AK648" s="208" t="s">
        <v>8159</v>
      </c>
      <c r="AL648" s="209"/>
      <c r="AM648" s="209"/>
    </row>
    <row r="649" spans="1:39" ht="28.5">
      <c r="A649" s="137">
        <f>SUBTOTAL(3,$B$3:B649)</f>
        <v>647</v>
      </c>
      <c r="B649" s="203" t="s">
        <v>8160</v>
      </c>
      <c r="C649" s="163" t="s">
        <v>8161</v>
      </c>
      <c r="D649" s="163" t="s">
        <v>8162</v>
      </c>
      <c r="E649" s="129" t="s">
        <v>754</v>
      </c>
      <c r="F649" s="129" t="s">
        <v>8163</v>
      </c>
      <c r="G649" s="129" t="s">
        <v>2345</v>
      </c>
      <c r="H649" s="129" t="s">
        <v>1837</v>
      </c>
      <c r="I649" s="129" t="s">
        <v>40</v>
      </c>
      <c r="J649" s="188">
        <v>37285</v>
      </c>
      <c r="K649" s="129" t="s">
        <v>41</v>
      </c>
      <c r="L649" s="129" t="s">
        <v>42</v>
      </c>
      <c r="M649" s="163" t="s">
        <v>4016</v>
      </c>
      <c r="N649" s="188">
        <v>45526</v>
      </c>
      <c r="O649" s="163" t="s">
        <v>44</v>
      </c>
      <c r="P649" s="129" t="s">
        <v>2347</v>
      </c>
      <c r="Q649" s="129" t="s">
        <v>3676</v>
      </c>
      <c r="R649" s="163" t="s">
        <v>8164</v>
      </c>
      <c r="S649" s="129">
        <v>35870</v>
      </c>
      <c r="T649" s="160">
        <v>102102286156</v>
      </c>
      <c r="U649" s="126" t="s">
        <v>8165</v>
      </c>
      <c r="V649" s="151">
        <v>3715611411</v>
      </c>
      <c r="W649" s="145" t="s">
        <v>8166</v>
      </c>
      <c r="X649" s="145" t="s">
        <v>8167</v>
      </c>
      <c r="Y649" s="216" t="s">
        <v>146</v>
      </c>
      <c r="Z649" s="145" t="s">
        <v>4227</v>
      </c>
      <c r="AA649" s="149" t="s">
        <v>8168</v>
      </c>
      <c r="AB649" s="149" t="s">
        <v>8168</v>
      </c>
      <c r="AC649" s="189" t="s">
        <v>8160</v>
      </c>
      <c r="AD649" s="145"/>
      <c r="AE649" s="145"/>
      <c r="AF649" s="145"/>
      <c r="AG649" s="145"/>
      <c r="AH649" s="145"/>
      <c r="AI649" s="145"/>
      <c r="AJ649" s="129"/>
      <c r="AK649" s="208" t="s">
        <v>8169</v>
      </c>
      <c r="AL649" s="209"/>
      <c r="AM649" s="209"/>
    </row>
    <row r="650" spans="1:39" ht="28.5">
      <c r="A650" s="137">
        <f>SUBTOTAL(3,$B$3:B650)</f>
        <v>648</v>
      </c>
      <c r="B650" s="203" t="s">
        <v>8170</v>
      </c>
      <c r="C650" s="163" t="s">
        <v>8171</v>
      </c>
      <c r="D650" s="163" t="s">
        <v>8172</v>
      </c>
      <c r="E650" s="129" t="s">
        <v>249</v>
      </c>
      <c r="F650" s="129" t="s">
        <v>8173</v>
      </c>
      <c r="G650" s="129" t="s">
        <v>2345</v>
      </c>
      <c r="H650" s="129" t="s">
        <v>251</v>
      </c>
      <c r="I650" s="129" t="s">
        <v>40</v>
      </c>
      <c r="J650" s="188">
        <v>35318</v>
      </c>
      <c r="K650" s="129" t="s">
        <v>41</v>
      </c>
      <c r="L650" s="129" t="s">
        <v>42</v>
      </c>
      <c r="M650" s="163" t="s">
        <v>8174</v>
      </c>
      <c r="N650" s="188">
        <v>45528</v>
      </c>
      <c r="O650" s="163" t="s">
        <v>2981</v>
      </c>
      <c r="P650" s="129" t="s">
        <v>2347</v>
      </c>
      <c r="Q650" s="129" t="s">
        <v>3676</v>
      </c>
      <c r="R650" s="163">
        <v>6351433019</v>
      </c>
      <c r="S650" s="129">
        <v>35864</v>
      </c>
      <c r="T650" s="160">
        <v>102110997514</v>
      </c>
      <c r="U650" s="126" t="s">
        <v>7193</v>
      </c>
      <c r="V650" s="151">
        <v>3715627650</v>
      </c>
      <c r="W650" s="145" t="s">
        <v>8175</v>
      </c>
      <c r="X650" s="145" t="s">
        <v>8178</v>
      </c>
      <c r="Y650" s="216" t="s">
        <v>146</v>
      </c>
      <c r="Z650" s="145" t="s">
        <v>2352</v>
      </c>
      <c r="AA650" s="149" t="s">
        <v>8176</v>
      </c>
      <c r="AB650" s="149" t="s">
        <v>8176</v>
      </c>
      <c r="AC650" s="189" t="s">
        <v>8170</v>
      </c>
      <c r="AD650" s="145"/>
      <c r="AE650" s="145"/>
      <c r="AF650" s="145"/>
      <c r="AG650" s="145"/>
      <c r="AH650" s="145"/>
      <c r="AI650" s="145"/>
      <c r="AJ650" s="129"/>
      <c r="AK650" s="208"/>
      <c r="AL650" s="217" t="s">
        <v>8177</v>
      </c>
      <c r="AM650" s="218"/>
    </row>
    <row r="651" spans="1:39" ht="42.75">
      <c r="A651" s="137">
        <f>SUBTOTAL(3,$B$3:B651)</f>
        <v>649</v>
      </c>
      <c r="B651" s="203" t="s">
        <v>8179</v>
      </c>
      <c r="C651" s="163" t="s">
        <v>8208</v>
      </c>
      <c r="D651" s="163" t="s">
        <v>8209</v>
      </c>
      <c r="E651" s="129" t="s">
        <v>8210</v>
      </c>
      <c r="F651" s="129" t="s">
        <v>8211</v>
      </c>
      <c r="G651" s="129" t="s">
        <v>2389</v>
      </c>
      <c r="H651" s="129" t="s">
        <v>8212</v>
      </c>
      <c r="I651" s="129" t="s">
        <v>40</v>
      </c>
      <c r="J651" s="188">
        <v>37304</v>
      </c>
      <c r="K651" s="129" t="s">
        <v>41</v>
      </c>
      <c r="L651" s="129" t="s">
        <v>42</v>
      </c>
      <c r="M651" s="163" t="s">
        <v>6752</v>
      </c>
      <c r="N651" s="188">
        <v>45546</v>
      </c>
      <c r="O651" s="163" t="s">
        <v>44</v>
      </c>
      <c r="P651" s="129" t="s">
        <v>2347</v>
      </c>
      <c r="Q651" s="129" t="s">
        <v>3676</v>
      </c>
      <c r="R651" s="163">
        <v>9023990191</v>
      </c>
      <c r="S651" s="129">
        <v>36097</v>
      </c>
      <c r="T651" s="160">
        <v>102122911207</v>
      </c>
      <c r="U651" s="126" t="s">
        <v>8213</v>
      </c>
      <c r="V651" s="151">
        <v>3715672462</v>
      </c>
      <c r="W651" s="145" t="s">
        <v>8214</v>
      </c>
      <c r="X651" s="145" t="s">
        <v>8215</v>
      </c>
      <c r="Y651" s="216" t="s">
        <v>65</v>
      </c>
      <c r="Z651" s="145" t="s">
        <v>8216</v>
      </c>
      <c r="AA651" s="149" t="s">
        <v>8217</v>
      </c>
      <c r="AB651" s="149" t="s">
        <v>8217</v>
      </c>
      <c r="AC651" s="189" t="s">
        <v>8179</v>
      </c>
      <c r="AD651" s="145"/>
      <c r="AE651" s="145"/>
      <c r="AF651" s="145"/>
      <c r="AG651" s="145"/>
      <c r="AH651" s="145"/>
      <c r="AI651" s="145"/>
      <c r="AJ651" s="129"/>
      <c r="AK651" s="208" t="s">
        <v>8218</v>
      </c>
      <c r="AL651" s="217"/>
      <c r="AM651" s="218"/>
    </row>
    <row r="652" spans="1:39" ht="28.5">
      <c r="A652" s="137">
        <f>SUBTOTAL(3,$B$3:B652)</f>
        <v>650</v>
      </c>
      <c r="B652" s="203" t="s">
        <v>8180</v>
      </c>
      <c r="C652" s="163" t="s">
        <v>8219</v>
      </c>
      <c r="D652" s="163" t="s">
        <v>8219</v>
      </c>
      <c r="E652" s="129" t="s">
        <v>754</v>
      </c>
      <c r="F652" s="129" t="s">
        <v>8220</v>
      </c>
      <c r="G652" s="129" t="s">
        <v>2345</v>
      </c>
      <c r="H652" s="129" t="s">
        <v>507</v>
      </c>
      <c r="I652" s="129" t="s">
        <v>40</v>
      </c>
      <c r="J652" s="188">
        <v>37110</v>
      </c>
      <c r="K652" s="129" t="s">
        <v>41</v>
      </c>
      <c r="L652" s="129" t="s">
        <v>42</v>
      </c>
      <c r="M652" s="163" t="s">
        <v>4016</v>
      </c>
      <c r="N652" s="188">
        <v>45547</v>
      </c>
      <c r="O652" s="163" t="s">
        <v>44</v>
      </c>
      <c r="P652" s="129" t="s">
        <v>2347</v>
      </c>
      <c r="Q652" s="129" t="s">
        <v>3676</v>
      </c>
      <c r="R652" s="163">
        <v>6354721964</v>
      </c>
      <c r="S652" s="129">
        <v>36105</v>
      </c>
      <c r="T652" s="160">
        <v>101795607969</v>
      </c>
      <c r="U652" s="126" t="s">
        <v>8221</v>
      </c>
      <c r="V652" s="151">
        <v>3715672495</v>
      </c>
      <c r="W652" s="145" t="s">
        <v>8222</v>
      </c>
      <c r="X652" s="145" t="s">
        <v>8223</v>
      </c>
      <c r="Y652" s="216" t="s">
        <v>8224</v>
      </c>
      <c r="Z652" s="145" t="s">
        <v>286</v>
      </c>
      <c r="AA652" s="149" t="s">
        <v>8225</v>
      </c>
      <c r="AB652" s="149" t="s">
        <v>8225</v>
      </c>
      <c r="AC652" s="189" t="s">
        <v>8180</v>
      </c>
      <c r="AD652" s="145"/>
      <c r="AE652" s="145"/>
      <c r="AF652" s="145"/>
      <c r="AG652" s="145"/>
      <c r="AH652" s="145"/>
      <c r="AI652" s="145"/>
      <c r="AJ652" s="129"/>
      <c r="AK652" s="208" t="s">
        <v>8226</v>
      </c>
      <c r="AL652" s="217"/>
      <c r="AM652" s="218"/>
    </row>
    <row r="653" spans="1:39" ht="28.5">
      <c r="A653" s="137">
        <f>SUBTOTAL(3,$B$3:B653)</f>
        <v>651</v>
      </c>
      <c r="B653" s="203" t="s">
        <v>8181</v>
      </c>
      <c r="C653" s="163" t="s">
        <v>8227</v>
      </c>
      <c r="D653" s="163" t="s">
        <v>8227</v>
      </c>
      <c r="E653" s="129" t="s">
        <v>136</v>
      </c>
      <c r="F653" s="129" t="s">
        <v>8228</v>
      </c>
      <c r="G653" s="129" t="s">
        <v>2345</v>
      </c>
      <c r="H653" s="129" t="s">
        <v>1655</v>
      </c>
      <c r="I653" s="129" t="s">
        <v>40</v>
      </c>
      <c r="J653" s="188">
        <v>35511</v>
      </c>
      <c r="K653" s="129" t="s">
        <v>41</v>
      </c>
      <c r="L653" s="129" t="s">
        <v>42</v>
      </c>
      <c r="M653" s="163" t="s">
        <v>4016</v>
      </c>
      <c r="N653" s="188">
        <v>45547</v>
      </c>
      <c r="O653" s="163" t="s">
        <v>44</v>
      </c>
      <c r="P653" s="129" t="s">
        <v>2347</v>
      </c>
      <c r="Q653" s="129" t="s">
        <v>3676</v>
      </c>
      <c r="R653" s="163">
        <v>9016006898</v>
      </c>
      <c r="S653" s="129">
        <v>36093</v>
      </c>
      <c r="T653" s="160">
        <v>101428505159</v>
      </c>
      <c r="U653" s="126" t="s">
        <v>8229</v>
      </c>
      <c r="V653" s="151">
        <v>3715672814</v>
      </c>
      <c r="W653" s="145" t="s">
        <v>8230</v>
      </c>
      <c r="X653" s="145" t="s">
        <v>8231</v>
      </c>
      <c r="Y653" s="216" t="s">
        <v>65</v>
      </c>
      <c r="Z653" s="145" t="s">
        <v>8232</v>
      </c>
      <c r="AA653" s="149" t="s">
        <v>8233</v>
      </c>
      <c r="AB653" s="149" t="s">
        <v>8234</v>
      </c>
      <c r="AC653" s="189" t="s">
        <v>8181</v>
      </c>
      <c r="AD653" s="145"/>
      <c r="AE653" s="145"/>
      <c r="AF653" s="145"/>
      <c r="AG653" s="145"/>
      <c r="AH653" s="145"/>
      <c r="AI653" s="145"/>
      <c r="AJ653" s="129"/>
      <c r="AK653" s="208" t="s">
        <v>8235</v>
      </c>
      <c r="AL653" s="217"/>
      <c r="AM653" s="218"/>
    </row>
    <row r="654" spans="1:39" ht="28.5">
      <c r="A654" s="137">
        <f>SUBTOTAL(3,$B$3:B654)</f>
        <v>652</v>
      </c>
      <c r="B654" s="203" t="s">
        <v>8182</v>
      </c>
      <c r="C654" s="163" t="s">
        <v>8236</v>
      </c>
      <c r="D654" s="163" t="s">
        <v>8237</v>
      </c>
      <c r="E654" s="129" t="s">
        <v>754</v>
      </c>
      <c r="F654" s="129" t="s">
        <v>8238</v>
      </c>
      <c r="G654" s="129" t="s">
        <v>2345</v>
      </c>
      <c r="H654" s="129" t="s">
        <v>8239</v>
      </c>
      <c r="I654" s="129" t="s">
        <v>40</v>
      </c>
      <c r="J654" s="188">
        <v>37848</v>
      </c>
      <c r="K654" s="129" t="s">
        <v>41</v>
      </c>
      <c r="L654" s="129" t="s">
        <v>42</v>
      </c>
      <c r="M654" s="163" t="s">
        <v>4016</v>
      </c>
      <c r="N654" s="188">
        <v>45548</v>
      </c>
      <c r="O654" s="163" t="s">
        <v>44</v>
      </c>
      <c r="P654" s="129" t="s">
        <v>2347</v>
      </c>
      <c r="Q654" s="129" t="s">
        <v>3676</v>
      </c>
      <c r="R654" s="163">
        <v>9016303016</v>
      </c>
      <c r="S654" s="129">
        <v>36092</v>
      </c>
      <c r="T654" s="160">
        <v>102092169321</v>
      </c>
      <c r="U654" s="126" t="s">
        <v>8240</v>
      </c>
      <c r="V654" s="151">
        <v>3715672825</v>
      </c>
      <c r="W654" s="145" t="s">
        <v>8241</v>
      </c>
      <c r="X654" s="145" t="s">
        <v>8242</v>
      </c>
      <c r="Y654" s="216" t="s">
        <v>65</v>
      </c>
      <c r="Z654" s="145" t="s">
        <v>8243</v>
      </c>
      <c r="AA654" s="149" t="s">
        <v>8244</v>
      </c>
      <c r="AB654" s="149" t="s">
        <v>8244</v>
      </c>
      <c r="AC654" s="189" t="s">
        <v>8182</v>
      </c>
      <c r="AD654" s="145"/>
      <c r="AE654" s="145"/>
      <c r="AF654" s="145"/>
      <c r="AG654" s="145"/>
      <c r="AH654" s="145"/>
      <c r="AI654" s="145"/>
      <c r="AJ654" s="129"/>
      <c r="AK654" s="208" t="s">
        <v>8245</v>
      </c>
      <c r="AL654" s="217"/>
      <c r="AM654" s="218"/>
    </row>
    <row r="655" spans="1:39" ht="28.5">
      <c r="A655" s="137">
        <f>SUBTOTAL(3,$B$3:B655)</f>
        <v>653</v>
      </c>
      <c r="B655" s="203" t="s">
        <v>8183</v>
      </c>
      <c r="C655" s="163" t="s">
        <v>8246</v>
      </c>
      <c r="D655" s="163" t="s">
        <v>8247</v>
      </c>
      <c r="E655" s="129" t="s">
        <v>8248</v>
      </c>
      <c r="F655" s="129" t="s">
        <v>8249</v>
      </c>
      <c r="G655" s="129" t="s">
        <v>2345</v>
      </c>
      <c r="H655" s="129" t="s">
        <v>8250</v>
      </c>
      <c r="I655" s="129" t="s">
        <v>40</v>
      </c>
      <c r="J655" s="188">
        <v>37520</v>
      </c>
      <c r="K655" s="129" t="s">
        <v>41</v>
      </c>
      <c r="L655" s="129" t="s">
        <v>42</v>
      </c>
      <c r="M655" s="163" t="s">
        <v>4016</v>
      </c>
      <c r="N655" s="188">
        <v>45550</v>
      </c>
      <c r="O655" s="163" t="s">
        <v>44</v>
      </c>
      <c r="P655" s="129" t="s">
        <v>2347</v>
      </c>
      <c r="Q655" s="129" t="s">
        <v>3676</v>
      </c>
      <c r="R655" s="163">
        <v>9998566163</v>
      </c>
      <c r="S655" s="129">
        <v>36098</v>
      </c>
      <c r="T655" s="160">
        <v>101934893312</v>
      </c>
      <c r="U655" s="126" t="s">
        <v>8251</v>
      </c>
      <c r="V655" s="151">
        <v>3715672840</v>
      </c>
      <c r="W655" s="145" t="s">
        <v>8252</v>
      </c>
      <c r="X655" s="145" t="s">
        <v>8253</v>
      </c>
      <c r="Y655" s="216" t="s">
        <v>132</v>
      </c>
      <c r="Z655" s="145" t="s">
        <v>5759</v>
      </c>
      <c r="AA655" s="149" t="s">
        <v>8254</v>
      </c>
      <c r="AB655" s="149" t="s">
        <v>8255</v>
      </c>
      <c r="AC655" s="189" t="s">
        <v>8183</v>
      </c>
      <c r="AD655" s="145"/>
      <c r="AE655" s="145"/>
      <c r="AF655" s="145"/>
      <c r="AG655" s="145"/>
      <c r="AH655" s="145"/>
      <c r="AI655" s="145"/>
      <c r="AJ655" s="129"/>
      <c r="AK655" s="208" t="s">
        <v>8256</v>
      </c>
      <c r="AL655" s="217"/>
      <c r="AM655" s="218"/>
    </row>
    <row r="656" spans="1:39" ht="28.5">
      <c r="A656" s="137">
        <f>SUBTOTAL(3,$B$3:B656)</f>
        <v>654</v>
      </c>
      <c r="B656" s="203" t="s">
        <v>8184</v>
      </c>
      <c r="C656" s="163" t="s">
        <v>8187</v>
      </c>
      <c r="D656" s="163" t="s">
        <v>8187</v>
      </c>
      <c r="E656" s="129" t="s">
        <v>6236</v>
      </c>
      <c r="F656" s="129" t="s">
        <v>8188</v>
      </c>
      <c r="G656" s="129" t="s">
        <v>2345</v>
      </c>
      <c r="H656" s="129" t="s">
        <v>8189</v>
      </c>
      <c r="I656" s="129" t="s">
        <v>40</v>
      </c>
      <c r="J656" s="188">
        <v>37152</v>
      </c>
      <c r="K656" s="129" t="s">
        <v>41</v>
      </c>
      <c r="L656" s="129" t="s">
        <v>42</v>
      </c>
      <c r="M656" s="163" t="s">
        <v>4222</v>
      </c>
      <c r="N656" s="188">
        <v>45551</v>
      </c>
      <c r="O656" s="163" t="s">
        <v>2981</v>
      </c>
      <c r="P656" s="129" t="s">
        <v>2347</v>
      </c>
      <c r="Q656" s="129" t="s">
        <v>3676</v>
      </c>
      <c r="R656" s="163">
        <v>9313548182</v>
      </c>
      <c r="S656" s="129">
        <v>36100</v>
      </c>
      <c r="T656" s="160">
        <v>102122911224</v>
      </c>
      <c r="U656" s="126" t="s">
        <v>7193</v>
      </c>
      <c r="V656" s="151">
        <v>3715672867</v>
      </c>
      <c r="W656" s="145" t="s">
        <v>8190</v>
      </c>
      <c r="X656" s="145" t="s">
        <v>8192</v>
      </c>
      <c r="Y656" s="216" t="s">
        <v>552</v>
      </c>
      <c r="Z656" s="145" t="s">
        <v>8191</v>
      </c>
      <c r="AA656" s="149" t="s">
        <v>8193</v>
      </c>
      <c r="AB656" s="149" t="s">
        <v>8193</v>
      </c>
      <c r="AC656" s="189" t="s">
        <v>8184</v>
      </c>
      <c r="AD656" s="145"/>
      <c r="AE656" s="145"/>
      <c r="AF656" s="145"/>
      <c r="AG656" s="145"/>
      <c r="AH656" s="145"/>
      <c r="AI656" s="145"/>
      <c r="AJ656" s="129"/>
      <c r="AK656" s="208" t="s">
        <v>8194</v>
      </c>
      <c r="AL656" s="217"/>
      <c r="AM656" s="218"/>
    </row>
    <row r="657" spans="1:39" ht="28.5">
      <c r="A657" s="137">
        <f>SUBTOTAL(3,$B$3:B657)</f>
        <v>655</v>
      </c>
      <c r="B657" s="203" t="s">
        <v>8185</v>
      </c>
      <c r="C657" s="163" t="s">
        <v>8195</v>
      </c>
      <c r="D657" s="163" t="s">
        <v>8195</v>
      </c>
      <c r="E657" s="129" t="s">
        <v>8196</v>
      </c>
      <c r="F657" s="129" t="s">
        <v>4336</v>
      </c>
      <c r="G657" s="129" t="s">
        <v>2345</v>
      </c>
      <c r="H657" s="129" t="s">
        <v>8197</v>
      </c>
      <c r="I657" s="129" t="s">
        <v>40</v>
      </c>
      <c r="J657" s="188">
        <v>37660</v>
      </c>
      <c r="K657" s="129" t="s">
        <v>41</v>
      </c>
      <c r="L657" s="129" t="s">
        <v>42</v>
      </c>
      <c r="M657" s="163" t="s">
        <v>4222</v>
      </c>
      <c r="N657" s="188">
        <v>45551</v>
      </c>
      <c r="O657" s="163" t="s">
        <v>2981</v>
      </c>
      <c r="P657" s="129" t="s">
        <v>2347</v>
      </c>
      <c r="Q657" s="129" t="s">
        <v>3676</v>
      </c>
      <c r="R657" s="163">
        <v>9924802871</v>
      </c>
      <c r="S657" s="129">
        <v>36095</v>
      </c>
      <c r="T657" s="160">
        <v>102122911173</v>
      </c>
      <c r="U657" s="126" t="s">
        <v>7193</v>
      </c>
      <c r="V657" s="151">
        <v>3715672923</v>
      </c>
      <c r="W657" s="145" t="s">
        <v>8198</v>
      </c>
      <c r="X657" s="145" t="s">
        <v>8199</v>
      </c>
      <c r="Y657" s="216" t="s">
        <v>7017</v>
      </c>
      <c r="Z657" s="145" t="s">
        <v>7018</v>
      </c>
      <c r="AA657" s="149" t="s">
        <v>8200</v>
      </c>
      <c r="AB657" s="149" t="s">
        <v>8200</v>
      </c>
      <c r="AC657" s="189" t="s">
        <v>8185</v>
      </c>
      <c r="AD657" s="145"/>
      <c r="AE657" s="145"/>
      <c r="AF657" s="145"/>
      <c r="AG657" s="145"/>
      <c r="AH657" s="145"/>
      <c r="AI657" s="145"/>
      <c r="AJ657" s="129"/>
      <c r="AK657" s="208" t="s">
        <v>8201</v>
      </c>
      <c r="AL657" s="217"/>
      <c r="AM657" s="218"/>
    </row>
    <row r="658" spans="1:39" ht="28.5">
      <c r="A658" s="137">
        <f>SUBTOTAL(3,$B$3:B658)</f>
        <v>656</v>
      </c>
      <c r="B658" s="203" t="s">
        <v>8186</v>
      </c>
      <c r="C658" s="163" t="s">
        <v>8202</v>
      </c>
      <c r="D658" s="163" t="s">
        <v>8203</v>
      </c>
      <c r="E658" s="129" t="s">
        <v>263</v>
      </c>
      <c r="F658" s="129" t="s">
        <v>8204</v>
      </c>
      <c r="G658" s="129" t="s">
        <v>2345</v>
      </c>
      <c r="H658" s="129" t="s">
        <v>2277</v>
      </c>
      <c r="I658" s="129" t="s">
        <v>40</v>
      </c>
      <c r="J658" s="188">
        <v>35028</v>
      </c>
      <c r="K658" s="129" t="s">
        <v>41</v>
      </c>
      <c r="L658" s="129" t="s">
        <v>42</v>
      </c>
      <c r="M658" s="163" t="s">
        <v>1104</v>
      </c>
      <c r="N658" s="188">
        <v>45551</v>
      </c>
      <c r="O658" s="163" t="s">
        <v>2991</v>
      </c>
      <c r="P658" s="129" t="s">
        <v>2347</v>
      </c>
      <c r="Q658" s="129" t="s">
        <v>3676</v>
      </c>
      <c r="R658" s="163">
        <v>9904615825</v>
      </c>
      <c r="S658" s="129">
        <v>36096</v>
      </c>
      <c r="T658" s="160">
        <v>102122911194</v>
      </c>
      <c r="U658" s="126" t="s">
        <v>7193</v>
      </c>
      <c r="V658" s="148">
        <v>3715673167</v>
      </c>
      <c r="W658" s="145" t="s">
        <v>8205</v>
      </c>
      <c r="X658" s="145" t="s">
        <v>8206</v>
      </c>
      <c r="Y658" s="216" t="s">
        <v>146</v>
      </c>
      <c r="Z658" s="145" t="s">
        <v>1388</v>
      </c>
      <c r="AA658" s="149" t="s">
        <v>8207</v>
      </c>
      <c r="AB658" s="149" t="s">
        <v>8207</v>
      </c>
      <c r="AC658" s="189" t="s">
        <v>8186</v>
      </c>
      <c r="AD658" s="145"/>
      <c r="AE658" s="145"/>
      <c r="AF658" s="145"/>
      <c r="AG658" s="145"/>
      <c r="AH658" s="145"/>
      <c r="AI658" s="145"/>
      <c r="AJ658" s="129"/>
      <c r="AK658" s="208"/>
      <c r="AL658" s="217"/>
      <c r="AM658" s="218"/>
    </row>
    <row r="659" spans="1:39" ht="28.5">
      <c r="A659" s="137">
        <f>SUBTOTAL(3,$B$3:B659)</f>
        <v>657</v>
      </c>
      <c r="B659" s="203" t="s">
        <v>8257</v>
      </c>
      <c r="C659" s="163" t="s">
        <v>8264</v>
      </c>
      <c r="D659" s="163" t="s">
        <v>8265</v>
      </c>
      <c r="E659" s="129" t="s">
        <v>110</v>
      </c>
      <c r="F659" s="129" t="s">
        <v>8266</v>
      </c>
      <c r="G659" s="129" t="s">
        <v>2389</v>
      </c>
      <c r="H659" s="129" t="s">
        <v>441</v>
      </c>
      <c r="I659" s="129" t="s">
        <v>40</v>
      </c>
      <c r="J659" s="188">
        <v>35665</v>
      </c>
      <c r="K659" s="129" t="s">
        <v>41</v>
      </c>
      <c r="L659" s="129" t="s">
        <v>42</v>
      </c>
      <c r="M659" s="163" t="s">
        <v>4016</v>
      </c>
      <c r="N659" s="188">
        <v>45552</v>
      </c>
      <c r="O659" s="163" t="s">
        <v>44</v>
      </c>
      <c r="P659" s="129" t="s">
        <v>2347</v>
      </c>
      <c r="Q659" s="129" t="s">
        <v>3676</v>
      </c>
      <c r="R659" s="163" t="s">
        <v>8267</v>
      </c>
      <c r="S659" s="129">
        <v>36103</v>
      </c>
      <c r="T659" s="160">
        <v>101857382051</v>
      </c>
      <c r="U659" s="126" t="s">
        <v>8268</v>
      </c>
      <c r="V659" s="151">
        <v>3715672995</v>
      </c>
      <c r="W659" s="145" t="s">
        <v>8269</v>
      </c>
      <c r="X659" s="145" t="s">
        <v>8270</v>
      </c>
      <c r="Y659" s="216" t="s">
        <v>146</v>
      </c>
      <c r="Z659" s="145" t="s">
        <v>4316</v>
      </c>
      <c r="AA659" s="149" t="s">
        <v>8271</v>
      </c>
      <c r="AB659" s="149" t="s">
        <v>8271</v>
      </c>
      <c r="AC659" s="189" t="s">
        <v>8257</v>
      </c>
      <c r="AD659" s="145"/>
      <c r="AE659" s="145"/>
      <c r="AF659" s="145"/>
      <c r="AG659" s="145"/>
      <c r="AH659" s="145"/>
      <c r="AI659" s="145"/>
      <c r="AJ659" s="129"/>
      <c r="AK659" s="208" t="s">
        <v>8272</v>
      </c>
      <c r="AL659" s="217"/>
      <c r="AM659" s="218"/>
    </row>
    <row r="660" spans="1:39" ht="28.5">
      <c r="A660" s="137">
        <f>SUBTOTAL(3,$B$3:B660)</f>
        <v>658</v>
      </c>
      <c r="B660" s="203" t="s">
        <v>8258</v>
      </c>
      <c r="C660" s="163" t="s">
        <v>8273</v>
      </c>
      <c r="D660" s="163" t="s">
        <v>8274</v>
      </c>
      <c r="E660" s="129" t="s">
        <v>291</v>
      </c>
      <c r="F660" s="129" t="s">
        <v>8275</v>
      </c>
      <c r="G660" s="129" t="s">
        <v>2345</v>
      </c>
      <c r="H660" s="129" t="s">
        <v>1139</v>
      </c>
      <c r="I660" s="129" t="s">
        <v>40</v>
      </c>
      <c r="J660" s="188">
        <v>36484</v>
      </c>
      <c r="K660" s="129" t="s">
        <v>41</v>
      </c>
      <c r="L660" s="129" t="s">
        <v>42</v>
      </c>
      <c r="M660" s="163" t="s">
        <v>6752</v>
      </c>
      <c r="N660" s="188">
        <v>45552</v>
      </c>
      <c r="O660" s="163" t="s">
        <v>44</v>
      </c>
      <c r="P660" s="129" t="s">
        <v>2347</v>
      </c>
      <c r="Q660" s="129" t="s">
        <v>3676</v>
      </c>
      <c r="R660" s="163" t="s">
        <v>8276</v>
      </c>
      <c r="S660" s="129">
        <v>36101</v>
      </c>
      <c r="T660" s="160">
        <v>101806827083</v>
      </c>
      <c r="U660" s="126" t="s">
        <v>8277</v>
      </c>
      <c r="V660" s="151">
        <v>3715673015</v>
      </c>
      <c r="W660" s="145" t="s">
        <v>8278</v>
      </c>
      <c r="X660" s="145" t="s">
        <v>8279</v>
      </c>
      <c r="Y660" s="216" t="s">
        <v>146</v>
      </c>
      <c r="Z660" s="145" t="s">
        <v>145</v>
      </c>
      <c r="AA660" s="149" t="s">
        <v>8280</v>
      </c>
      <c r="AB660" s="149" t="s">
        <v>8280</v>
      </c>
      <c r="AC660" s="189" t="s">
        <v>8258</v>
      </c>
      <c r="AD660" s="145"/>
      <c r="AE660" s="145"/>
      <c r="AF660" s="145"/>
      <c r="AG660" s="145"/>
      <c r="AH660" s="145"/>
      <c r="AI660" s="145"/>
      <c r="AJ660" s="129"/>
      <c r="AK660" s="208" t="s">
        <v>8281</v>
      </c>
      <c r="AL660" s="217"/>
      <c r="AM660" s="218"/>
    </row>
    <row r="661" spans="1:39" ht="28.5">
      <c r="A661" s="137">
        <f>SUBTOTAL(3,$B$3:B661)</f>
        <v>659</v>
      </c>
      <c r="B661" s="203" t="s">
        <v>8259</v>
      </c>
      <c r="C661" s="163" t="s">
        <v>8282</v>
      </c>
      <c r="D661" s="163" t="s">
        <v>8282</v>
      </c>
      <c r="E661" s="129" t="s">
        <v>8283</v>
      </c>
      <c r="F661" s="129" t="s">
        <v>8284</v>
      </c>
      <c r="G661" s="129" t="s">
        <v>2389</v>
      </c>
      <c r="H661" s="129" t="s">
        <v>8285</v>
      </c>
      <c r="I661" s="129" t="s">
        <v>40</v>
      </c>
      <c r="J661" s="188">
        <v>37336</v>
      </c>
      <c r="K661" s="129" t="s">
        <v>41</v>
      </c>
      <c r="L661" s="129" t="s">
        <v>42</v>
      </c>
      <c r="M661" s="163" t="s">
        <v>4222</v>
      </c>
      <c r="N661" s="188">
        <v>45552</v>
      </c>
      <c r="O661" s="163" t="s">
        <v>2981</v>
      </c>
      <c r="P661" s="129" t="s">
        <v>2347</v>
      </c>
      <c r="Q661" s="129" t="s">
        <v>3676</v>
      </c>
      <c r="R661" s="163" t="s">
        <v>8286</v>
      </c>
      <c r="S661" s="129">
        <v>36099</v>
      </c>
      <c r="T661" s="160">
        <v>102122911211</v>
      </c>
      <c r="U661" s="126" t="s">
        <v>8287</v>
      </c>
      <c r="V661" s="151">
        <v>3715673028</v>
      </c>
      <c r="W661" s="145" t="s">
        <v>8288</v>
      </c>
      <c r="X661" s="145" t="s">
        <v>8289</v>
      </c>
      <c r="Y661" s="216" t="s">
        <v>146</v>
      </c>
      <c r="Z661" s="145" t="s">
        <v>8290</v>
      </c>
      <c r="AA661" s="149" t="s">
        <v>8291</v>
      </c>
      <c r="AB661" s="149" t="s">
        <v>8292</v>
      </c>
      <c r="AC661" s="189" t="s">
        <v>8259</v>
      </c>
      <c r="AD661" s="145"/>
      <c r="AE661" s="145"/>
      <c r="AF661" s="145"/>
      <c r="AG661" s="145"/>
      <c r="AH661" s="145"/>
      <c r="AI661" s="145"/>
      <c r="AJ661" s="129"/>
      <c r="AK661" s="208" t="s">
        <v>8293</v>
      </c>
      <c r="AL661" s="217"/>
      <c r="AM661" s="218"/>
    </row>
    <row r="662" spans="1:39" ht="28.5">
      <c r="A662" s="137">
        <f>SUBTOTAL(3,$B$3:B662)</f>
        <v>660</v>
      </c>
      <c r="B662" s="203" t="s">
        <v>8260</v>
      </c>
      <c r="C662" s="163" t="s">
        <v>8294</v>
      </c>
      <c r="D662" s="163" t="s">
        <v>8294</v>
      </c>
      <c r="E662" s="129" t="s">
        <v>2421</v>
      </c>
      <c r="F662" s="129" t="s">
        <v>3134</v>
      </c>
      <c r="G662" s="129" t="s">
        <v>2389</v>
      </c>
      <c r="H662" s="129" t="s">
        <v>8295</v>
      </c>
      <c r="I662" s="129" t="s">
        <v>40</v>
      </c>
      <c r="J662" s="188">
        <v>37187</v>
      </c>
      <c r="K662" s="129" t="s">
        <v>41</v>
      </c>
      <c r="L662" s="129" t="s">
        <v>42</v>
      </c>
      <c r="M662" s="163" t="s">
        <v>6752</v>
      </c>
      <c r="N662" s="188">
        <v>45554</v>
      </c>
      <c r="O662" s="163" t="s">
        <v>44</v>
      </c>
      <c r="P662" s="129" t="s">
        <v>2347</v>
      </c>
      <c r="Q662" s="129" t="s">
        <v>3676</v>
      </c>
      <c r="R662" s="163" t="s">
        <v>8296</v>
      </c>
      <c r="S662" s="129">
        <v>36094</v>
      </c>
      <c r="T662" s="160">
        <v>102080064367</v>
      </c>
      <c r="U662" s="126" t="s">
        <v>8297</v>
      </c>
      <c r="V662" s="151">
        <v>3715673057</v>
      </c>
      <c r="W662" s="145" t="s">
        <v>8298</v>
      </c>
      <c r="X662" s="145" t="s">
        <v>8299</v>
      </c>
      <c r="Y662" s="216" t="s">
        <v>65</v>
      </c>
      <c r="Z662" s="145" t="s">
        <v>8300</v>
      </c>
      <c r="AA662" s="149" t="s">
        <v>8301</v>
      </c>
      <c r="AB662" s="149" t="s">
        <v>8302</v>
      </c>
      <c r="AC662" s="189" t="s">
        <v>8260</v>
      </c>
      <c r="AD662" s="145"/>
      <c r="AE662" s="145"/>
      <c r="AF662" s="145"/>
      <c r="AG662" s="145"/>
      <c r="AH662" s="145"/>
      <c r="AI662" s="145"/>
      <c r="AJ662" s="129"/>
      <c r="AK662" s="208" t="s">
        <v>8303</v>
      </c>
      <c r="AL662" s="217"/>
      <c r="AM662" s="218"/>
    </row>
    <row r="663" spans="1:39" ht="28.5">
      <c r="A663" s="137">
        <f>SUBTOTAL(3,$B$3:B663)</f>
        <v>661</v>
      </c>
      <c r="B663" s="203" t="s">
        <v>8261</v>
      </c>
      <c r="C663" s="163" t="s">
        <v>8304</v>
      </c>
      <c r="D663" s="163" t="s">
        <v>8304</v>
      </c>
      <c r="E663" s="129" t="s">
        <v>544</v>
      </c>
      <c r="F663" s="129" t="s">
        <v>2026</v>
      </c>
      <c r="G663" s="129" t="s">
        <v>2389</v>
      </c>
      <c r="H663" s="129" t="s">
        <v>138</v>
      </c>
      <c r="I663" s="129" t="s">
        <v>40</v>
      </c>
      <c r="J663" s="188">
        <v>37741</v>
      </c>
      <c r="K663" s="129" t="s">
        <v>41</v>
      </c>
      <c r="L663" s="129" t="s">
        <v>42</v>
      </c>
      <c r="M663" s="163" t="s">
        <v>4222</v>
      </c>
      <c r="N663" s="188">
        <v>45553</v>
      </c>
      <c r="O663" s="163" t="s">
        <v>2981</v>
      </c>
      <c r="P663" s="129" t="s">
        <v>2347</v>
      </c>
      <c r="Q663" s="129" t="s">
        <v>3676</v>
      </c>
      <c r="R663" s="163">
        <v>9328752618</v>
      </c>
      <c r="S663" s="129">
        <v>36104</v>
      </c>
      <c r="T663" s="160">
        <v>102122911248</v>
      </c>
      <c r="U663" s="126" t="s">
        <v>8305</v>
      </c>
      <c r="V663" s="151">
        <v>3715673081</v>
      </c>
      <c r="W663" s="145" t="s">
        <v>8306</v>
      </c>
      <c r="X663" s="145" t="s">
        <v>8307</v>
      </c>
      <c r="Y663" s="216" t="s">
        <v>146</v>
      </c>
      <c r="Z663" s="145" t="s">
        <v>8308</v>
      </c>
      <c r="AA663" s="149" t="s">
        <v>8291</v>
      </c>
      <c r="AB663" s="149" t="s">
        <v>8309</v>
      </c>
      <c r="AC663" s="189" t="s">
        <v>8261</v>
      </c>
      <c r="AD663" s="145"/>
      <c r="AE663" s="145"/>
      <c r="AF663" s="145"/>
      <c r="AG663" s="145"/>
      <c r="AH663" s="145"/>
      <c r="AI663" s="145"/>
      <c r="AJ663" s="129"/>
      <c r="AK663" s="208" t="s">
        <v>8310</v>
      </c>
      <c r="AL663" s="217"/>
      <c r="AM663" s="218"/>
    </row>
    <row r="664" spans="1:39" ht="28.5">
      <c r="A664" s="137">
        <f>SUBTOTAL(3,$B$3:B664)</f>
        <v>662</v>
      </c>
      <c r="B664" s="203" t="s">
        <v>8262</v>
      </c>
      <c r="C664" s="163" t="s">
        <v>8311</v>
      </c>
      <c r="D664" s="163" t="s">
        <v>8312</v>
      </c>
      <c r="E664" s="129" t="s">
        <v>291</v>
      </c>
      <c r="F664" s="129" t="s">
        <v>8313</v>
      </c>
      <c r="G664" s="129" t="s">
        <v>2389</v>
      </c>
      <c r="H664" s="129" t="s">
        <v>507</v>
      </c>
      <c r="I664" s="129" t="s">
        <v>40</v>
      </c>
      <c r="J664" s="188">
        <v>37725</v>
      </c>
      <c r="K664" s="129" t="s">
        <v>41</v>
      </c>
      <c r="L664" s="129" t="s">
        <v>42</v>
      </c>
      <c r="M664" s="163" t="s">
        <v>1044</v>
      </c>
      <c r="N664" s="188">
        <v>45558</v>
      </c>
      <c r="O664" s="163" t="s">
        <v>2991</v>
      </c>
      <c r="P664" s="129" t="s">
        <v>2347</v>
      </c>
      <c r="Q664" s="129" t="s">
        <v>3676</v>
      </c>
      <c r="R664" s="163">
        <v>8487889167</v>
      </c>
      <c r="S664" s="129">
        <v>36102</v>
      </c>
      <c r="T664" s="160">
        <v>102122911230</v>
      </c>
      <c r="U664" s="126" t="s">
        <v>8314</v>
      </c>
      <c r="V664" s="151">
        <v>3715673111</v>
      </c>
      <c r="W664" s="145" t="s">
        <v>8315</v>
      </c>
      <c r="X664" s="145" t="s">
        <v>8326</v>
      </c>
      <c r="Y664" s="216" t="s">
        <v>1289</v>
      </c>
      <c r="Z664" s="145" t="s">
        <v>2649</v>
      </c>
      <c r="AA664" s="149" t="s">
        <v>5668</v>
      </c>
      <c r="AB664" s="149" t="s">
        <v>5668</v>
      </c>
      <c r="AC664" s="189" t="s">
        <v>8262</v>
      </c>
      <c r="AD664" s="145"/>
      <c r="AE664" s="145"/>
      <c r="AF664" s="145"/>
      <c r="AG664" s="145"/>
      <c r="AH664" s="145"/>
      <c r="AI664" s="145"/>
      <c r="AJ664" s="129"/>
      <c r="AK664" s="208" t="s">
        <v>8316</v>
      </c>
      <c r="AL664" s="217"/>
      <c r="AM664" s="218"/>
    </row>
    <row r="665" spans="1:39" ht="28.5">
      <c r="A665" s="137">
        <f>SUBTOTAL(3,$B$3:B665)</f>
        <v>663</v>
      </c>
      <c r="B665" s="203" t="s">
        <v>8263</v>
      </c>
      <c r="C665" s="163" t="s">
        <v>8317</v>
      </c>
      <c r="D665" s="163" t="s">
        <v>8317</v>
      </c>
      <c r="E665" s="129" t="s">
        <v>8318</v>
      </c>
      <c r="F665" s="129" t="s">
        <v>8319</v>
      </c>
      <c r="G665" s="129" t="s">
        <v>2345</v>
      </c>
      <c r="H665" s="129" t="s">
        <v>8320</v>
      </c>
      <c r="I665" s="129" t="s">
        <v>40</v>
      </c>
      <c r="J665" s="188">
        <v>33045</v>
      </c>
      <c r="K665" s="129" t="s">
        <v>280</v>
      </c>
      <c r="L665" s="129" t="s">
        <v>42</v>
      </c>
      <c r="M665" s="163" t="s">
        <v>1104</v>
      </c>
      <c r="N665" s="188">
        <v>45558</v>
      </c>
      <c r="O665" s="163" t="s">
        <v>2991</v>
      </c>
      <c r="P665" s="129" t="s">
        <v>2347</v>
      </c>
      <c r="Q665" s="129" t="s">
        <v>3676</v>
      </c>
      <c r="R665" s="163">
        <v>7698975747</v>
      </c>
      <c r="S665" s="129">
        <v>35736</v>
      </c>
      <c r="T665" s="160">
        <v>102101071766</v>
      </c>
      <c r="U665" s="126" t="s">
        <v>8321</v>
      </c>
      <c r="V665" s="151">
        <v>3715580871</v>
      </c>
      <c r="W665" s="145" t="s">
        <v>8322</v>
      </c>
      <c r="X665" s="145" t="s">
        <v>8323</v>
      </c>
      <c r="Y665" s="216" t="s">
        <v>132</v>
      </c>
      <c r="Z665" s="145" t="s">
        <v>793</v>
      </c>
      <c r="AA665" s="149" t="s">
        <v>8324</v>
      </c>
      <c r="AB665" s="149" t="s">
        <v>8324</v>
      </c>
      <c r="AC665" s="189" t="s">
        <v>8263</v>
      </c>
      <c r="AD665" s="145"/>
      <c r="AE665" s="145"/>
      <c r="AF665" s="145"/>
      <c r="AG665" s="145"/>
      <c r="AH665" s="145"/>
      <c r="AI665" s="145"/>
      <c r="AJ665" s="129"/>
      <c r="AK665" s="219" t="s">
        <v>8325</v>
      </c>
      <c r="AL665" s="217"/>
      <c r="AM665" s="218"/>
    </row>
    <row r="666" spans="1:39" ht="42.75">
      <c r="A666" s="137">
        <f>SUBTOTAL(3,$B$3:B666)</f>
        <v>664</v>
      </c>
      <c r="B666" s="203" t="s">
        <v>8327</v>
      </c>
      <c r="C666" s="163" t="s">
        <v>8385</v>
      </c>
      <c r="D666" s="163" t="s">
        <v>8385</v>
      </c>
      <c r="E666" s="129" t="s">
        <v>1172</v>
      </c>
      <c r="F666" s="129" t="s">
        <v>7409</v>
      </c>
      <c r="G666" s="129" t="s">
        <v>2345</v>
      </c>
      <c r="H666" s="129" t="s">
        <v>124</v>
      </c>
      <c r="I666" s="129" t="s">
        <v>40</v>
      </c>
      <c r="J666" s="188">
        <v>36378</v>
      </c>
      <c r="K666" s="129" t="s">
        <v>280</v>
      </c>
      <c r="L666" s="129" t="s">
        <v>42</v>
      </c>
      <c r="M666" s="163" t="s">
        <v>8386</v>
      </c>
      <c r="N666" s="188">
        <v>45577</v>
      </c>
      <c r="O666" s="163" t="s">
        <v>2981</v>
      </c>
      <c r="P666" s="129" t="s">
        <v>2347</v>
      </c>
      <c r="Q666" s="129" t="s">
        <v>3676</v>
      </c>
      <c r="R666" s="163">
        <v>6352373801</v>
      </c>
      <c r="S666" s="129">
        <v>36239</v>
      </c>
      <c r="T666" s="160">
        <v>102057770962</v>
      </c>
      <c r="U666" s="126" t="s">
        <v>8387</v>
      </c>
      <c r="V666" s="151">
        <v>3715703725</v>
      </c>
      <c r="W666" s="145" t="s">
        <v>8388</v>
      </c>
      <c r="X666" s="145" t="s">
        <v>8389</v>
      </c>
      <c r="Y666" s="216" t="s">
        <v>65</v>
      </c>
      <c r="Z666" s="145" t="s">
        <v>8390</v>
      </c>
      <c r="AA666" s="149" t="s">
        <v>8391</v>
      </c>
      <c r="AB666" s="149" t="s">
        <v>8391</v>
      </c>
      <c r="AC666" s="189" t="s">
        <v>8327</v>
      </c>
      <c r="AD666" s="145"/>
      <c r="AE666" s="145"/>
      <c r="AF666" s="145"/>
      <c r="AG666" s="145"/>
      <c r="AH666" s="145"/>
      <c r="AI666" s="145"/>
      <c r="AJ666" s="129"/>
      <c r="AK666" s="220" t="s">
        <v>8392</v>
      </c>
      <c r="AL666" s="217"/>
      <c r="AM666" s="218"/>
    </row>
    <row r="667" spans="1:39" ht="42.75">
      <c r="A667" s="137">
        <f>SUBTOTAL(3,$B$3:B667)</f>
        <v>665</v>
      </c>
      <c r="B667" s="203" t="s">
        <v>8328</v>
      </c>
      <c r="C667" s="163" t="s">
        <v>8332</v>
      </c>
      <c r="D667" s="163" t="s">
        <v>8333</v>
      </c>
      <c r="E667" s="129" t="s">
        <v>8334</v>
      </c>
      <c r="F667" s="129" t="s">
        <v>8335</v>
      </c>
      <c r="G667" s="129" t="s">
        <v>2345</v>
      </c>
      <c r="H667" s="129" t="s">
        <v>8336</v>
      </c>
      <c r="I667" s="129" t="s">
        <v>40</v>
      </c>
      <c r="J667" s="188">
        <v>37413</v>
      </c>
      <c r="K667" s="129" t="s">
        <v>41</v>
      </c>
      <c r="L667" s="129" t="s">
        <v>42</v>
      </c>
      <c r="M667" s="163" t="s">
        <v>6752</v>
      </c>
      <c r="N667" s="188">
        <v>45580</v>
      </c>
      <c r="O667" s="163" t="s">
        <v>44</v>
      </c>
      <c r="P667" s="129" t="s">
        <v>2347</v>
      </c>
      <c r="Q667" s="129" t="s">
        <v>3676</v>
      </c>
      <c r="R667" s="163">
        <v>7874009050</v>
      </c>
      <c r="S667" s="129">
        <v>36235</v>
      </c>
      <c r="T667" s="160">
        <v>102130763025</v>
      </c>
      <c r="U667" s="126" t="s">
        <v>8337</v>
      </c>
      <c r="V667" s="151">
        <v>3715703734</v>
      </c>
      <c r="W667" s="145" t="s">
        <v>8338</v>
      </c>
      <c r="X667" s="145" t="s">
        <v>8339</v>
      </c>
      <c r="Y667" s="216" t="s">
        <v>146</v>
      </c>
      <c r="Z667" s="145" t="s">
        <v>8340</v>
      </c>
      <c r="AA667" s="149" t="s">
        <v>8341</v>
      </c>
      <c r="AB667" s="149" t="s">
        <v>8341</v>
      </c>
      <c r="AC667" s="189" t="s">
        <v>8328</v>
      </c>
      <c r="AD667" s="145"/>
      <c r="AE667" s="145"/>
      <c r="AF667" s="145"/>
      <c r="AG667" s="145"/>
      <c r="AH667" s="145"/>
      <c r="AI667" s="145"/>
      <c r="AJ667" s="129"/>
      <c r="AK667" s="217"/>
      <c r="AL667" s="217"/>
      <c r="AM667" s="218"/>
    </row>
    <row r="668" spans="1:39" ht="28.5">
      <c r="A668" s="137">
        <f>SUBTOTAL(3,$B$3:B668)</f>
        <v>666</v>
      </c>
      <c r="B668" s="203" t="s">
        <v>8329</v>
      </c>
      <c r="C668" s="163" t="s">
        <v>8342</v>
      </c>
      <c r="D668" s="163" t="s">
        <v>8342</v>
      </c>
      <c r="E668" s="129" t="s">
        <v>8343</v>
      </c>
      <c r="F668" s="129" t="s">
        <v>4958</v>
      </c>
      <c r="G668" s="129" t="s">
        <v>2345</v>
      </c>
      <c r="H668" s="129" t="s">
        <v>8344</v>
      </c>
      <c r="I668" s="129" t="s">
        <v>40</v>
      </c>
      <c r="J668" s="188">
        <v>37678</v>
      </c>
      <c r="K668" s="129" t="s">
        <v>41</v>
      </c>
      <c r="L668" s="129" t="s">
        <v>42</v>
      </c>
      <c r="M668" s="163" t="s">
        <v>4016</v>
      </c>
      <c r="N668" s="188">
        <v>45580</v>
      </c>
      <c r="O668" s="163" t="s">
        <v>44</v>
      </c>
      <c r="P668" s="129" t="s">
        <v>2347</v>
      </c>
      <c r="Q668" s="129" t="s">
        <v>3676</v>
      </c>
      <c r="R668" s="163">
        <v>7485954334</v>
      </c>
      <c r="S668" s="129">
        <v>36236</v>
      </c>
      <c r="T668" s="160">
        <v>102113086154</v>
      </c>
      <c r="U668" s="126" t="s">
        <v>8345</v>
      </c>
      <c r="V668" s="151">
        <v>3715703744</v>
      </c>
      <c r="W668" s="145" t="s">
        <v>8346</v>
      </c>
      <c r="X668" s="145" t="s">
        <v>8394</v>
      </c>
      <c r="Y668" s="216" t="s">
        <v>146</v>
      </c>
      <c r="Z668" s="145" t="s">
        <v>4644</v>
      </c>
      <c r="AA668" s="149" t="s">
        <v>8347</v>
      </c>
      <c r="AB668" s="149" t="s">
        <v>8347</v>
      </c>
      <c r="AC668" s="189" t="s">
        <v>8329</v>
      </c>
      <c r="AD668" s="145"/>
      <c r="AE668" s="145"/>
      <c r="AF668" s="145"/>
      <c r="AG668" s="145"/>
      <c r="AH668" s="145"/>
      <c r="AI668" s="145"/>
      <c r="AJ668" s="129"/>
      <c r="AK668" s="217"/>
      <c r="AL668" s="217"/>
      <c r="AM668" s="218"/>
    </row>
    <row r="669" spans="1:39" ht="42.75">
      <c r="A669" s="137">
        <f>SUBTOTAL(3,$B$3:B669)</f>
        <v>667</v>
      </c>
      <c r="B669" s="203" t="s">
        <v>8330</v>
      </c>
      <c r="C669" s="163" t="s">
        <v>8348</v>
      </c>
      <c r="D669" s="163" t="s">
        <v>8348</v>
      </c>
      <c r="E669" s="129" t="s">
        <v>754</v>
      </c>
      <c r="F669" s="129" t="s">
        <v>8349</v>
      </c>
      <c r="G669" s="129" t="s">
        <v>2345</v>
      </c>
      <c r="H669" s="129" t="s">
        <v>1836</v>
      </c>
      <c r="I669" s="129" t="s">
        <v>40</v>
      </c>
      <c r="J669" s="188">
        <v>37368</v>
      </c>
      <c r="K669" s="129" t="s">
        <v>41</v>
      </c>
      <c r="L669" s="129" t="s">
        <v>42</v>
      </c>
      <c r="M669" s="163" t="s">
        <v>4016</v>
      </c>
      <c r="N669" s="188">
        <v>45580</v>
      </c>
      <c r="O669" s="163" t="s">
        <v>44</v>
      </c>
      <c r="P669" s="129" t="s">
        <v>2347</v>
      </c>
      <c r="Q669" s="129" t="s">
        <v>3676</v>
      </c>
      <c r="R669" s="163">
        <v>9687307714</v>
      </c>
      <c r="S669" s="129">
        <v>36233</v>
      </c>
      <c r="T669" s="160">
        <v>101959390783</v>
      </c>
      <c r="U669" s="126" t="s">
        <v>8350</v>
      </c>
      <c r="V669" s="151">
        <v>3715703760</v>
      </c>
      <c r="W669" s="145" t="s">
        <v>8351</v>
      </c>
      <c r="X669" s="145" t="s">
        <v>8352</v>
      </c>
      <c r="Y669" s="216" t="s">
        <v>146</v>
      </c>
      <c r="Z669" s="145" t="s">
        <v>2352</v>
      </c>
      <c r="AA669" s="149" t="s">
        <v>8353</v>
      </c>
      <c r="AB669" s="149" t="s">
        <v>8353</v>
      </c>
      <c r="AC669" s="189" t="s">
        <v>8330</v>
      </c>
      <c r="AD669" s="145"/>
      <c r="AE669" s="145"/>
      <c r="AF669" s="145"/>
      <c r="AG669" s="145"/>
      <c r="AH669" s="145"/>
      <c r="AI669" s="145"/>
      <c r="AJ669" s="129"/>
      <c r="AK669" s="220" t="s">
        <v>8354</v>
      </c>
      <c r="AL669" s="217"/>
      <c r="AM669" s="218"/>
    </row>
    <row r="670" spans="1:39" ht="28.5">
      <c r="A670" s="137">
        <f>SUBTOTAL(3,$B$3:B670)</f>
        <v>668</v>
      </c>
      <c r="B670" s="203" t="s">
        <v>8331</v>
      </c>
      <c r="C670" s="163" t="s">
        <v>8355</v>
      </c>
      <c r="D670" s="163" t="s">
        <v>8355</v>
      </c>
      <c r="E670" s="129" t="s">
        <v>8356</v>
      </c>
      <c r="F670" s="129" t="s">
        <v>8357</v>
      </c>
      <c r="G670" s="129" t="s">
        <v>2345</v>
      </c>
      <c r="H670" s="129" t="s">
        <v>8358</v>
      </c>
      <c r="I670" s="129" t="s">
        <v>40</v>
      </c>
      <c r="J670" s="188">
        <v>36785</v>
      </c>
      <c r="K670" s="129" t="s">
        <v>41</v>
      </c>
      <c r="L670" s="129" t="s">
        <v>42</v>
      </c>
      <c r="M670" s="163" t="s">
        <v>4016</v>
      </c>
      <c r="N670" s="188">
        <v>45580</v>
      </c>
      <c r="O670" s="163" t="s">
        <v>44</v>
      </c>
      <c r="P670" s="129" t="s">
        <v>2347</v>
      </c>
      <c r="Q670" s="129" t="s">
        <v>3676</v>
      </c>
      <c r="R670" s="163" t="s">
        <v>8359</v>
      </c>
      <c r="S670" s="129">
        <v>36234</v>
      </c>
      <c r="T670" s="160">
        <v>102080904732</v>
      </c>
      <c r="U670" s="126" t="s">
        <v>7193</v>
      </c>
      <c r="V670" s="151">
        <v>3715703784</v>
      </c>
      <c r="W670" s="145" t="s">
        <v>8360</v>
      </c>
      <c r="X670" s="145" t="s">
        <v>8361</v>
      </c>
      <c r="Y670" s="216" t="s">
        <v>65</v>
      </c>
      <c r="Z670" s="145" t="s">
        <v>8362</v>
      </c>
      <c r="AA670" s="149" t="s">
        <v>8363</v>
      </c>
      <c r="AB670" s="149" t="s">
        <v>8363</v>
      </c>
      <c r="AC670" s="189" t="s">
        <v>8331</v>
      </c>
      <c r="AD670" s="145"/>
      <c r="AE670" s="145"/>
      <c r="AF670" s="145"/>
      <c r="AG670" s="145"/>
      <c r="AH670" s="145"/>
      <c r="AI670" s="145"/>
      <c r="AJ670" s="129"/>
      <c r="AK670" s="220" t="s">
        <v>8364</v>
      </c>
      <c r="AL670" s="217"/>
      <c r="AM670" s="218"/>
    </row>
    <row r="671" spans="1:39" ht="28.5">
      <c r="A671" s="137">
        <f>SUBTOTAL(3,$B$3:B671)</f>
        <v>669</v>
      </c>
      <c r="B671" s="203" t="s">
        <v>8365</v>
      </c>
      <c r="C671" s="163" t="s">
        <v>8366</v>
      </c>
      <c r="D671" s="163" t="s">
        <v>8367</v>
      </c>
      <c r="E671" s="129" t="s">
        <v>8368</v>
      </c>
      <c r="F671" s="129" t="s">
        <v>8369</v>
      </c>
      <c r="G671" s="129" t="s">
        <v>2345</v>
      </c>
      <c r="H671" s="129" t="s">
        <v>417</v>
      </c>
      <c r="I671" s="129" t="s">
        <v>40</v>
      </c>
      <c r="J671" s="188">
        <v>37862</v>
      </c>
      <c r="K671" s="129" t="s">
        <v>41</v>
      </c>
      <c r="L671" s="129" t="s">
        <v>42</v>
      </c>
      <c r="M671" s="163" t="s">
        <v>4016</v>
      </c>
      <c r="N671" s="188">
        <v>45582</v>
      </c>
      <c r="O671" s="163" t="s">
        <v>44</v>
      </c>
      <c r="P671" s="129" t="s">
        <v>2347</v>
      </c>
      <c r="Q671" s="129" t="s">
        <v>3676</v>
      </c>
      <c r="R671" s="163">
        <v>8155881458</v>
      </c>
      <c r="S671" s="129">
        <v>36238</v>
      </c>
      <c r="T671" s="160">
        <v>102068090665</v>
      </c>
      <c r="U671" s="126" t="s">
        <v>8370</v>
      </c>
      <c r="V671" s="151">
        <v>3715703806</v>
      </c>
      <c r="W671" s="145" t="s">
        <v>8371</v>
      </c>
      <c r="X671" s="145" t="s">
        <v>8372</v>
      </c>
      <c r="Y671" s="216" t="s">
        <v>146</v>
      </c>
      <c r="Z671" s="145" t="s">
        <v>6827</v>
      </c>
      <c r="AA671" s="149" t="s">
        <v>8373</v>
      </c>
      <c r="AB671" s="149" t="s">
        <v>8373</v>
      </c>
      <c r="AC671" s="189" t="s">
        <v>8365</v>
      </c>
      <c r="AD671" s="145"/>
      <c r="AE671" s="145"/>
      <c r="AF671" s="145"/>
      <c r="AG671" s="145"/>
      <c r="AH671" s="145"/>
      <c r="AI671" s="145"/>
      <c r="AJ671" s="129"/>
      <c r="AK671" s="220" t="s">
        <v>8374</v>
      </c>
      <c r="AL671" s="217"/>
      <c r="AM671" s="218"/>
    </row>
    <row r="672" spans="1:39" ht="28.5">
      <c r="A672" s="137">
        <f>SUBTOTAL(3,$B$3:B672)</f>
        <v>670</v>
      </c>
      <c r="B672" s="203" t="s">
        <v>8375</v>
      </c>
      <c r="C672" s="163" t="s">
        <v>8376</v>
      </c>
      <c r="D672" s="163" t="s">
        <v>8393</v>
      </c>
      <c r="E672" s="129" t="s">
        <v>2878</v>
      </c>
      <c r="F672" s="129" t="s">
        <v>8377</v>
      </c>
      <c r="G672" s="129" t="s">
        <v>2389</v>
      </c>
      <c r="H672" s="129" t="s">
        <v>570</v>
      </c>
      <c r="I672" s="129" t="s">
        <v>40</v>
      </c>
      <c r="J672" s="188">
        <v>36743</v>
      </c>
      <c r="K672" s="129" t="s">
        <v>41</v>
      </c>
      <c r="L672" s="129" t="s">
        <v>42</v>
      </c>
      <c r="M672" s="163" t="s">
        <v>4016</v>
      </c>
      <c r="N672" s="188">
        <v>45583</v>
      </c>
      <c r="O672" s="163" t="s">
        <v>44</v>
      </c>
      <c r="P672" s="129" t="s">
        <v>2347</v>
      </c>
      <c r="Q672" s="129" t="s">
        <v>3676</v>
      </c>
      <c r="R672" s="163" t="s">
        <v>8378</v>
      </c>
      <c r="S672" s="129">
        <v>36237</v>
      </c>
      <c r="T672" s="160">
        <v>101797950131</v>
      </c>
      <c r="U672" s="126" t="s">
        <v>8379</v>
      </c>
      <c r="V672" s="151">
        <v>3715703830</v>
      </c>
      <c r="W672" s="145" t="s">
        <v>8380</v>
      </c>
      <c r="X672" s="145" t="s">
        <v>8381</v>
      </c>
      <c r="Y672" s="216" t="s">
        <v>7017</v>
      </c>
      <c r="Z672" s="145" t="s">
        <v>8382</v>
      </c>
      <c r="AA672" s="149" t="s">
        <v>8383</v>
      </c>
      <c r="AB672" s="149" t="s">
        <v>8383</v>
      </c>
      <c r="AC672" s="189" t="s">
        <v>8375</v>
      </c>
      <c r="AD672" s="145"/>
      <c r="AE672" s="145"/>
      <c r="AF672" s="145"/>
      <c r="AG672" s="145"/>
      <c r="AH672" s="145"/>
      <c r="AI672" s="145"/>
      <c r="AJ672" s="129"/>
      <c r="AK672" s="220" t="s">
        <v>8384</v>
      </c>
      <c r="AL672" s="217"/>
      <c r="AM672" s="218"/>
    </row>
    <row r="673" spans="1:39" ht="42.75">
      <c r="A673" s="137">
        <f>SUBTOTAL(3,$B$3:B673)</f>
        <v>671</v>
      </c>
      <c r="B673" s="203" t="s">
        <v>8395</v>
      </c>
      <c r="C673" s="163" t="s">
        <v>8396</v>
      </c>
      <c r="D673" s="163" t="s">
        <v>8396</v>
      </c>
      <c r="E673" s="129" t="s">
        <v>8397</v>
      </c>
      <c r="F673" s="129" t="s">
        <v>2036</v>
      </c>
      <c r="G673" s="129" t="s">
        <v>2345</v>
      </c>
      <c r="H673" s="129" t="s">
        <v>1322</v>
      </c>
      <c r="I673" s="129" t="s">
        <v>40</v>
      </c>
      <c r="J673" s="188">
        <v>33951</v>
      </c>
      <c r="K673" s="129" t="s">
        <v>41</v>
      </c>
      <c r="L673" s="129" t="s">
        <v>42</v>
      </c>
      <c r="M673" s="163" t="s">
        <v>3684</v>
      </c>
      <c r="N673" s="188">
        <v>45587</v>
      </c>
      <c r="O673" s="163" t="s">
        <v>2621</v>
      </c>
      <c r="P673" s="129" t="s">
        <v>2347</v>
      </c>
      <c r="Q673" s="129" t="s">
        <v>3676</v>
      </c>
      <c r="R673" s="163" t="s">
        <v>8398</v>
      </c>
      <c r="S673" s="129">
        <v>36245</v>
      </c>
      <c r="T673" s="160">
        <v>101393666265</v>
      </c>
      <c r="U673" s="126" t="s">
        <v>8399</v>
      </c>
      <c r="V673" s="151">
        <v>3715710328</v>
      </c>
      <c r="W673" s="145" t="s">
        <v>8400</v>
      </c>
      <c r="X673" s="145" t="s">
        <v>8401</v>
      </c>
      <c r="Y673" s="216" t="s">
        <v>146</v>
      </c>
      <c r="Z673" s="145" t="s">
        <v>2352</v>
      </c>
      <c r="AA673" s="149" t="s">
        <v>8402</v>
      </c>
      <c r="AB673" s="149" t="s">
        <v>8402</v>
      </c>
      <c r="AC673" s="189" t="s">
        <v>8395</v>
      </c>
      <c r="AD673" s="145"/>
      <c r="AE673" s="145"/>
      <c r="AF673" s="145"/>
      <c r="AG673" s="145"/>
      <c r="AH673" s="145"/>
      <c r="AI673" s="145"/>
      <c r="AJ673" s="129"/>
      <c r="AK673" s="220"/>
      <c r="AL673" s="220" t="s">
        <v>8403</v>
      </c>
      <c r="AM673" s="218"/>
    </row>
    <row r="674" spans="1:39" ht="28.5">
      <c r="A674" s="137">
        <f>SUBTOTAL(3,$B$3:B674)</f>
        <v>672</v>
      </c>
      <c r="B674" s="203" t="s">
        <v>8404</v>
      </c>
      <c r="C674" s="163" t="s">
        <v>8407</v>
      </c>
      <c r="D674" s="163" t="s">
        <v>8407</v>
      </c>
      <c r="E674" s="129" t="s">
        <v>8408</v>
      </c>
      <c r="F674" s="129" t="s">
        <v>810</v>
      </c>
      <c r="G674" s="129" t="s">
        <v>2389</v>
      </c>
      <c r="H674" s="129" t="s">
        <v>8197</v>
      </c>
      <c r="I674" s="129" t="s">
        <v>40</v>
      </c>
      <c r="J674" s="188">
        <v>36750</v>
      </c>
      <c r="K674" s="129" t="s">
        <v>41</v>
      </c>
      <c r="L674" s="129" t="s">
        <v>42</v>
      </c>
      <c r="M674" s="163" t="s">
        <v>4016</v>
      </c>
      <c r="N674" s="188">
        <v>45590</v>
      </c>
      <c r="O674" s="163" t="s">
        <v>44</v>
      </c>
      <c r="P674" s="129" t="s">
        <v>2347</v>
      </c>
      <c r="Q674" s="129" t="s">
        <v>3676</v>
      </c>
      <c r="R674" s="163">
        <v>8160797872</v>
      </c>
      <c r="S674" s="129">
        <v>36251</v>
      </c>
      <c r="T674" s="160">
        <v>102007900987</v>
      </c>
      <c r="U674" s="126" t="s">
        <v>7193</v>
      </c>
      <c r="V674" s="151">
        <v>3715715905</v>
      </c>
      <c r="W674" s="145" t="s">
        <v>8409</v>
      </c>
      <c r="X674" s="145" t="s">
        <v>8410</v>
      </c>
      <c r="Y674" s="216" t="s">
        <v>65</v>
      </c>
      <c r="Z674" s="145" t="s">
        <v>5018</v>
      </c>
      <c r="AA674" s="149" t="s">
        <v>8411</v>
      </c>
      <c r="AB674" s="149" t="s">
        <v>8411</v>
      </c>
      <c r="AC674" s="189" t="s">
        <v>8404</v>
      </c>
      <c r="AD674" s="145"/>
      <c r="AE674" s="145"/>
      <c r="AF674" s="145"/>
      <c r="AG674" s="145"/>
      <c r="AH674" s="145"/>
      <c r="AI674" s="145"/>
      <c r="AJ674" s="129"/>
      <c r="AK674" s="220" t="s">
        <v>8412</v>
      </c>
      <c r="AL674" s="220"/>
      <c r="AM674" s="218"/>
    </row>
    <row r="675" spans="1:39" ht="28.5">
      <c r="A675" s="137">
        <f>SUBTOTAL(3,$B$3:B675)</f>
        <v>673</v>
      </c>
      <c r="B675" s="203" t="s">
        <v>8405</v>
      </c>
      <c r="C675" s="163" t="s">
        <v>8413</v>
      </c>
      <c r="D675" s="163" t="s">
        <v>8414</v>
      </c>
      <c r="E675" s="129" t="s">
        <v>1366</v>
      </c>
      <c r="F675" s="129" t="s">
        <v>8415</v>
      </c>
      <c r="G675" s="129" t="s">
        <v>2345</v>
      </c>
      <c r="H675" s="129" t="s">
        <v>8416</v>
      </c>
      <c r="I675" s="129" t="s">
        <v>40</v>
      </c>
      <c r="J675" s="188">
        <v>36409</v>
      </c>
      <c r="K675" s="129" t="s">
        <v>41</v>
      </c>
      <c r="L675" s="129" t="s">
        <v>42</v>
      </c>
      <c r="M675" s="163" t="s">
        <v>4016</v>
      </c>
      <c r="N675" s="188">
        <v>45591</v>
      </c>
      <c r="O675" s="163" t="s">
        <v>44</v>
      </c>
      <c r="P675" s="129" t="s">
        <v>2347</v>
      </c>
      <c r="Q675" s="129" t="s">
        <v>3676</v>
      </c>
      <c r="R675" s="163">
        <v>9601161162</v>
      </c>
      <c r="S675" s="129">
        <v>36250</v>
      </c>
      <c r="T675" s="160">
        <v>101340375837</v>
      </c>
      <c r="U675" s="126" t="s">
        <v>8417</v>
      </c>
      <c r="V675" s="148">
        <v>3715717255</v>
      </c>
      <c r="W675" s="145" t="s">
        <v>8418</v>
      </c>
      <c r="X675" s="145" t="s">
        <v>8419</v>
      </c>
      <c r="Y675" s="216" t="s">
        <v>146</v>
      </c>
      <c r="Z675" s="145" t="s">
        <v>2352</v>
      </c>
      <c r="AA675" s="149" t="s">
        <v>8420</v>
      </c>
      <c r="AB675" s="149" t="s">
        <v>8420</v>
      </c>
      <c r="AC675" s="189" t="s">
        <v>8405</v>
      </c>
      <c r="AD675" s="145"/>
      <c r="AE675" s="145"/>
      <c r="AF675" s="145"/>
      <c r="AG675" s="145"/>
      <c r="AH675" s="145"/>
      <c r="AI675" s="145"/>
      <c r="AJ675" s="129"/>
      <c r="AK675" s="220"/>
      <c r="AL675" s="220" t="s">
        <v>8421</v>
      </c>
      <c r="AM675" s="218"/>
    </row>
    <row r="676" spans="1:39" ht="28.5">
      <c r="A676" s="137">
        <f>SUBTOTAL(3,$B$3:B676)</f>
        <v>674</v>
      </c>
      <c r="B676" s="203" t="s">
        <v>8406</v>
      </c>
      <c r="C676" s="163" t="s">
        <v>8422</v>
      </c>
      <c r="D676" s="163" t="s">
        <v>8422</v>
      </c>
      <c r="E676" s="129" t="s">
        <v>722</v>
      </c>
      <c r="F676" s="129" t="s">
        <v>8423</v>
      </c>
      <c r="G676" s="129" t="s">
        <v>2345</v>
      </c>
      <c r="H676" s="129" t="s">
        <v>1702</v>
      </c>
      <c r="I676" s="129" t="s">
        <v>40</v>
      </c>
      <c r="J676" s="188">
        <v>37647</v>
      </c>
      <c r="K676" s="129" t="s">
        <v>41</v>
      </c>
      <c r="L676" s="129" t="s">
        <v>42</v>
      </c>
      <c r="M676" s="163" t="s">
        <v>4016</v>
      </c>
      <c r="N676" s="188">
        <v>45591</v>
      </c>
      <c r="O676" s="163" t="s">
        <v>44</v>
      </c>
      <c r="P676" s="129" t="s">
        <v>2347</v>
      </c>
      <c r="Q676" s="129" t="s">
        <v>3676</v>
      </c>
      <c r="R676" s="163">
        <v>8866082006</v>
      </c>
      <c r="S676" s="129">
        <v>36252</v>
      </c>
      <c r="T676" s="160">
        <v>102092043988</v>
      </c>
      <c r="U676" s="126" t="s">
        <v>8424</v>
      </c>
      <c r="V676" s="151">
        <v>3715715912</v>
      </c>
      <c r="W676" s="145" t="s">
        <v>8425</v>
      </c>
      <c r="X676" s="145" t="s">
        <v>8426</v>
      </c>
      <c r="Y676" s="216" t="s">
        <v>132</v>
      </c>
      <c r="Z676" s="145" t="s">
        <v>8427</v>
      </c>
      <c r="AA676" s="149" t="s">
        <v>8428</v>
      </c>
      <c r="AB676" s="149" t="s">
        <v>8428</v>
      </c>
      <c r="AC676" s="189" t="s">
        <v>8406</v>
      </c>
      <c r="AD676" s="145"/>
      <c r="AE676" s="145"/>
      <c r="AF676" s="145"/>
      <c r="AG676" s="145"/>
      <c r="AH676" s="145"/>
      <c r="AI676" s="145"/>
      <c r="AJ676" s="129"/>
      <c r="AK676" s="220"/>
      <c r="AL676" s="220" t="s">
        <v>8429</v>
      </c>
      <c r="AM676" s="218"/>
    </row>
    <row r="677" spans="1:39" ht="28.5">
      <c r="A677" s="137">
        <f>SUBTOTAL(3,$B$3:B677)</f>
        <v>675</v>
      </c>
      <c r="B677" s="203" t="s">
        <v>8430</v>
      </c>
      <c r="C677" s="163" t="s">
        <v>8431</v>
      </c>
      <c r="D677" s="163" t="s">
        <v>8431</v>
      </c>
      <c r="E677" s="129" t="s">
        <v>1308</v>
      </c>
      <c r="F677" s="129" t="s">
        <v>8432</v>
      </c>
      <c r="G677" s="129" t="s">
        <v>2345</v>
      </c>
      <c r="H677" s="129" t="s">
        <v>768</v>
      </c>
      <c r="I677" s="129" t="s">
        <v>40</v>
      </c>
      <c r="J677" s="188">
        <v>37412</v>
      </c>
      <c r="K677" s="129" t="s">
        <v>41</v>
      </c>
      <c r="L677" s="129" t="s">
        <v>42</v>
      </c>
      <c r="M677" s="163" t="s">
        <v>4016</v>
      </c>
      <c r="N677" s="188">
        <v>45593</v>
      </c>
      <c r="O677" s="163" t="s">
        <v>44</v>
      </c>
      <c r="P677" s="129" t="s">
        <v>2347</v>
      </c>
      <c r="Q677" s="129" t="s">
        <v>3676</v>
      </c>
      <c r="R677" s="163">
        <v>9484546693</v>
      </c>
      <c r="S677" s="129">
        <v>36264</v>
      </c>
      <c r="T677" s="160">
        <v>101937395420</v>
      </c>
      <c r="U677" s="126" t="s">
        <v>7193</v>
      </c>
      <c r="V677" s="151">
        <v>3714817556</v>
      </c>
      <c r="W677" s="145" t="s">
        <v>8433</v>
      </c>
      <c r="X677" s="145" t="s">
        <v>8434</v>
      </c>
      <c r="Y677" s="216" t="s">
        <v>146</v>
      </c>
      <c r="Z677" s="145" t="s">
        <v>2352</v>
      </c>
      <c r="AA677" s="149" t="s">
        <v>8435</v>
      </c>
      <c r="AB677" s="149" t="s">
        <v>8436</v>
      </c>
      <c r="AC677" s="189" t="s">
        <v>8430</v>
      </c>
      <c r="AD677" s="145"/>
      <c r="AE677" s="145"/>
      <c r="AF677" s="145"/>
      <c r="AG677" s="145"/>
      <c r="AH677" s="145"/>
      <c r="AI677" s="145"/>
      <c r="AJ677" s="129"/>
      <c r="AK677" s="220"/>
      <c r="AL677" s="220" t="s">
        <v>8437</v>
      </c>
      <c r="AM677" s="218"/>
    </row>
    <row r="678" spans="1:39" ht="28.5">
      <c r="A678" s="137">
        <f>SUBTOTAL(3,$B$3:B678)</f>
        <v>676</v>
      </c>
      <c r="B678" s="203" t="s">
        <v>8438</v>
      </c>
      <c r="C678" s="163" t="s">
        <v>8439</v>
      </c>
      <c r="D678" s="163" t="s">
        <v>8439</v>
      </c>
      <c r="E678" s="129" t="s">
        <v>8440</v>
      </c>
      <c r="F678" s="129" t="s">
        <v>2156</v>
      </c>
      <c r="G678" s="129" t="s">
        <v>2389</v>
      </c>
      <c r="H678" s="129" t="s">
        <v>2120</v>
      </c>
      <c r="I678" s="129" t="s">
        <v>40</v>
      </c>
      <c r="J678" s="188">
        <v>36492</v>
      </c>
      <c r="K678" s="129" t="s">
        <v>41</v>
      </c>
      <c r="L678" s="129" t="s">
        <v>42</v>
      </c>
      <c r="M678" s="163" t="s">
        <v>6752</v>
      </c>
      <c r="N678" s="188">
        <v>45593</v>
      </c>
      <c r="O678" s="163" t="s">
        <v>44</v>
      </c>
      <c r="P678" s="129" t="s">
        <v>2347</v>
      </c>
      <c r="Q678" s="129" t="s">
        <v>3676</v>
      </c>
      <c r="R678" s="163">
        <v>9725627969</v>
      </c>
      <c r="S678" s="129">
        <v>36263</v>
      </c>
      <c r="T678" s="160">
        <v>102133307592</v>
      </c>
      <c r="U678" s="126" t="s">
        <v>8441</v>
      </c>
      <c r="V678" s="151">
        <v>3715719717</v>
      </c>
      <c r="W678" s="145" t="s">
        <v>8442</v>
      </c>
      <c r="X678" s="145" t="s">
        <v>8443</v>
      </c>
      <c r="Y678" s="216" t="s">
        <v>146</v>
      </c>
      <c r="Z678" s="145" t="s">
        <v>7384</v>
      </c>
      <c r="AA678" s="149" t="s">
        <v>8444</v>
      </c>
      <c r="AB678" s="149" t="s">
        <v>8445</v>
      </c>
      <c r="AC678" s="189" t="s">
        <v>8438</v>
      </c>
      <c r="AD678" s="145"/>
      <c r="AE678" s="145"/>
      <c r="AF678" s="145"/>
      <c r="AG678" s="145"/>
      <c r="AH678" s="145"/>
      <c r="AI678" s="145"/>
      <c r="AJ678" s="129"/>
      <c r="AK678" s="220"/>
      <c r="AL678" s="220" t="s">
        <v>8446</v>
      </c>
      <c r="AM678" s="218"/>
    </row>
    <row r="679" spans="1:39" ht="42.75">
      <c r="A679" s="137">
        <f>SUBTOTAL(3,$B$3:B679)</f>
        <v>677</v>
      </c>
      <c r="B679" s="203" t="s">
        <v>8447</v>
      </c>
      <c r="C679" s="163" t="s">
        <v>8448</v>
      </c>
      <c r="D679" s="163" t="s">
        <v>8448</v>
      </c>
      <c r="E679" s="129" t="s">
        <v>8449</v>
      </c>
      <c r="F679" s="129" t="s">
        <v>4624</v>
      </c>
      <c r="G679" s="129" t="s">
        <v>2345</v>
      </c>
      <c r="H679" s="129" t="s">
        <v>8450</v>
      </c>
      <c r="I679" s="129" t="s">
        <v>40</v>
      </c>
      <c r="J679" s="188">
        <v>36840</v>
      </c>
      <c r="K679" s="129" t="s">
        <v>41</v>
      </c>
      <c r="L679" s="129" t="s">
        <v>42</v>
      </c>
      <c r="M679" s="163" t="s">
        <v>4016</v>
      </c>
      <c r="N679" s="188">
        <v>45593</v>
      </c>
      <c r="O679" s="163" t="s">
        <v>44</v>
      </c>
      <c r="P679" s="129" t="s">
        <v>2347</v>
      </c>
      <c r="Q679" s="129" t="s">
        <v>3676</v>
      </c>
      <c r="R679" s="163">
        <v>8401994581</v>
      </c>
      <c r="S679" s="129">
        <v>36265</v>
      </c>
      <c r="T679" s="160">
        <v>102036143202</v>
      </c>
      <c r="U679" s="126" t="s">
        <v>8451</v>
      </c>
      <c r="V679" s="151">
        <v>3715719729</v>
      </c>
      <c r="W679" s="145" t="s">
        <v>8452</v>
      </c>
      <c r="X679" s="145" t="s">
        <v>8453</v>
      </c>
      <c r="Y679" s="216" t="s">
        <v>8454</v>
      </c>
      <c r="Z679" s="145" t="s">
        <v>8455</v>
      </c>
      <c r="AA679" s="149" t="s">
        <v>8456</v>
      </c>
      <c r="AB679" s="149" t="s">
        <v>8456</v>
      </c>
      <c r="AC679" s="189" t="s">
        <v>8447</v>
      </c>
      <c r="AD679" s="145"/>
      <c r="AE679" s="145"/>
      <c r="AF679" s="145"/>
      <c r="AG679" s="145"/>
      <c r="AH679" s="145"/>
      <c r="AI679" s="145"/>
      <c r="AJ679" s="129"/>
      <c r="AK679" s="220"/>
      <c r="AL679" s="220" t="s">
        <v>8457</v>
      </c>
      <c r="AM679" s="218"/>
    </row>
    <row r="680" spans="1:39" ht="42.75">
      <c r="A680" s="137">
        <f>SUBTOTAL(3,$B$3:B680)</f>
        <v>678</v>
      </c>
      <c r="B680" s="203" t="s">
        <v>8458</v>
      </c>
      <c r="C680" s="163" t="s">
        <v>8459</v>
      </c>
      <c r="D680" s="163" t="s">
        <v>8459</v>
      </c>
      <c r="E680" s="129" t="s">
        <v>249</v>
      </c>
      <c r="F680" s="129" t="s">
        <v>440</v>
      </c>
      <c r="G680" s="129" t="s">
        <v>2345</v>
      </c>
      <c r="H680" s="129" t="s">
        <v>507</v>
      </c>
      <c r="I680" s="129" t="s">
        <v>40</v>
      </c>
      <c r="J680" s="188">
        <v>37448</v>
      </c>
      <c r="K680" s="129" t="s">
        <v>280</v>
      </c>
      <c r="L680" s="129" t="s">
        <v>42</v>
      </c>
      <c r="M680" s="163" t="s">
        <v>8460</v>
      </c>
      <c r="N680" s="188">
        <v>45597</v>
      </c>
      <c r="O680" s="163" t="s">
        <v>8461</v>
      </c>
      <c r="P680" s="137" t="s">
        <v>3048</v>
      </c>
      <c r="Q680" s="129" t="s">
        <v>3676</v>
      </c>
      <c r="R680" s="163">
        <v>6354324635</v>
      </c>
      <c r="S680" s="129">
        <v>36270</v>
      </c>
      <c r="T680" s="160">
        <v>102117694486</v>
      </c>
      <c r="U680" s="126" t="s">
        <v>8462</v>
      </c>
      <c r="V680" s="151">
        <v>3714066842</v>
      </c>
      <c r="W680" s="145" t="s">
        <v>8463</v>
      </c>
      <c r="X680" s="145" t="s">
        <v>8464</v>
      </c>
      <c r="Y680" s="216" t="s">
        <v>146</v>
      </c>
      <c r="Z680" s="145" t="s">
        <v>2352</v>
      </c>
      <c r="AA680" s="221" t="s">
        <v>8465</v>
      </c>
      <c r="AB680" s="221" t="s">
        <v>8465</v>
      </c>
      <c r="AC680" s="189" t="s">
        <v>8458</v>
      </c>
      <c r="AD680" s="145"/>
      <c r="AE680" s="145"/>
      <c r="AF680" s="145"/>
      <c r="AG680" s="145"/>
      <c r="AH680" s="145"/>
      <c r="AI680" s="145"/>
      <c r="AJ680" s="129"/>
      <c r="AK680" s="220"/>
      <c r="AL680" s="220" t="s">
        <v>8466</v>
      </c>
      <c r="AM680" s="218"/>
    </row>
    <row r="681" spans="1:39" ht="28.5">
      <c r="A681" s="137">
        <f>SUBTOTAL(3,$B$3:B681)</f>
        <v>679</v>
      </c>
      <c r="B681" s="203" t="s">
        <v>8467</v>
      </c>
      <c r="C681" s="163" t="s">
        <v>8469</v>
      </c>
      <c r="D681" s="163" t="s">
        <v>8469</v>
      </c>
      <c r="E681" s="129" t="s">
        <v>8470</v>
      </c>
      <c r="F681" s="129" t="s">
        <v>5625</v>
      </c>
      <c r="G681" s="129" t="s">
        <v>2345</v>
      </c>
      <c r="H681" s="129" t="s">
        <v>72</v>
      </c>
      <c r="I681" s="129" t="s">
        <v>40</v>
      </c>
      <c r="J681" s="188">
        <v>37785</v>
      </c>
      <c r="K681" s="129" t="s">
        <v>41</v>
      </c>
      <c r="L681" s="129" t="s">
        <v>42</v>
      </c>
      <c r="M681" s="163" t="s">
        <v>1044</v>
      </c>
      <c r="N681" s="188">
        <v>45598</v>
      </c>
      <c r="O681" s="163" t="s">
        <v>2991</v>
      </c>
      <c r="P681" s="129" t="s">
        <v>2347</v>
      </c>
      <c r="Q681" s="129" t="s">
        <v>3676</v>
      </c>
      <c r="R681" s="163">
        <v>8780077375</v>
      </c>
      <c r="S681" s="129">
        <v>36272</v>
      </c>
      <c r="T681" s="160">
        <v>102133965142</v>
      </c>
      <c r="U681" s="126" t="s">
        <v>8471</v>
      </c>
      <c r="V681" s="151">
        <v>3715721728</v>
      </c>
      <c r="W681" s="145" t="s">
        <v>8472</v>
      </c>
      <c r="X681" s="145" t="s">
        <v>8473</v>
      </c>
      <c r="Y681" s="216" t="s">
        <v>7017</v>
      </c>
      <c r="Z681" s="145" t="s">
        <v>8474</v>
      </c>
      <c r="AA681" s="221" t="s">
        <v>8475</v>
      </c>
      <c r="AB681" s="221" t="s">
        <v>8475</v>
      </c>
      <c r="AC681" s="189" t="s">
        <v>8467</v>
      </c>
      <c r="AD681" s="145"/>
      <c r="AE681" s="145"/>
      <c r="AF681" s="145"/>
      <c r="AG681" s="145"/>
      <c r="AH681" s="145"/>
      <c r="AI681" s="145"/>
      <c r="AJ681" s="129"/>
      <c r="AK681" s="220"/>
      <c r="AL681" s="220" t="s">
        <v>8476</v>
      </c>
      <c r="AM681" s="218"/>
    </row>
    <row r="682" spans="1:39" ht="42.75">
      <c r="A682" s="137">
        <f>SUBTOTAL(3,$B$3:B682)</f>
        <v>680</v>
      </c>
      <c r="B682" s="203" t="s">
        <v>8468</v>
      </c>
      <c r="C682" s="163" t="s">
        <v>8477</v>
      </c>
      <c r="D682" s="163" t="s">
        <v>8477</v>
      </c>
      <c r="E682" s="129" t="s">
        <v>754</v>
      </c>
      <c r="F682" s="129" t="s">
        <v>8478</v>
      </c>
      <c r="G682" s="129" t="s">
        <v>2345</v>
      </c>
      <c r="H682" s="129" t="s">
        <v>479</v>
      </c>
      <c r="I682" s="129" t="s">
        <v>40</v>
      </c>
      <c r="J682" s="188">
        <v>36537</v>
      </c>
      <c r="K682" s="129" t="s">
        <v>41</v>
      </c>
      <c r="L682" s="129" t="s">
        <v>42</v>
      </c>
      <c r="M682" s="163" t="s">
        <v>8479</v>
      </c>
      <c r="N682" s="188">
        <v>45598</v>
      </c>
      <c r="O682" s="163" t="s">
        <v>2991</v>
      </c>
      <c r="P682" s="129" t="s">
        <v>2347</v>
      </c>
      <c r="Q682" s="129" t="s">
        <v>3676</v>
      </c>
      <c r="R682" s="163">
        <v>6354956491</v>
      </c>
      <c r="S682" s="129">
        <v>36271</v>
      </c>
      <c r="T682" s="160">
        <v>102133965135</v>
      </c>
      <c r="U682" s="126" t="s">
        <v>8480</v>
      </c>
      <c r="V682" s="151">
        <v>3715721733</v>
      </c>
      <c r="W682" s="145" t="s">
        <v>8481</v>
      </c>
      <c r="X682" s="145" t="s">
        <v>8482</v>
      </c>
      <c r="Y682" s="216" t="s">
        <v>146</v>
      </c>
      <c r="Z682" s="145" t="s">
        <v>8483</v>
      </c>
      <c r="AA682" s="221" t="s">
        <v>8484</v>
      </c>
      <c r="AB682" s="221" t="s">
        <v>8484</v>
      </c>
      <c r="AC682" s="189" t="s">
        <v>8468</v>
      </c>
      <c r="AD682" s="145"/>
      <c r="AE682" s="145"/>
      <c r="AF682" s="145"/>
      <c r="AG682" s="145"/>
      <c r="AH682" s="145"/>
      <c r="AI682" s="145"/>
      <c r="AJ682" s="129"/>
      <c r="AK682" s="220"/>
      <c r="AL682" s="220" t="s">
        <v>8485</v>
      </c>
      <c r="AM682" s="218"/>
    </row>
    <row r="683" spans="1:39" ht="28.5">
      <c r="A683" s="137">
        <f>SUBTOTAL(3,$B$3:B683)</f>
        <v>681</v>
      </c>
      <c r="B683" s="203" t="s">
        <v>8486</v>
      </c>
      <c r="C683" s="163" t="s">
        <v>8487</v>
      </c>
      <c r="D683" s="163" t="s">
        <v>8488</v>
      </c>
      <c r="E683" s="129" t="s">
        <v>8489</v>
      </c>
      <c r="F683" s="129" t="s">
        <v>8490</v>
      </c>
      <c r="G683" s="129" t="s">
        <v>2345</v>
      </c>
      <c r="H683" s="129" t="s">
        <v>3406</v>
      </c>
      <c r="I683" s="129" t="s">
        <v>40</v>
      </c>
      <c r="J683" s="188">
        <v>37021</v>
      </c>
      <c r="K683" s="129" t="s">
        <v>280</v>
      </c>
      <c r="L683" s="129" t="s">
        <v>42</v>
      </c>
      <c r="M683" s="163" t="s">
        <v>4640</v>
      </c>
      <c r="N683" s="188">
        <v>45598</v>
      </c>
      <c r="O683" s="163" t="s">
        <v>2991</v>
      </c>
      <c r="P683" s="129" t="s">
        <v>2347</v>
      </c>
      <c r="Q683" s="129" t="s">
        <v>3676</v>
      </c>
      <c r="R683" s="163">
        <v>9879813650</v>
      </c>
      <c r="S683" s="129">
        <v>36273</v>
      </c>
      <c r="T683" s="160">
        <v>102133965750</v>
      </c>
      <c r="U683" s="126" t="s">
        <v>8491</v>
      </c>
      <c r="V683" s="151">
        <v>3715721734</v>
      </c>
      <c r="W683" s="145" t="s">
        <v>8492</v>
      </c>
      <c r="X683" s="145" t="s">
        <v>8493</v>
      </c>
      <c r="Y683" s="216" t="s">
        <v>51</v>
      </c>
      <c r="Z683" s="145" t="s">
        <v>50</v>
      </c>
      <c r="AA683" s="221" t="s">
        <v>8494</v>
      </c>
      <c r="AB683" s="221" t="s">
        <v>8494</v>
      </c>
      <c r="AC683" s="189" t="s">
        <v>8486</v>
      </c>
      <c r="AD683" s="145"/>
      <c r="AE683" s="145"/>
      <c r="AF683" s="145"/>
      <c r="AG683" s="145"/>
      <c r="AH683" s="145"/>
      <c r="AI683" s="145"/>
      <c r="AJ683" s="129"/>
      <c r="AK683" s="220"/>
      <c r="AL683" s="220" t="s">
        <v>8495</v>
      </c>
      <c r="AM683" s="218"/>
    </row>
    <row r="684" spans="1:39" ht="42.75">
      <c r="A684" s="137">
        <f>SUBTOTAL(3,$B$3:B684)</f>
        <v>682</v>
      </c>
      <c r="B684" s="203" t="s">
        <v>8497</v>
      </c>
      <c r="C684" s="163" t="s">
        <v>8498</v>
      </c>
      <c r="D684" s="163" t="s">
        <v>8498</v>
      </c>
      <c r="E684" s="129" t="s">
        <v>8499</v>
      </c>
      <c r="F684" s="129" t="s">
        <v>8500</v>
      </c>
      <c r="G684" s="129" t="s">
        <v>2389</v>
      </c>
      <c r="H684" s="129" t="s">
        <v>810</v>
      </c>
      <c r="I684" s="129" t="s">
        <v>40</v>
      </c>
      <c r="J684" s="188">
        <v>37365</v>
      </c>
      <c r="K684" s="129" t="s">
        <v>41</v>
      </c>
      <c r="L684" s="129" t="s">
        <v>42</v>
      </c>
      <c r="M684" s="163" t="s">
        <v>1104</v>
      </c>
      <c r="N684" s="188">
        <v>45604</v>
      </c>
      <c r="O684" s="163" t="s">
        <v>2991</v>
      </c>
      <c r="P684" s="129" t="s">
        <v>2347</v>
      </c>
      <c r="Q684" s="129" t="s">
        <v>3676</v>
      </c>
      <c r="R684" s="163">
        <v>9173864435</v>
      </c>
      <c r="S684" s="129">
        <v>36304</v>
      </c>
      <c r="T684" s="160">
        <v>101680341323</v>
      </c>
      <c r="U684" s="151" t="s">
        <v>8501</v>
      </c>
      <c r="V684" s="129">
        <v>3713747042</v>
      </c>
      <c r="W684" s="145" t="s">
        <v>8502</v>
      </c>
      <c r="X684" s="145" t="s">
        <v>8503</v>
      </c>
      <c r="Y684" s="216" t="s">
        <v>146</v>
      </c>
      <c r="Z684" s="145" t="s">
        <v>1388</v>
      </c>
      <c r="AA684" s="221" t="s">
        <v>8505</v>
      </c>
      <c r="AB684" s="221" t="s">
        <v>8504</v>
      </c>
      <c r="AC684" s="189" t="s">
        <v>8497</v>
      </c>
      <c r="AD684" s="145"/>
      <c r="AE684" s="145"/>
      <c r="AF684" s="145"/>
      <c r="AG684" s="145"/>
      <c r="AH684" s="145"/>
      <c r="AI684" s="145"/>
      <c r="AJ684" s="129"/>
      <c r="AK684" s="220"/>
      <c r="AL684" s="220" t="s">
        <v>8506</v>
      </c>
      <c r="AM684" s="218"/>
    </row>
    <row r="685" spans="1:39" ht="42.75">
      <c r="A685" s="137">
        <f>SUBTOTAL(3,$B$3:B685)</f>
        <v>683</v>
      </c>
      <c r="B685" s="203" t="s">
        <v>8507</v>
      </c>
      <c r="C685" s="163" t="s">
        <v>8508</v>
      </c>
      <c r="D685" s="163" t="s">
        <v>8508</v>
      </c>
      <c r="E685" s="129" t="s">
        <v>8509</v>
      </c>
      <c r="F685" s="129" t="s">
        <v>8510</v>
      </c>
      <c r="G685" s="129" t="s">
        <v>2389</v>
      </c>
      <c r="H685" s="129" t="s">
        <v>8511</v>
      </c>
      <c r="I685" s="129" t="s">
        <v>40</v>
      </c>
      <c r="J685" s="188">
        <v>37874</v>
      </c>
      <c r="K685" s="129" t="s">
        <v>41</v>
      </c>
      <c r="L685" s="129" t="s">
        <v>42</v>
      </c>
      <c r="M685" s="163" t="s">
        <v>4222</v>
      </c>
      <c r="N685" s="188">
        <v>45605</v>
      </c>
      <c r="O685" s="163" t="s">
        <v>2981</v>
      </c>
      <c r="P685" s="129" t="s">
        <v>2347</v>
      </c>
      <c r="Q685" s="129" t="s">
        <v>3676</v>
      </c>
      <c r="R685" s="163">
        <v>9687107544</v>
      </c>
      <c r="S685" s="129">
        <v>36308</v>
      </c>
      <c r="T685" s="160">
        <v>102126880300</v>
      </c>
      <c r="U685" s="126" t="s">
        <v>8512</v>
      </c>
      <c r="V685" s="151">
        <v>3715736557</v>
      </c>
      <c r="W685" s="145" t="s">
        <v>8513</v>
      </c>
      <c r="X685" s="145" t="s">
        <v>8514</v>
      </c>
      <c r="Y685" s="216" t="s">
        <v>65</v>
      </c>
      <c r="Z685" s="145" t="s">
        <v>8515</v>
      </c>
      <c r="AA685" s="221" t="s">
        <v>8517</v>
      </c>
      <c r="AB685" s="221" t="s">
        <v>8516</v>
      </c>
      <c r="AC685" s="189" t="s">
        <v>8507</v>
      </c>
      <c r="AD685" s="145"/>
      <c r="AE685" s="145"/>
      <c r="AF685" s="145"/>
      <c r="AG685" s="145"/>
      <c r="AH685" s="145"/>
      <c r="AI685" s="145"/>
      <c r="AJ685" s="129"/>
      <c r="AK685" s="220"/>
      <c r="AL685" s="220" t="s">
        <v>8518</v>
      </c>
      <c r="AM685" s="218"/>
    </row>
    <row r="686" spans="1:39" ht="28.5">
      <c r="A686" s="137">
        <f>SUBTOTAL(3,$B$3:B686)</f>
        <v>684</v>
      </c>
      <c r="B686" s="203" t="s">
        <v>8519</v>
      </c>
      <c r="C686" s="163" t="s">
        <v>8520</v>
      </c>
      <c r="D686" s="163" t="s">
        <v>8520</v>
      </c>
      <c r="E686" s="129" t="s">
        <v>1308</v>
      </c>
      <c r="F686" s="129" t="s">
        <v>8521</v>
      </c>
      <c r="G686" s="129" t="s">
        <v>2389</v>
      </c>
      <c r="H686" s="129" t="s">
        <v>8522</v>
      </c>
      <c r="I686" s="129" t="s">
        <v>40</v>
      </c>
      <c r="J686" s="188">
        <v>34210</v>
      </c>
      <c r="K686" s="129" t="s">
        <v>280</v>
      </c>
      <c r="L686" s="129" t="s">
        <v>42</v>
      </c>
      <c r="M686" s="163" t="s">
        <v>1104</v>
      </c>
      <c r="N686" s="188">
        <v>45607</v>
      </c>
      <c r="O686" s="163" t="s">
        <v>2991</v>
      </c>
      <c r="P686" s="129" t="s">
        <v>2347</v>
      </c>
      <c r="Q686" s="129" t="s">
        <v>3676</v>
      </c>
      <c r="R686" s="163">
        <v>7573878982</v>
      </c>
      <c r="S686" s="129">
        <v>36307</v>
      </c>
      <c r="T686" s="160">
        <v>101334462037</v>
      </c>
      <c r="U686" s="126" t="s">
        <v>8523</v>
      </c>
      <c r="V686" s="151">
        <v>3715736567</v>
      </c>
      <c r="W686" s="145" t="s">
        <v>8524</v>
      </c>
      <c r="X686" s="145" t="s">
        <v>8545</v>
      </c>
      <c r="Y686" s="216" t="s">
        <v>51</v>
      </c>
      <c r="Z686" s="145" t="s">
        <v>50</v>
      </c>
      <c r="AA686" s="221" t="s">
        <v>8525</v>
      </c>
      <c r="AB686" s="221" t="s">
        <v>8525</v>
      </c>
      <c r="AC686" s="189" t="s">
        <v>8526</v>
      </c>
      <c r="AD686" s="145"/>
      <c r="AE686" s="145"/>
      <c r="AF686" s="145"/>
      <c r="AG686" s="145"/>
      <c r="AH686" s="145"/>
      <c r="AI686" s="145"/>
      <c r="AJ686" s="129"/>
      <c r="AK686" s="220"/>
      <c r="AL686" s="220" t="s">
        <v>8527</v>
      </c>
      <c r="AM686" s="218"/>
    </row>
    <row r="687" spans="1:39" ht="28.5">
      <c r="A687" s="137">
        <f>SUBTOTAL(3,$B$3:B687)</f>
        <v>685</v>
      </c>
      <c r="B687" s="203" t="s">
        <v>8528</v>
      </c>
      <c r="C687" s="163" t="s">
        <v>8529</v>
      </c>
      <c r="D687" s="163" t="s">
        <v>8529</v>
      </c>
      <c r="E687" s="129" t="s">
        <v>778</v>
      </c>
      <c r="F687" s="129" t="s">
        <v>8530</v>
      </c>
      <c r="G687" s="129" t="s">
        <v>2345</v>
      </c>
      <c r="H687" s="129" t="s">
        <v>6764</v>
      </c>
      <c r="I687" s="129" t="s">
        <v>40</v>
      </c>
      <c r="J687" s="188">
        <v>37165</v>
      </c>
      <c r="K687" s="129" t="s">
        <v>41</v>
      </c>
      <c r="L687" s="129" t="s">
        <v>42</v>
      </c>
      <c r="M687" s="163" t="s">
        <v>4222</v>
      </c>
      <c r="N687" s="188">
        <v>45607</v>
      </c>
      <c r="O687" s="163" t="s">
        <v>2981</v>
      </c>
      <c r="P687" s="129" t="s">
        <v>2347</v>
      </c>
      <c r="Q687" s="129" t="s">
        <v>3676</v>
      </c>
      <c r="R687" s="163">
        <v>6354373102</v>
      </c>
      <c r="S687" s="129">
        <v>36313</v>
      </c>
      <c r="T687" s="160">
        <v>102026923511</v>
      </c>
      <c r="U687" s="126" t="s">
        <v>8532</v>
      </c>
      <c r="V687" s="151">
        <v>3715603955</v>
      </c>
      <c r="W687" s="145" t="s">
        <v>8531</v>
      </c>
      <c r="X687" s="145" t="s">
        <v>8544</v>
      </c>
      <c r="Y687" s="216" t="s">
        <v>65</v>
      </c>
      <c r="Z687" s="145" t="s">
        <v>5018</v>
      </c>
      <c r="AA687" s="221" t="s">
        <v>8533</v>
      </c>
      <c r="AB687" s="221" t="s">
        <v>7362</v>
      </c>
      <c r="AC687" s="189" t="s">
        <v>8528</v>
      </c>
      <c r="AD687" s="145"/>
      <c r="AE687" s="145"/>
      <c r="AF687" s="145"/>
      <c r="AG687" s="145"/>
      <c r="AH687" s="145"/>
      <c r="AI687" s="145"/>
      <c r="AJ687" s="129"/>
      <c r="AK687" s="220"/>
      <c r="AL687" s="220" t="s">
        <v>8534</v>
      </c>
      <c r="AM687" s="218"/>
    </row>
    <row r="688" spans="1:39" ht="28.5">
      <c r="A688" s="137">
        <f>SUBTOTAL(3,$B$3:B688)</f>
        <v>686</v>
      </c>
      <c r="B688" s="203" t="s">
        <v>8535</v>
      </c>
      <c r="C688" s="163" t="s">
        <v>8658</v>
      </c>
      <c r="D688" s="163" t="s">
        <v>8658</v>
      </c>
      <c r="E688" s="129" t="s">
        <v>3554</v>
      </c>
      <c r="F688" s="129" t="s">
        <v>8659</v>
      </c>
      <c r="G688" s="129" t="s">
        <v>2345</v>
      </c>
      <c r="H688" s="129" t="s">
        <v>2182</v>
      </c>
      <c r="I688" s="129" t="s">
        <v>40</v>
      </c>
      <c r="J688" s="188">
        <v>37430</v>
      </c>
      <c r="K688" s="129" t="s">
        <v>41</v>
      </c>
      <c r="L688" s="129" t="s">
        <v>42</v>
      </c>
      <c r="M688" s="163" t="s">
        <v>4222</v>
      </c>
      <c r="N688" s="188">
        <v>45607</v>
      </c>
      <c r="O688" s="163" t="s">
        <v>2981</v>
      </c>
      <c r="P688" s="129" t="s">
        <v>2347</v>
      </c>
      <c r="Q688" s="129" t="s">
        <v>3676</v>
      </c>
      <c r="R688" s="163">
        <v>9510513201</v>
      </c>
      <c r="S688" s="129">
        <v>36445</v>
      </c>
      <c r="T688" s="160">
        <v>102145917115</v>
      </c>
      <c r="U688" s="126" t="s">
        <v>8660</v>
      </c>
      <c r="V688" s="148">
        <v>3715736990</v>
      </c>
      <c r="W688" s="145" t="s">
        <v>8661</v>
      </c>
      <c r="X688" s="145" t="s">
        <v>8662</v>
      </c>
      <c r="Y688" s="216" t="s">
        <v>8663</v>
      </c>
      <c r="Z688" s="145" t="s">
        <v>8664</v>
      </c>
      <c r="AA688" s="221" t="s">
        <v>8665</v>
      </c>
      <c r="AB688" s="221" t="s">
        <v>8665</v>
      </c>
      <c r="AC688" s="189" t="s">
        <v>8535</v>
      </c>
      <c r="AD688" s="145"/>
      <c r="AE688" s="145"/>
      <c r="AF688" s="145"/>
      <c r="AG688" s="145"/>
      <c r="AH688" s="145"/>
      <c r="AI688" s="145"/>
      <c r="AJ688" s="129"/>
      <c r="AK688" s="220"/>
      <c r="AL688" s="220" t="s">
        <v>8666</v>
      </c>
      <c r="AM688" s="218"/>
    </row>
    <row r="689" spans="1:39" ht="28.5">
      <c r="A689" s="137">
        <f>SUBTOTAL(3,$B$3:B689)</f>
        <v>687</v>
      </c>
      <c r="B689" s="203" t="s">
        <v>8536</v>
      </c>
      <c r="C689" s="163" t="s">
        <v>8537</v>
      </c>
      <c r="D689" s="163" t="s">
        <v>8538</v>
      </c>
      <c r="E689" s="129" t="s">
        <v>754</v>
      </c>
      <c r="F689" s="129" t="s">
        <v>8539</v>
      </c>
      <c r="G689" s="129" t="s">
        <v>2345</v>
      </c>
      <c r="H689" s="129" t="s">
        <v>190</v>
      </c>
      <c r="I689" s="129" t="s">
        <v>40</v>
      </c>
      <c r="J689" s="188">
        <v>37321</v>
      </c>
      <c r="K689" s="129" t="s">
        <v>41</v>
      </c>
      <c r="L689" s="129" t="s">
        <v>42</v>
      </c>
      <c r="M689" s="163" t="s">
        <v>4222</v>
      </c>
      <c r="N689" s="188">
        <v>45607</v>
      </c>
      <c r="O689" s="163" t="s">
        <v>2981</v>
      </c>
      <c r="P689" s="129" t="s">
        <v>2347</v>
      </c>
      <c r="Q689" s="129" t="s">
        <v>3676</v>
      </c>
      <c r="R689" s="163">
        <v>9016238137</v>
      </c>
      <c r="S689" s="129">
        <v>36309</v>
      </c>
      <c r="T689" s="160">
        <v>102138916238</v>
      </c>
      <c r="U689" s="126" t="s">
        <v>7193</v>
      </c>
      <c r="V689" s="151">
        <v>3715736574</v>
      </c>
      <c r="W689" s="145" t="s">
        <v>8540</v>
      </c>
      <c r="X689" s="145" t="s">
        <v>8543</v>
      </c>
      <c r="Y689" s="216" t="s">
        <v>170</v>
      </c>
      <c r="Z689" s="145" t="s">
        <v>169</v>
      </c>
      <c r="AA689" s="221" t="s">
        <v>8541</v>
      </c>
      <c r="AB689" s="221" t="s">
        <v>8541</v>
      </c>
      <c r="AC689" s="189" t="s">
        <v>8536</v>
      </c>
      <c r="AD689" s="145"/>
      <c r="AE689" s="145"/>
      <c r="AF689" s="145"/>
      <c r="AG689" s="145"/>
      <c r="AH689" s="145"/>
      <c r="AI689" s="145"/>
      <c r="AJ689" s="129"/>
      <c r="AK689" s="220"/>
      <c r="AL689" s="220" t="s">
        <v>8542</v>
      </c>
      <c r="AM689" s="218"/>
    </row>
    <row r="690" spans="1:39" ht="28.5">
      <c r="A690" s="137">
        <f>SUBTOTAL(3,$B$3:B690)</f>
        <v>688</v>
      </c>
      <c r="B690" s="203" t="s">
        <v>8546</v>
      </c>
      <c r="C690" s="163" t="s">
        <v>8552</v>
      </c>
      <c r="D690" s="163" t="s">
        <v>8553</v>
      </c>
      <c r="E690" s="129" t="s">
        <v>3365</v>
      </c>
      <c r="F690" s="129" t="s">
        <v>8554</v>
      </c>
      <c r="G690" s="129" t="s">
        <v>2345</v>
      </c>
      <c r="H690" s="129" t="s">
        <v>441</v>
      </c>
      <c r="I690" s="129" t="s">
        <v>40</v>
      </c>
      <c r="J690" s="188">
        <v>37199</v>
      </c>
      <c r="K690" s="129" t="s">
        <v>41</v>
      </c>
      <c r="L690" s="129" t="s">
        <v>42</v>
      </c>
      <c r="M690" s="163" t="s">
        <v>4016</v>
      </c>
      <c r="N690" s="188">
        <v>45609</v>
      </c>
      <c r="O690" s="163" t="s">
        <v>44</v>
      </c>
      <c r="P690" s="129" t="s">
        <v>2347</v>
      </c>
      <c r="Q690" s="129" t="s">
        <v>3676</v>
      </c>
      <c r="R690" s="163">
        <v>9426997153</v>
      </c>
      <c r="S690" s="129">
        <v>36310</v>
      </c>
      <c r="T690" s="160">
        <v>101959390754</v>
      </c>
      <c r="U690" s="126" t="s">
        <v>8555</v>
      </c>
      <c r="V690" s="151">
        <v>3714926481</v>
      </c>
      <c r="W690" s="145" t="s">
        <v>8556</v>
      </c>
      <c r="X690" s="145" t="s">
        <v>8557</v>
      </c>
      <c r="Y690" s="216" t="s">
        <v>146</v>
      </c>
      <c r="Z690" s="145" t="s">
        <v>2352</v>
      </c>
      <c r="AA690" s="221" t="s">
        <v>8558</v>
      </c>
      <c r="AB690" s="221" t="s">
        <v>8559</v>
      </c>
      <c r="AC690" s="189" t="s">
        <v>8546</v>
      </c>
      <c r="AD690" s="145"/>
      <c r="AE690" s="145"/>
      <c r="AF690" s="145"/>
      <c r="AG690" s="145"/>
      <c r="AH690" s="145"/>
      <c r="AI690" s="145"/>
      <c r="AJ690" s="129"/>
      <c r="AK690" s="220"/>
      <c r="AL690" s="220" t="s">
        <v>8560</v>
      </c>
      <c r="AM690" s="218"/>
    </row>
    <row r="691" spans="1:39" ht="28.5">
      <c r="A691" s="137">
        <f>SUBTOTAL(3,$B$3:B691)</f>
        <v>689</v>
      </c>
      <c r="B691" s="203" t="s">
        <v>8547</v>
      </c>
      <c r="C691" s="163" t="s">
        <v>8561</v>
      </c>
      <c r="D691" s="163" t="s">
        <v>8561</v>
      </c>
      <c r="E691" s="129" t="s">
        <v>8562</v>
      </c>
      <c r="F691" s="129" t="s">
        <v>723</v>
      </c>
      <c r="G691" s="129" t="s">
        <v>2345</v>
      </c>
      <c r="H691" s="129" t="s">
        <v>918</v>
      </c>
      <c r="I691" s="129" t="s">
        <v>40</v>
      </c>
      <c r="J691" s="188">
        <v>37515</v>
      </c>
      <c r="K691" s="129" t="s">
        <v>41</v>
      </c>
      <c r="L691" s="129" t="s">
        <v>42</v>
      </c>
      <c r="M691" s="163" t="s">
        <v>4016</v>
      </c>
      <c r="N691" s="188">
        <v>45609</v>
      </c>
      <c r="O691" s="163" t="s">
        <v>44</v>
      </c>
      <c r="P691" s="129" t="s">
        <v>2347</v>
      </c>
      <c r="Q691" s="129" t="s">
        <v>3676</v>
      </c>
      <c r="R691" s="163">
        <v>9054199263</v>
      </c>
      <c r="S691" s="129">
        <v>36311</v>
      </c>
      <c r="T691" s="160">
        <v>101959391470</v>
      </c>
      <c r="U691" s="126" t="s">
        <v>8563</v>
      </c>
      <c r="V691" s="151">
        <v>3714926243</v>
      </c>
      <c r="W691" s="145" t="s">
        <v>8564</v>
      </c>
      <c r="X691" s="145" t="s">
        <v>8565</v>
      </c>
      <c r="Y691" s="216" t="s">
        <v>146</v>
      </c>
      <c r="Z691" s="145" t="s">
        <v>2352</v>
      </c>
      <c r="AA691" s="221" t="s">
        <v>8566</v>
      </c>
      <c r="AB691" s="221" t="s">
        <v>8567</v>
      </c>
      <c r="AC691" s="189" t="s">
        <v>8547</v>
      </c>
      <c r="AD691" s="145"/>
      <c r="AE691" s="145"/>
      <c r="AF691" s="145"/>
      <c r="AG691" s="145"/>
      <c r="AH691" s="145"/>
      <c r="AI691" s="145"/>
      <c r="AJ691" s="129"/>
      <c r="AK691" s="220"/>
      <c r="AL691" s="220" t="s">
        <v>8568</v>
      </c>
      <c r="AM691" s="218"/>
    </row>
    <row r="692" spans="1:39" ht="28.5">
      <c r="A692" s="137">
        <f>SUBTOTAL(3,$B$3:B692)</f>
        <v>690</v>
      </c>
      <c r="B692" s="203" t="s">
        <v>8548</v>
      </c>
      <c r="C692" s="163" t="s">
        <v>8569</v>
      </c>
      <c r="D692" s="163" t="s">
        <v>8569</v>
      </c>
      <c r="E692" s="129" t="s">
        <v>110</v>
      </c>
      <c r="F692" s="129" t="s">
        <v>8570</v>
      </c>
      <c r="G692" s="129" t="s">
        <v>2345</v>
      </c>
      <c r="H692" s="129" t="s">
        <v>8571</v>
      </c>
      <c r="I692" s="129" t="s">
        <v>40</v>
      </c>
      <c r="J692" s="188">
        <v>35429</v>
      </c>
      <c r="K692" s="129" t="s">
        <v>41</v>
      </c>
      <c r="L692" s="129" t="s">
        <v>42</v>
      </c>
      <c r="M692" s="163" t="s">
        <v>4016</v>
      </c>
      <c r="N692" s="188">
        <v>45609</v>
      </c>
      <c r="O692" s="163" t="s">
        <v>44</v>
      </c>
      <c r="P692" s="129" t="s">
        <v>2347</v>
      </c>
      <c r="Q692" s="129" t="s">
        <v>3676</v>
      </c>
      <c r="R692" s="163">
        <v>9974698536</v>
      </c>
      <c r="S692" s="129">
        <v>36305</v>
      </c>
      <c r="T692" s="160">
        <v>101374123622</v>
      </c>
      <c r="U692" s="126" t="s">
        <v>8572</v>
      </c>
      <c r="V692" s="151">
        <v>3715736584</v>
      </c>
      <c r="W692" s="145" t="s">
        <v>8573</v>
      </c>
      <c r="X692" s="145" t="s">
        <v>8574</v>
      </c>
      <c r="Y692" s="216" t="s">
        <v>4952</v>
      </c>
      <c r="Z692" s="145" t="s">
        <v>7803</v>
      </c>
      <c r="AA692" s="221" t="s">
        <v>8575</v>
      </c>
      <c r="AB692" s="221" t="s">
        <v>8575</v>
      </c>
      <c r="AC692" s="189" t="s">
        <v>8548</v>
      </c>
      <c r="AD692" s="145"/>
      <c r="AE692" s="145"/>
      <c r="AF692" s="145"/>
      <c r="AG692" s="145"/>
      <c r="AH692" s="145"/>
      <c r="AI692" s="145"/>
      <c r="AJ692" s="129"/>
      <c r="AK692" s="220"/>
      <c r="AL692" s="220" t="s">
        <v>8576</v>
      </c>
      <c r="AM692" s="218"/>
    </row>
    <row r="693" spans="1:39" ht="28.5">
      <c r="A693" s="137">
        <f>SUBTOTAL(3,$B$3:B693)</f>
        <v>691</v>
      </c>
      <c r="B693" s="203" t="s">
        <v>8549</v>
      </c>
      <c r="C693" s="163" t="s">
        <v>8577</v>
      </c>
      <c r="D693" s="163" t="s">
        <v>8577</v>
      </c>
      <c r="E693" s="129" t="s">
        <v>212</v>
      </c>
      <c r="F693" s="129" t="s">
        <v>971</v>
      </c>
      <c r="G693" s="129" t="s">
        <v>2345</v>
      </c>
      <c r="H693" s="129" t="s">
        <v>810</v>
      </c>
      <c r="I693" s="129" t="s">
        <v>40</v>
      </c>
      <c r="J693" s="188">
        <v>37087</v>
      </c>
      <c r="K693" s="129" t="s">
        <v>41</v>
      </c>
      <c r="L693" s="129" t="s">
        <v>42</v>
      </c>
      <c r="M693" s="163" t="s">
        <v>6752</v>
      </c>
      <c r="N693" s="188">
        <v>45609</v>
      </c>
      <c r="O693" s="163" t="s">
        <v>44</v>
      </c>
      <c r="P693" s="129" t="s">
        <v>2347</v>
      </c>
      <c r="Q693" s="129" t="s">
        <v>3676</v>
      </c>
      <c r="R693" s="163">
        <v>7383665158</v>
      </c>
      <c r="S693" s="129">
        <v>36312</v>
      </c>
      <c r="T693" s="160">
        <v>102121680113</v>
      </c>
      <c r="U693" s="126" t="s">
        <v>8578</v>
      </c>
      <c r="V693" s="151">
        <v>3715736595</v>
      </c>
      <c r="W693" s="145" t="s">
        <v>8579</v>
      </c>
      <c r="X693" s="145" t="s">
        <v>8580</v>
      </c>
      <c r="Y693" s="216" t="s">
        <v>65</v>
      </c>
      <c r="Z693" s="145" t="s">
        <v>8581</v>
      </c>
      <c r="AA693" s="221" t="s">
        <v>8582</v>
      </c>
      <c r="AB693" s="221" t="s">
        <v>8583</v>
      </c>
      <c r="AC693" s="189" t="s">
        <v>8549</v>
      </c>
      <c r="AD693" s="145"/>
      <c r="AE693" s="145"/>
      <c r="AF693" s="145"/>
      <c r="AG693" s="145"/>
      <c r="AH693" s="145"/>
      <c r="AI693" s="145"/>
      <c r="AJ693" s="129"/>
      <c r="AK693" s="220"/>
      <c r="AL693" s="220" t="s">
        <v>8584</v>
      </c>
      <c r="AM693" s="218"/>
    </row>
    <row r="694" spans="1:39" ht="28.5">
      <c r="A694" s="137">
        <f>SUBTOTAL(3,$B$3:B694)</f>
        <v>692</v>
      </c>
      <c r="B694" s="203" t="s">
        <v>8550</v>
      </c>
      <c r="C694" s="163" t="s">
        <v>8585</v>
      </c>
      <c r="D694" s="163" t="s">
        <v>8586</v>
      </c>
      <c r="E694" s="129" t="s">
        <v>1366</v>
      </c>
      <c r="F694" s="129" t="s">
        <v>1480</v>
      </c>
      <c r="G694" s="129" t="s">
        <v>2345</v>
      </c>
      <c r="H694" s="129" t="s">
        <v>1416</v>
      </c>
      <c r="I694" s="129" t="s">
        <v>40</v>
      </c>
      <c r="J694" s="188">
        <v>37601</v>
      </c>
      <c r="K694" s="129" t="s">
        <v>41</v>
      </c>
      <c r="L694" s="129" t="s">
        <v>42</v>
      </c>
      <c r="M694" s="163" t="s">
        <v>4016</v>
      </c>
      <c r="N694" s="188">
        <v>45609</v>
      </c>
      <c r="O694" s="163" t="s">
        <v>44</v>
      </c>
      <c r="P694" s="129" t="s">
        <v>2347</v>
      </c>
      <c r="Q694" s="129" t="s">
        <v>3676</v>
      </c>
      <c r="R694" s="163">
        <v>9974829959</v>
      </c>
      <c r="S694" s="129">
        <v>36306</v>
      </c>
      <c r="T694" s="160">
        <v>102138916229</v>
      </c>
      <c r="U694" s="126" t="s">
        <v>8587</v>
      </c>
      <c r="V694" s="151">
        <v>3715736602</v>
      </c>
      <c r="W694" s="145" t="s">
        <v>8588</v>
      </c>
      <c r="X694" s="145" t="s">
        <v>8589</v>
      </c>
      <c r="Y694" s="216" t="s">
        <v>65</v>
      </c>
      <c r="Z694" s="145" t="s">
        <v>1361</v>
      </c>
      <c r="AA694" s="221" t="s">
        <v>8590</v>
      </c>
      <c r="AB694" s="221" t="s">
        <v>8590</v>
      </c>
      <c r="AC694" s="189" t="s">
        <v>8550</v>
      </c>
      <c r="AD694" s="145"/>
      <c r="AE694" s="145"/>
      <c r="AF694" s="145"/>
      <c r="AG694" s="145"/>
      <c r="AH694" s="145"/>
      <c r="AI694" s="145"/>
      <c r="AJ694" s="129"/>
      <c r="AK694" s="220"/>
      <c r="AL694" s="220" t="s">
        <v>8591</v>
      </c>
      <c r="AM694" s="218"/>
    </row>
    <row r="695" spans="1:39" ht="28.5">
      <c r="A695" s="137">
        <f>SUBTOTAL(3,$B$3:B695)</f>
        <v>693</v>
      </c>
      <c r="B695" s="203" t="s">
        <v>8551</v>
      </c>
      <c r="C695" s="163" t="s">
        <v>8592</v>
      </c>
      <c r="D695" s="163" t="s">
        <v>8592</v>
      </c>
      <c r="E695" s="129" t="s">
        <v>1378</v>
      </c>
      <c r="F695" s="129" t="s">
        <v>8593</v>
      </c>
      <c r="G695" s="129" t="s">
        <v>2345</v>
      </c>
      <c r="H695" s="129" t="s">
        <v>533</v>
      </c>
      <c r="I695" s="129" t="s">
        <v>40</v>
      </c>
      <c r="J695" s="188">
        <v>37234</v>
      </c>
      <c r="K695" s="129" t="s">
        <v>41</v>
      </c>
      <c r="L695" s="129" t="s">
        <v>42</v>
      </c>
      <c r="M695" s="163" t="s">
        <v>6752</v>
      </c>
      <c r="N695" s="188">
        <v>45609</v>
      </c>
      <c r="O695" s="163" t="s">
        <v>44</v>
      </c>
      <c r="P695" s="129" t="s">
        <v>2347</v>
      </c>
      <c r="Q695" s="129" t="s">
        <v>3676</v>
      </c>
      <c r="R695" s="163">
        <v>7041898316</v>
      </c>
      <c r="S695" s="129">
        <v>36353</v>
      </c>
      <c r="T695" s="160">
        <v>102098896545</v>
      </c>
      <c r="U695" s="126" t="s">
        <v>8594</v>
      </c>
      <c r="V695" s="151">
        <v>3715736607</v>
      </c>
      <c r="W695" s="145" t="s">
        <v>8595</v>
      </c>
      <c r="X695" s="145" t="s">
        <v>8596</v>
      </c>
      <c r="Y695" s="216" t="s">
        <v>4952</v>
      </c>
      <c r="Z695" s="145" t="s">
        <v>8054</v>
      </c>
      <c r="AA695" s="221" t="s">
        <v>8597</v>
      </c>
      <c r="AB695" s="221" t="s">
        <v>8597</v>
      </c>
      <c r="AC695" s="189" t="s">
        <v>8551</v>
      </c>
      <c r="AD695" s="145"/>
      <c r="AE695" s="145"/>
      <c r="AF695" s="145"/>
      <c r="AG695" s="145"/>
      <c r="AH695" s="145"/>
      <c r="AI695" s="145"/>
      <c r="AJ695" s="129"/>
      <c r="AK695" s="220"/>
      <c r="AL695" s="220" t="s">
        <v>8598</v>
      </c>
      <c r="AM695" s="218"/>
    </row>
    <row r="696" spans="1:39" ht="28.5">
      <c r="A696" s="137">
        <f>SUBTOTAL(3,$B$3:B696)</f>
        <v>694</v>
      </c>
      <c r="B696" s="203" t="s">
        <v>8599</v>
      </c>
      <c r="C696" s="163" t="s">
        <v>8606</v>
      </c>
      <c r="D696" s="163" t="s">
        <v>8607</v>
      </c>
      <c r="E696" s="129" t="s">
        <v>1254</v>
      </c>
      <c r="F696" s="129" t="s">
        <v>7770</v>
      </c>
      <c r="G696" s="129" t="s">
        <v>2345</v>
      </c>
      <c r="H696" s="129" t="s">
        <v>2422</v>
      </c>
      <c r="I696" s="129" t="s">
        <v>40</v>
      </c>
      <c r="J696" s="188">
        <v>33542</v>
      </c>
      <c r="K696" s="129" t="s">
        <v>41</v>
      </c>
      <c r="L696" s="129" t="s">
        <v>42</v>
      </c>
      <c r="M696" s="163" t="s">
        <v>4760</v>
      </c>
      <c r="N696" s="188">
        <v>45609</v>
      </c>
      <c r="O696" s="163" t="s">
        <v>2991</v>
      </c>
      <c r="P696" s="129" t="s">
        <v>2347</v>
      </c>
      <c r="Q696" s="129" t="s">
        <v>3676</v>
      </c>
      <c r="R696" s="163">
        <v>8238446154</v>
      </c>
      <c r="S696" s="129">
        <v>36391</v>
      </c>
      <c r="T696" s="160">
        <v>102141464720</v>
      </c>
      <c r="U696" s="126" t="s">
        <v>7193</v>
      </c>
      <c r="V696" s="148">
        <v>3715737000</v>
      </c>
      <c r="W696" s="145" t="s">
        <v>8608</v>
      </c>
      <c r="X696" s="145" t="s">
        <v>8667</v>
      </c>
      <c r="Y696" s="216" t="s">
        <v>146</v>
      </c>
      <c r="Z696" s="145" t="s">
        <v>447</v>
      </c>
      <c r="AA696" s="221" t="s">
        <v>8609</v>
      </c>
      <c r="AB696" s="221" t="s">
        <v>8609</v>
      </c>
      <c r="AC696" s="189" t="s">
        <v>8599</v>
      </c>
      <c r="AD696" s="145"/>
      <c r="AE696" s="145"/>
      <c r="AF696" s="145"/>
      <c r="AG696" s="145"/>
      <c r="AH696" s="145"/>
      <c r="AI696" s="145"/>
      <c r="AJ696" s="129"/>
      <c r="AK696" s="220"/>
      <c r="AL696" s="220"/>
      <c r="AM696" s="218"/>
    </row>
    <row r="697" spans="1:39" ht="28.5">
      <c r="A697" s="137">
        <f>SUBTOTAL(3,$B$3:B697)</f>
        <v>695</v>
      </c>
      <c r="B697" s="203" t="s">
        <v>8600</v>
      </c>
      <c r="C697" s="163" t="s">
        <v>8668</v>
      </c>
      <c r="D697" s="163" t="s">
        <v>8668</v>
      </c>
      <c r="E697" s="129" t="s">
        <v>1428</v>
      </c>
      <c r="F697" s="129" t="s">
        <v>8669</v>
      </c>
      <c r="G697" s="129" t="s">
        <v>2345</v>
      </c>
      <c r="H697" s="129" t="s">
        <v>1019</v>
      </c>
      <c r="I697" s="129" t="s">
        <v>40</v>
      </c>
      <c r="J697" s="188">
        <v>37072</v>
      </c>
      <c r="K697" s="129" t="s">
        <v>41</v>
      </c>
      <c r="L697" s="129" t="s">
        <v>42</v>
      </c>
      <c r="M697" s="163" t="s">
        <v>4016</v>
      </c>
      <c r="N697" s="188">
        <v>45611</v>
      </c>
      <c r="O697" s="163" t="s">
        <v>44</v>
      </c>
      <c r="P697" s="129" t="s">
        <v>2347</v>
      </c>
      <c r="Q697" s="129" t="s">
        <v>3676</v>
      </c>
      <c r="R697" s="163">
        <v>7046085054</v>
      </c>
      <c r="S697" s="129">
        <v>36383</v>
      </c>
      <c r="T697" s="160">
        <v>101942709404</v>
      </c>
      <c r="U697" s="126" t="s">
        <v>8670</v>
      </c>
      <c r="V697" s="151">
        <v>3715740044</v>
      </c>
      <c r="W697" s="145" t="s">
        <v>8671</v>
      </c>
      <c r="X697" s="145" t="s">
        <v>8672</v>
      </c>
      <c r="Y697" s="216" t="s">
        <v>8673</v>
      </c>
      <c r="Z697" s="145" t="s">
        <v>8674</v>
      </c>
      <c r="AA697" s="221" t="s">
        <v>8675</v>
      </c>
      <c r="AB697" s="221" t="s">
        <v>8676</v>
      </c>
      <c r="AC697" s="189" t="s">
        <v>8600</v>
      </c>
      <c r="AD697" s="145"/>
      <c r="AE697" s="145"/>
      <c r="AF697" s="145"/>
      <c r="AG697" s="145"/>
      <c r="AH697" s="145"/>
      <c r="AI697" s="145"/>
      <c r="AJ697" s="129"/>
      <c r="AK697" s="220"/>
      <c r="AL697" s="220" t="s">
        <v>8677</v>
      </c>
      <c r="AM697" s="218"/>
    </row>
    <row r="698" spans="1:39" ht="42.75">
      <c r="A698" s="137">
        <f>SUBTOTAL(3,$B$3:B698)</f>
        <v>696</v>
      </c>
      <c r="B698" s="203" t="s">
        <v>8601</v>
      </c>
      <c r="C698" s="163" t="s">
        <v>8678</v>
      </c>
      <c r="D698" s="163" t="s">
        <v>8679</v>
      </c>
      <c r="E698" s="129" t="s">
        <v>8680</v>
      </c>
      <c r="F698" s="129" t="s">
        <v>8681</v>
      </c>
      <c r="G698" s="129" t="s">
        <v>2345</v>
      </c>
      <c r="H698" s="129" t="s">
        <v>507</v>
      </c>
      <c r="I698" s="129" t="s">
        <v>40</v>
      </c>
      <c r="J698" s="188">
        <v>37809</v>
      </c>
      <c r="K698" s="129" t="s">
        <v>41</v>
      </c>
      <c r="L698" s="129" t="s">
        <v>42</v>
      </c>
      <c r="M698" s="163" t="s">
        <v>4016</v>
      </c>
      <c r="N698" s="188">
        <v>45611</v>
      </c>
      <c r="O698" s="163" t="s">
        <v>44</v>
      </c>
      <c r="P698" s="129" t="s">
        <v>2347</v>
      </c>
      <c r="Q698" s="129" t="s">
        <v>3676</v>
      </c>
      <c r="R698" s="163">
        <v>8153879205</v>
      </c>
      <c r="S698" s="129">
        <v>36381</v>
      </c>
      <c r="T698" s="160">
        <v>102141464689</v>
      </c>
      <c r="U698" s="126" t="s">
        <v>7193</v>
      </c>
      <c r="V698" s="151">
        <v>3715740054</v>
      </c>
      <c r="W698" s="145" t="s">
        <v>8682</v>
      </c>
      <c r="X698" s="145" t="s">
        <v>8683</v>
      </c>
      <c r="Y698" s="216" t="s">
        <v>65</v>
      </c>
      <c r="Z698" s="145" t="s">
        <v>8684</v>
      </c>
      <c r="AA698" s="221" t="s">
        <v>8685</v>
      </c>
      <c r="AB698" s="221" t="s">
        <v>8685</v>
      </c>
      <c r="AC698" s="189" t="s">
        <v>8601</v>
      </c>
      <c r="AD698" s="145"/>
      <c r="AE698" s="145"/>
      <c r="AF698" s="145"/>
      <c r="AG698" s="145"/>
      <c r="AH698" s="145"/>
      <c r="AI698" s="145"/>
      <c r="AJ698" s="129"/>
      <c r="AK698" s="220"/>
      <c r="AL698" s="220"/>
      <c r="AM698" s="218"/>
    </row>
    <row r="699" spans="1:39" ht="28.5">
      <c r="A699" s="137">
        <f>SUBTOTAL(3,$B$3:B699)</f>
        <v>697</v>
      </c>
      <c r="B699" s="203" t="s">
        <v>8602</v>
      </c>
      <c r="C699" s="163" t="s">
        <v>8686</v>
      </c>
      <c r="D699" s="163" t="s">
        <v>8687</v>
      </c>
      <c r="E699" s="129" t="s">
        <v>8688</v>
      </c>
      <c r="F699" s="129" t="s">
        <v>8689</v>
      </c>
      <c r="G699" s="129" t="s">
        <v>2345</v>
      </c>
      <c r="H699" s="129" t="s">
        <v>8690</v>
      </c>
      <c r="I699" s="129" t="s">
        <v>702</v>
      </c>
      <c r="J699" s="188">
        <v>34130</v>
      </c>
      <c r="K699" s="129" t="s">
        <v>280</v>
      </c>
      <c r="L699" s="129" t="s">
        <v>42</v>
      </c>
      <c r="M699" s="163" t="s">
        <v>4016</v>
      </c>
      <c r="N699" s="188">
        <v>45611</v>
      </c>
      <c r="O699" s="163" t="s">
        <v>44</v>
      </c>
      <c r="P699" s="129" t="s">
        <v>2347</v>
      </c>
      <c r="Q699" s="129" t="s">
        <v>3676</v>
      </c>
      <c r="R699" s="163">
        <v>7041229273</v>
      </c>
      <c r="S699" s="129">
        <v>36382</v>
      </c>
      <c r="T699" s="160">
        <v>102141464691</v>
      </c>
      <c r="U699" s="126" t="s">
        <v>7193</v>
      </c>
      <c r="V699" s="151">
        <v>3715740067</v>
      </c>
      <c r="W699" s="145" t="s">
        <v>8691</v>
      </c>
      <c r="X699" s="145" t="s">
        <v>8692</v>
      </c>
      <c r="Y699" s="216" t="s">
        <v>146</v>
      </c>
      <c r="Z699" s="145" t="s">
        <v>8693</v>
      </c>
      <c r="AA699" s="221" t="s">
        <v>8694</v>
      </c>
      <c r="AB699" s="221" t="s">
        <v>8694</v>
      </c>
      <c r="AC699" s="189" t="s">
        <v>8602</v>
      </c>
      <c r="AD699" s="145"/>
      <c r="AE699" s="145"/>
      <c r="AF699" s="145"/>
      <c r="AG699" s="145"/>
      <c r="AH699" s="145"/>
      <c r="AI699" s="145"/>
      <c r="AJ699" s="129"/>
      <c r="AK699" s="220"/>
      <c r="AL699" s="220" t="s">
        <v>8695</v>
      </c>
      <c r="AM699" s="218"/>
    </row>
    <row r="700" spans="1:39">
      <c r="A700" s="137">
        <f>SUBTOTAL(3,$B$3:B700)</f>
        <v>698</v>
      </c>
      <c r="B700" s="203" t="s">
        <v>8603</v>
      </c>
      <c r="C700" s="163" t="s">
        <v>3727</v>
      </c>
      <c r="D700" s="163" t="s">
        <v>3727</v>
      </c>
      <c r="E700" s="163" t="s">
        <v>3727</v>
      </c>
      <c r="F700" s="163" t="s">
        <v>3727</v>
      </c>
      <c r="G700" s="163" t="s">
        <v>3727</v>
      </c>
      <c r="H700" s="163" t="s">
        <v>3727</v>
      </c>
      <c r="I700" s="163" t="s">
        <v>3727</v>
      </c>
      <c r="J700" s="163" t="s">
        <v>3727</v>
      </c>
      <c r="K700" s="163" t="s">
        <v>3727</v>
      </c>
      <c r="L700" s="163" t="s">
        <v>3727</v>
      </c>
      <c r="M700" s="163" t="s">
        <v>3727</v>
      </c>
      <c r="N700" s="163" t="s">
        <v>3727</v>
      </c>
      <c r="O700" s="163" t="s">
        <v>3727</v>
      </c>
      <c r="P700" s="163" t="s">
        <v>3727</v>
      </c>
      <c r="Q700" s="163" t="s">
        <v>3727</v>
      </c>
      <c r="R700" s="163" t="s">
        <v>3727</v>
      </c>
      <c r="S700" s="163" t="s">
        <v>3727</v>
      </c>
      <c r="T700" s="222" t="s">
        <v>3727</v>
      </c>
      <c r="U700" s="163" t="s">
        <v>3727</v>
      </c>
      <c r="V700" s="163" t="s">
        <v>3727</v>
      </c>
      <c r="W700" s="163" t="s">
        <v>3727</v>
      </c>
      <c r="X700" s="163" t="s">
        <v>3727</v>
      </c>
      <c r="Y700" s="163" t="s">
        <v>3727</v>
      </c>
      <c r="Z700" s="163" t="s">
        <v>3727</v>
      </c>
      <c r="AA700" s="163" t="s">
        <v>3727</v>
      </c>
      <c r="AB700" s="163" t="s">
        <v>3727</v>
      </c>
      <c r="AC700" s="189" t="s">
        <v>8603</v>
      </c>
      <c r="AD700" s="145"/>
      <c r="AE700" s="145"/>
      <c r="AF700" s="145"/>
      <c r="AG700" s="145"/>
      <c r="AH700" s="145"/>
      <c r="AI700" s="145"/>
      <c r="AJ700" s="129"/>
      <c r="AK700" s="220"/>
      <c r="AL700" s="220"/>
      <c r="AM700" s="218"/>
    </row>
    <row r="701" spans="1:39" ht="28.5">
      <c r="A701" s="137">
        <f>SUBTOTAL(3,$B$3:B701)</f>
        <v>699</v>
      </c>
      <c r="B701" s="203" t="s">
        <v>8604</v>
      </c>
      <c r="C701" s="163" t="s">
        <v>8696</v>
      </c>
      <c r="D701" s="163" t="s">
        <v>8778</v>
      </c>
      <c r="E701" s="129" t="s">
        <v>722</v>
      </c>
      <c r="F701" s="129" t="s">
        <v>8779</v>
      </c>
      <c r="G701" s="129" t="s">
        <v>2389</v>
      </c>
      <c r="H701" s="129" t="s">
        <v>8780</v>
      </c>
      <c r="I701" s="129" t="s">
        <v>40</v>
      </c>
      <c r="J701" s="188">
        <v>37327</v>
      </c>
      <c r="K701" s="129" t="s">
        <v>280</v>
      </c>
      <c r="L701" s="129" t="s">
        <v>42</v>
      </c>
      <c r="M701" s="163" t="s">
        <v>4016</v>
      </c>
      <c r="N701" s="188">
        <v>45611</v>
      </c>
      <c r="O701" s="163" t="s">
        <v>44</v>
      </c>
      <c r="P701" s="129" t="s">
        <v>2347</v>
      </c>
      <c r="Q701" s="129" t="s">
        <v>3676</v>
      </c>
      <c r="R701" s="163">
        <v>9664901964</v>
      </c>
      <c r="S701" s="129">
        <v>36392</v>
      </c>
      <c r="T701" s="160">
        <v>102141464731</v>
      </c>
      <c r="U701" s="126" t="s">
        <v>8781</v>
      </c>
      <c r="V701" s="148">
        <v>3715768708</v>
      </c>
      <c r="W701" s="145" t="s">
        <v>8782</v>
      </c>
      <c r="X701" s="145" t="s">
        <v>8783</v>
      </c>
      <c r="Y701" s="216" t="s">
        <v>65</v>
      </c>
      <c r="Z701" s="145" t="s">
        <v>8784</v>
      </c>
      <c r="AA701" s="221" t="s">
        <v>8785</v>
      </c>
      <c r="AB701" s="221" t="s">
        <v>8786</v>
      </c>
      <c r="AC701" s="189" t="s">
        <v>8604</v>
      </c>
      <c r="AD701" s="145"/>
      <c r="AE701" s="145"/>
      <c r="AF701" s="145"/>
      <c r="AG701" s="145"/>
      <c r="AH701" s="145"/>
      <c r="AI701" s="145"/>
      <c r="AJ701" s="129"/>
      <c r="AK701" s="220"/>
      <c r="AL701" s="220"/>
      <c r="AM701" s="218"/>
    </row>
    <row r="702" spans="1:39" ht="42.75">
      <c r="A702" s="137">
        <f>SUBTOTAL(3,$B$3:B702)</f>
        <v>700</v>
      </c>
      <c r="B702" s="203" t="s">
        <v>8605</v>
      </c>
      <c r="C702" s="163" t="s">
        <v>8652</v>
      </c>
      <c r="D702" s="163" t="s">
        <v>8652</v>
      </c>
      <c r="E702" s="129" t="s">
        <v>2322</v>
      </c>
      <c r="F702" s="129" t="s">
        <v>8653</v>
      </c>
      <c r="G702" s="129" t="s">
        <v>2345</v>
      </c>
      <c r="H702" s="129" t="s">
        <v>711</v>
      </c>
      <c r="I702" s="129" t="s">
        <v>40</v>
      </c>
      <c r="J702" s="188">
        <v>37688</v>
      </c>
      <c r="K702" s="129" t="s">
        <v>41</v>
      </c>
      <c r="L702" s="129" t="s">
        <v>42</v>
      </c>
      <c r="M702" s="163" t="s">
        <v>1044</v>
      </c>
      <c r="N702" s="188">
        <v>45611</v>
      </c>
      <c r="O702" s="163" t="s">
        <v>2991</v>
      </c>
      <c r="P702" s="129" t="s">
        <v>2347</v>
      </c>
      <c r="Q702" s="129" t="s">
        <v>3676</v>
      </c>
      <c r="R702" s="163">
        <v>8866082190</v>
      </c>
      <c r="S702" s="129">
        <v>36378</v>
      </c>
      <c r="T702" s="160">
        <v>102141464643</v>
      </c>
      <c r="U702" s="126" t="s">
        <v>8654</v>
      </c>
      <c r="V702" s="151">
        <v>3715740077</v>
      </c>
      <c r="W702" s="145" t="s">
        <v>8655</v>
      </c>
      <c r="X702" s="145" t="s">
        <v>8697</v>
      </c>
      <c r="Y702" s="216" t="s">
        <v>132</v>
      </c>
      <c r="Z702" s="145" t="s">
        <v>374</v>
      </c>
      <c r="AA702" s="221" t="s">
        <v>8656</v>
      </c>
      <c r="AB702" s="221" t="s">
        <v>8656</v>
      </c>
      <c r="AC702" s="189" t="s">
        <v>8605</v>
      </c>
      <c r="AD702" s="145"/>
      <c r="AE702" s="145"/>
      <c r="AF702" s="145"/>
      <c r="AG702" s="145"/>
      <c r="AH702" s="145"/>
      <c r="AI702" s="145"/>
      <c r="AJ702" s="129"/>
      <c r="AK702" s="220"/>
      <c r="AL702" s="220" t="s">
        <v>8657</v>
      </c>
      <c r="AM702" s="218"/>
    </row>
    <row r="703" spans="1:39" ht="28.5">
      <c r="A703" s="137">
        <f>SUBTOTAL(3,$B$3:B703)</f>
        <v>701</v>
      </c>
      <c r="B703" s="203" t="s">
        <v>8610</v>
      </c>
      <c r="C703" s="163" t="s">
        <v>8615</v>
      </c>
      <c r="D703" s="163" t="s">
        <v>8615</v>
      </c>
      <c r="E703" s="129" t="s">
        <v>531</v>
      </c>
      <c r="F703" s="129" t="s">
        <v>189</v>
      </c>
      <c r="G703" s="129" t="s">
        <v>2389</v>
      </c>
      <c r="H703" s="129" t="s">
        <v>8616</v>
      </c>
      <c r="I703" s="129" t="s">
        <v>40</v>
      </c>
      <c r="J703" s="188">
        <v>37026</v>
      </c>
      <c r="K703" s="129" t="s">
        <v>41</v>
      </c>
      <c r="L703" s="129" t="s">
        <v>42</v>
      </c>
      <c r="M703" s="163" t="s">
        <v>4016</v>
      </c>
      <c r="N703" s="188">
        <v>45611</v>
      </c>
      <c r="O703" s="163" t="s">
        <v>44</v>
      </c>
      <c r="P703" s="129" t="s">
        <v>2347</v>
      </c>
      <c r="Q703" s="129" t="s">
        <v>3676</v>
      </c>
      <c r="R703" s="163">
        <v>9714399530</v>
      </c>
      <c r="S703" s="129">
        <v>36388</v>
      </c>
      <c r="T703" s="160">
        <v>102141464712</v>
      </c>
      <c r="U703" s="126" t="s">
        <v>8617</v>
      </c>
      <c r="V703" s="151">
        <v>3715740099</v>
      </c>
      <c r="W703" s="145" t="s">
        <v>8618</v>
      </c>
      <c r="X703" s="145" t="s">
        <v>8619</v>
      </c>
      <c r="Y703" s="216" t="s">
        <v>65</v>
      </c>
      <c r="Z703" s="145" t="s">
        <v>5804</v>
      </c>
      <c r="AA703" s="221" t="s">
        <v>8620</v>
      </c>
      <c r="AB703" s="221" t="s">
        <v>8621</v>
      </c>
      <c r="AC703" s="189" t="s">
        <v>8610</v>
      </c>
      <c r="AD703" s="145"/>
      <c r="AE703" s="145"/>
      <c r="AF703" s="145"/>
      <c r="AG703" s="145"/>
      <c r="AH703" s="145"/>
      <c r="AI703" s="145"/>
      <c r="AJ703" s="129"/>
      <c r="AK703" s="220"/>
      <c r="AL703" s="220" t="s">
        <v>8622</v>
      </c>
      <c r="AM703" s="218"/>
    </row>
    <row r="704" spans="1:39" ht="42.75">
      <c r="A704" s="137">
        <f>SUBTOTAL(3,$B$3:B704)</f>
        <v>702</v>
      </c>
      <c r="B704" s="203" t="s">
        <v>8611</v>
      </c>
      <c r="C704" s="163" t="s">
        <v>8623</v>
      </c>
      <c r="D704" s="163" t="s">
        <v>8624</v>
      </c>
      <c r="E704" s="129" t="s">
        <v>2322</v>
      </c>
      <c r="F704" s="129" t="s">
        <v>4108</v>
      </c>
      <c r="G704" s="129" t="s">
        <v>2345</v>
      </c>
      <c r="H704" s="129" t="s">
        <v>8625</v>
      </c>
      <c r="I704" s="129" t="s">
        <v>40</v>
      </c>
      <c r="J704" s="188">
        <v>37032</v>
      </c>
      <c r="K704" s="129" t="s">
        <v>41</v>
      </c>
      <c r="L704" s="129" t="s">
        <v>42</v>
      </c>
      <c r="M704" s="163" t="s">
        <v>6752</v>
      </c>
      <c r="N704" s="188">
        <v>45611</v>
      </c>
      <c r="O704" s="163" t="s">
        <v>44</v>
      </c>
      <c r="P704" s="129" t="s">
        <v>2347</v>
      </c>
      <c r="Q704" s="129" t="s">
        <v>3676</v>
      </c>
      <c r="R704" s="163">
        <v>6359690936</v>
      </c>
      <c r="S704" s="129">
        <v>36390</v>
      </c>
      <c r="T704" s="160">
        <v>102069525293</v>
      </c>
      <c r="U704" s="126" t="s">
        <v>8626</v>
      </c>
      <c r="V704" s="151">
        <v>3715740115</v>
      </c>
      <c r="W704" s="145" t="s">
        <v>8627</v>
      </c>
      <c r="X704" s="145" t="s">
        <v>8628</v>
      </c>
      <c r="Y704" s="216" t="s">
        <v>7017</v>
      </c>
      <c r="Z704" s="145" t="s">
        <v>3614</v>
      </c>
      <c r="AA704" s="221" t="s">
        <v>8629</v>
      </c>
      <c r="AB704" s="221" t="s">
        <v>8629</v>
      </c>
      <c r="AC704" s="189" t="s">
        <v>8611</v>
      </c>
      <c r="AD704" s="145"/>
      <c r="AE704" s="145"/>
      <c r="AF704" s="145"/>
      <c r="AG704" s="145"/>
      <c r="AH704" s="145"/>
      <c r="AI704" s="145"/>
      <c r="AJ704" s="129"/>
      <c r="AK704" s="220"/>
      <c r="AL704" s="220" t="s">
        <v>8630</v>
      </c>
      <c r="AM704" s="218"/>
    </row>
    <row r="705" spans="1:39" ht="42.75">
      <c r="A705" s="137">
        <f>SUBTOTAL(3,$B$3:B705)</f>
        <v>703</v>
      </c>
      <c r="B705" s="203" t="s">
        <v>8612</v>
      </c>
      <c r="C705" s="163" t="s">
        <v>8631</v>
      </c>
      <c r="D705" s="163" t="s">
        <v>8631</v>
      </c>
      <c r="E705" s="129" t="s">
        <v>754</v>
      </c>
      <c r="F705" s="129" t="s">
        <v>2744</v>
      </c>
      <c r="G705" s="129" t="s">
        <v>2345</v>
      </c>
      <c r="H705" s="129" t="s">
        <v>768</v>
      </c>
      <c r="I705" s="129" t="s">
        <v>40</v>
      </c>
      <c r="J705" s="188">
        <v>37276</v>
      </c>
      <c r="K705" s="129" t="s">
        <v>41</v>
      </c>
      <c r="L705" s="129" t="s">
        <v>42</v>
      </c>
      <c r="M705" s="163" t="s">
        <v>6752</v>
      </c>
      <c r="N705" s="188">
        <v>45611</v>
      </c>
      <c r="O705" s="163" t="s">
        <v>44</v>
      </c>
      <c r="P705" s="129" t="s">
        <v>2347</v>
      </c>
      <c r="Q705" s="129" t="s">
        <v>3676</v>
      </c>
      <c r="R705" s="163">
        <v>9328025365</v>
      </c>
      <c r="S705" s="129">
        <v>36384</v>
      </c>
      <c r="T705" s="160">
        <v>102069535812</v>
      </c>
      <c r="U705" s="126" t="s">
        <v>8632</v>
      </c>
      <c r="V705" s="151">
        <v>3715740124</v>
      </c>
      <c r="W705" s="145" t="s">
        <v>8633</v>
      </c>
      <c r="X705" s="145" t="s">
        <v>8634</v>
      </c>
      <c r="Y705" s="216" t="s">
        <v>146</v>
      </c>
      <c r="Z705" s="145" t="s">
        <v>460</v>
      </c>
      <c r="AA705" s="221" t="s">
        <v>8635</v>
      </c>
      <c r="AB705" s="221" t="s">
        <v>8635</v>
      </c>
      <c r="AC705" s="189" t="s">
        <v>8612</v>
      </c>
      <c r="AD705" s="145"/>
      <c r="AE705" s="145"/>
      <c r="AF705" s="145"/>
      <c r="AG705" s="145"/>
      <c r="AH705" s="145"/>
      <c r="AI705" s="145"/>
      <c r="AJ705" s="129"/>
      <c r="AK705" s="220"/>
      <c r="AL705" s="220" t="s">
        <v>8636</v>
      </c>
      <c r="AM705" s="218"/>
    </row>
    <row r="706" spans="1:39" ht="42.75">
      <c r="A706" s="137">
        <f>SUBTOTAL(3,$B$3:B706)</f>
        <v>704</v>
      </c>
      <c r="B706" s="203" t="s">
        <v>8613</v>
      </c>
      <c r="C706" s="163" t="s">
        <v>8637</v>
      </c>
      <c r="D706" s="163" t="s">
        <v>8637</v>
      </c>
      <c r="E706" s="129" t="s">
        <v>722</v>
      </c>
      <c r="F706" s="129" t="s">
        <v>8638</v>
      </c>
      <c r="G706" s="129" t="s">
        <v>2345</v>
      </c>
      <c r="H706" s="129" t="s">
        <v>8639</v>
      </c>
      <c r="I706" s="129" t="s">
        <v>40</v>
      </c>
      <c r="J706" s="188">
        <v>37065</v>
      </c>
      <c r="K706" s="129" t="s">
        <v>41</v>
      </c>
      <c r="L706" s="129" t="s">
        <v>42</v>
      </c>
      <c r="M706" s="163" t="s">
        <v>6752</v>
      </c>
      <c r="N706" s="188">
        <v>45611</v>
      </c>
      <c r="O706" s="163" t="s">
        <v>44</v>
      </c>
      <c r="P706" s="129" t="s">
        <v>2347</v>
      </c>
      <c r="Q706" s="129" t="s">
        <v>3676</v>
      </c>
      <c r="R706" s="163">
        <v>9265441153</v>
      </c>
      <c r="S706" s="129">
        <v>36386</v>
      </c>
      <c r="T706" s="160">
        <v>101613179815</v>
      </c>
      <c r="U706" s="126" t="s">
        <v>8640</v>
      </c>
      <c r="V706" s="151">
        <v>3715310151</v>
      </c>
      <c r="W706" s="145" t="s">
        <v>8641</v>
      </c>
      <c r="X706" s="145" t="s">
        <v>8642</v>
      </c>
      <c r="Y706" s="216" t="s">
        <v>65</v>
      </c>
      <c r="Z706" s="145" t="s">
        <v>5589</v>
      </c>
      <c r="AA706" s="221" t="s">
        <v>8643</v>
      </c>
      <c r="AB706" s="221" t="s">
        <v>8643</v>
      </c>
      <c r="AC706" s="189" t="s">
        <v>8613</v>
      </c>
      <c r="AD706" s="145"/>
      <c r="AE706" s="145"/>
      <c r="AF706" s="145"/>
      <c r="AG706" s="145"/>
      <c r="AH706" s="145"/>
      <c r="AI706" s="145"/>
      <c r="AJ706" s="129"/>
      <c r="AK706" s="220"/>
      <c r="AL706" s="220" t="s">
        <v>8644</v>
      </c>
      <c r="AM706" s="218"/>
    </row>
    <row r="707" spans="1:39" ht="28.5">
      <c r="A707" s="137">
        <f>SUBTOTAL(3,$B$3:B707)</f>
        <v>705</v>
      </c>
      <c r="B707" s="203" t="s">
        <v>8614</v>
      </c>
      <c r="C707" s="163" t="s">
        <v>8645</v>
      </c>
      <c r="D707" s="163" t="s">
        <v>8645</v>
      </c>
      <c r="E707" s="129" t="s">
        <v>754</v>
      </c>
      <c r="F707" s="129" t="s">
        <v>3314</v>
      </c>
      <c r="G707" s="129" t="s">
        <v>2345</v>
      </c>
      <c r="H707" s="129" t="s">
        <v>8646</v>
      </c>
      <c r="I707" s="129" t="s">
        <v>702</v>
      </c>
      <c r="J707" s="188">
        <v>35778</v>
      </c>
      <c r="K707" s="129" t="s">
        <v>280</v>
      </c>
      <c r="L707" s="129" t="s">
        <v>42</v>
      </c>
      <c r="M707" s="163" t="s">
        <v>4016</v>
      </c>
      <c r="N707" s="188">
        <v>45611</v>
      </c>
      <c r="O707" s="163" t="s">
        <v>44</v>
      </c>
      <c r="P707" s="129" t="s">
        <v>2347</v>
      </c>
      <c r="Q707" s="129" t="s">
        <v>3676</v>
      </c>
      <c r="R707" s="163">
        <v>9974689176</v>
      </c>
      <c r="S707" s="129">
        <v>36379</v>
      </c>
      <c r="T707" s="160">
        <v>101700034722</v>
      </c>
      <c r="U707" s="126" t="s">
        <v>8647</v>
      </c>
      <c r="V707" s="151">
        <v>3715270543</v>
      </c>
      <c r="W707" s="145" t="s">
        <v>8648</v>
      </c>
      <c r="X707" s="145" t="s">
        <v>8649</v>
      </c>
      <c r="Y707" s="216" t="s">
        <v>4688</v>
      </c>
      <c r="Z707" s="145" t="s">
        <v>4689</v>
      </c>
      <c r="AA707" s="221" t="s">
        <v>8650</v>
      </c>
      <c r="AB707" s="221" t="s">
        <v>8650</v>
      </c>
      <c r="AC707" s="189" t="s">
        <v>8614</v>
      </c>
      <c r="AD707" s="145"/>
      <c r="AE707" s="145"/>
      <c r="AF707" s="145"/>
      <c r="AG707" s="145"/>
      <c r="AH707" s="145"/>
      <c r="AI707" s="145"/>
      <c r="AJ707" s="129"/>
      <c r="AK707" s="220"/>
      <c r="AL707" s="220" t="s">
        <v>8651</v>
      </c>
      <c r="AM707" s="218"/>
    </row>
    <row r="708" spans="1:39" ht="28.5">
      <c r="A708" s="137">
        <f>SUBTOTAL(3,$B$3:B708)</f>
        <v>706</v>
      </c>
      <c r="B708" s="203" t="s">
        <v>8698</v>
      </c>
      <c r="C708" s="163" t="s">
        <v>8771</v>
      </c>
      <c r="D708" s="163" t="s">
        <v>8771</v>
      </c>
      <c r="E708" s="129" t="s">
        <v>2770</v>
      </c>
      <c r="F708" s="129" t="s">
        <v>971</v>
      </c>
      <c r="G708" s="129" t="s">
        <v>2345</v>
      </c>
      <c r="H708" s="129" t="s">
        <v>8772</v>
      </c>
      <c r="I708" s="129" t="s">
        <v>40</v>
      </c>
      <c r="J708" s="188">
        <v>37587</v>
      </c>
      <c r="K708" s="129" t="s">
        <v>280</v>
      </c>
      <c r="L708" s="129" t="s">
        <v>42</v>
      </c>
      <c r="M708" s="163" t="s">
        <v>4016</v>
      </c>
      <c r="N708" s="188">
        <v>45612</v>
      </c>
      <c r="O708" s="163" t="s">
        <v>44</v>
      </c>
      <c r="P708" s="129" t="s">
        <v>2347</v>
      </c>
      <c r="Q708" s="129" t="s">
        <v>3676</v>
      </c>
      <c r="R708" s="163">
        <v>9574762711</v>
      </c>
      <c r="S708" s="129">
        <v>36387</v>
      </c>
      <c r="T708" s="160">
        <v>102106356329</v>
      </c>
      <c r="U708" s="126" t="s">
        <v>8773</v>
      </c>
      <c r="V708" s="151">
        <v>3715768732</v>
      </c>
      <c r="W708" s="145" t="s">
        <v>8774</v>
      </c>
      <c r="X708" s="145" t="s">
        <v>8775</v>
      </c>
      <c r="Y708" s="216" t="s">
        <v>51</v>
      </c>
      <c r="Z708" s="145" t="s">
        <v>8776</v>
      </c>
      <c r="AA708" s="221" t="s">
        <v>8777</v>
      </c>
      <c r="AB708" s="221" t="s">
        <v>8777</v>
      </c>
      <c r="AC708" s="189" t="s">
        <v>8698</v>
      </c>
      <c r="AD708" s="145"/>
      <c r="AE708" s="145"/>
      <c r="AF708" s="145"/>
      <c r="AG708" s="145"/>
      <c r="AH708" s="145"/>
      <c r="AI708" s="145"/>
      <c r="AJ708" s="129"/>
      <c r="AK708" s="220"/>
      <c r="AL708" s="220"/>
      <c r="AM708" s="218"/>
    </row>
    <row r="709" spans="1:39" ht="28.5">
      <c r="A709" s="137">
        <f>SUBTOTAL(3,$B$3:B709)</f>
        <v>707</v>
      </c>
      <c r="B709" s="203" t="s">
        <v>8699</v>
      </c>
      <c r="C709" s="163" t="s">
        <v>8797</v>
      </c>
      <c r="D709" s="163" t="s">
        <v>8797</v>
      </c>
      <c r="E709" s="129" t="s">
        <v>8798</v>
      </c>
      <c r="F709" s="129" t="s">
        <v>3699</v>
      </c>
      <c r="G709" s="129" t="s">
        <v>2345</v>
      </c>
      <c r="H709" s="129" t="s">
        <v>8799</v>
      </c>
      <c r="I709" s="129" t="s">
        <v>40</v>
      </c>
      <c r="J709" s="188">
        <v>37663</v>
      </c>
      <c r="K709" s="129" t="s">
        <v>41</v>
      </c>
      <c r="L709" s="129" t="s">
        <v>42</v>
      </c>
      <c r="M709" s="163" t="s">
        <v>4016</v>
      </c>
      <c r="N709" s="188">
        <v>45612</v>
      </c>
      <c r="O709" s="163" t="s">
        <v>44</v>
      </c>
      <c r="P709" s="129" t="s">
        <v>2347</v>
      </c>
      <c r="Q709" s="129" t="s">
        <v>3676</v>
      </c>
      <c r="R709" s="163">
        <v>8140989681</v>
      </c>
      <c r="S709" s="129">
        <v>36448</v>
      </c>
      <c r="T709" s="160">
        <v>102145917136</v>
      </c>
      <c r="U709" s="126" t="s">
        <v>8800</v>
      </c>
      <c r="V709" s="151">
        <v>3715768778</v>
      </c>
      <c r="W709" s="145" t="s">
        <v>8801</v>
      </c>
      <c r="X709" s="145" t="s">
        <v>8802</v>
      </c>
      <c r="Y709" s="216" t="s">
        <v>271</v>
      </c>
      <c r="Z709" s="145" t="s">
        <v>8803</v>
      </c>
      <c r="AA709" s="221" t="s">
        <v>8804</v>
      </c>
      <c r="AB709" s="221" t="s">
        <v>8804</v>
      </c>
      <c r="AC709" s="189" t="s">
        <v>8699</v>
      </c>
      <c r="AD709" s="145"/>
      <c r="AE709" s="145"/>
      <c r="AF709" s="145"/>
      <c r="AG709" s="145"/>
      <c r="AH709" s="145"/>
      <c r="AI709" s="145"/>
      <c r="AJ709" s="129"/>
      <c r="AK709" s="220"/>
      <c r="AL709" s="220"/>
      <c r="AM709" s="218"/>
    </row>
    <row r="710" spans="1:39" ht="28.5">
      <c r="A710" s="137">
        <f>SUBTOTAL(3,$B$3:B710)</f>
        <v>708</v>
      </c>
      <c r="B710" s="203" t="s">
        <v>8700</v>
      </c>
      <c r="C710" s="163" t="s">
        <v>8704</v>
      </c>
      <c r="D710" s="163" t="s">
        <v>8704</v>
      </c>
      <c r="E710" s="129" t="s">
        <v>136</v>
      </c>
      <c r="F710" s="129" t="s">
        <v>8705</v>
      </c>
      <c r="G710" s="129" t="s">
        <v>2345</v>
      </c>
      <c r="H710" s="129" t="s">
        <v>1310</v>
      </c>
      <c r="I710" s="129" t="s">
        <v>40</v>
      </c>
      <c r="J710" s="188">
        <v>36629</v>
      </c>
      <c r="K710" s="129" t="s">
        <v>41</v>
      </c>
      <c r="L710" s="129" t="s">
        <v>42</v>
      </c>
      <c r="M710" s="163" t="s">
        <v>4016</v>
      </c>
      <c r="N710" s="188">
        <v>45612</v>
      </c>
      <c r="O710" s="163" t="s">
        <v>44</v>
      </c>
      <c r="P710" s="129" t="s">
        <v>2347</v>
      </c>
      <c r="Q710" s="129" t="s">
        <v>3676</v>
      </c>
      <c r="R710" s="163">
        <v>9537132800</v>
      </c>
      <c r="S710" s="129">
        <v>36449</v>
      </c>
      <c r="T710" s="160">
        <v>102145917143</v>
      </c>
      <c r="U710" s="126" t="s">
        <v>8706</v>
      </c>
      <c r="V710" s="151">
        <v>3715740141</v>
      </c>
      <c r="W710" s="145" t="s">
        <v>8707</v>
      </c>
      <c r="X710" s="145" t="s">
        <v>8708</v>
      </c>
      <c r="Y710" s="216" t="s">
        <v>132</v>
      </c>
      <c r="Z710" s="145" t="s">
        <v>8709</v>
      </c>
      <c r="AA710" s="221" t="s">
        <v>8710</v>
      </c>
      <c r="AB710" s="221" t="s">
        <v>8710</v>
      </c>
      <c r="AC710" s="189" t="s">
        <v>8700</v>
      </c>
      <c r="AD710" s="145"/>
      <c r="AE710" s="145"/>
      <c r="AF710" s="145"/>
      <c r="AG710" s="145"/>
      <c r="AH710" s="145"/>
      <c r="AI710" s="145"/>
      <c r="AJ710" s="129"/>
      <c r="AK710" s="220"/>
      <c r="AL710" s="220" t="s">
        <v>8711</v>
      </c>
      <c r="AM710" s="218"/>
    </row>
    <row r="711" spans="1:39" ht="42.75">
      <c r="A711" s="137">
        <f>SUBTOTAL(3,$B$3:B711)</f>
        <v>709</v>
      </c>
      <c r="B711" s="203" t="s">
        <v>8701</v>
      </c>
      <c r="C711" s="163" t="s">
        <v>8712</v>
      </c>
      <c r="D711" s="163" t="s">
        <v>8712</v>
      </c>
      <c r="E711" s="129" t="s">
        <v>8713</v>
      </c>
      <c r="F711" s="129" t="s">
        <v>4208</v>
      </c>
      <c r="G711" s="129" t="s">
        <v>2389</v>
      </c>
      <c r="H711" s="129" t="s">
        <v>507</v>
      </c>
      <c r="I711" s="129" t="s">
        <v>40</v>
      </c>
      <c r="J711" s="188">
        <v>37138</v>
      </c>
      <c r="K711" s="129" t="s">
        <v>280</v>
      </c>
      <c r="L711" s="129" t="s">
        <v>42</v>
      </c>
      <c r="M711" s="163" t="s">
        <v>6752</v>
      </c>
      <c r="N711" s="188">
        <v>45612</v>
      </c>
      <c r="O711" s="163" t="s">
        <v>44</v>
      </c>
      <c r="P711" s="129" t="s">
        <v>2347</v>
      </c>
      <c r="Q711" s="129" t="s">
        <v>3676</v>
      </c>
      <c r="R711" s="163">
        <v>9099525590</v>
      </c>
      <c r="S711" s="129">
        <v>36395</v>
      </c>
      <c r="T711" s="160">
        <v>102000444311</v>
      </c>
      <c r="U711" s="126" t="s">
        <v>8714</v>
      </c>
      <c r="V711" s="151">
        <v>3715740153</v>
      </c>
      <c r="W711" s="145" t="s">
        <v>8715</v>
      </c>
      <c r="X711" s="145" t="s">
        <v>8716</v>
      </c>
      <c r="Y711" s="216" t="s">
        <v>146</v>
      </c>
      <c r="Z711" s="145" t="s">
        <v>8717</v>
      </c>
      <c r="AA711" s="221" t="s">
        <v>8718</v>
      </c>
      <c r="AB711" s="221" t="s">
        <v>8718</v>
      </c>
      <c r="AC711" s="189" t="s">
        <v>8701</v>
      </c>
      <c r="AD711" s="145"/>
      <c r="AE711" s="145"/>
      <c r="AF711" s="145"/>
      <c r="AG711" s="145"/>
      <c r="AH711" s="145"/>
      <c r="AI711" s="145"/>
      <c r="AJ711" s="129"/>
      <c r="AK711" s="220"/>
      <c r="AL711" s="220" t="s">
        <v>8719</v>
      </c>
      <c r="AM711" s="218"/>
    </row>
    <row r="712" spans="1:39" ht="28.5">
      <c r="A712" s="137">
        <f>SUBTOTAL(3,$B$3:B712)</f>
        <v>710</v>
      </c>
      <c r="B712" s="203" t="s">
        <v>8702</v>
      </c>
      <c r="C712" s="163" t="s">
        <v>8720</v>
      </c>
      <c r="D712" s="163" t="s">
        <v>8720</v>
      </c>
      <c r="E712" s="129" t="s">
        <v>56</v>
      </c>
      <c r="F712" s="129" t="s">
        <v>8721</v>
      </c>
      <c r="G712" s="129" t="s">
        <v>2345</v>
      </c>
      <c r="H712" s="129" t="s">
        <v>2065</v>
      </c>
      <c r="I712" s="129" t="s">
        <v>40</v>
      </c>
      <c r="J712" s="188">
        <v>37026</v>
      </c>
      <c r="K712" s="129" t="s">
        <v>41</v>
      </c>
      <c r="L712" s="129" t="s">
        <v>42</v>
      </c>
      <c r="M712" s="163" t="s">
        <v>4016</v>
      </c>
      <c r="N712" s="188">
        <v>45614</v>
      </c>
      <c r="O712" s="163" t="s">
        <v>44</v>
      </c>
      <c r="P712" s="129" t="s">
        <v>2347</v>
      </c>
      <c r="Q712" s="129" t="s">
        <v>3676</v>
      </c>
      <c r="R712" s="163">
        <v>9016898139</v>
      </c>
      <c r="S712" s="129">
        <v>36385</v>
      </c>
      <c r="T712" s="160">
        <v>102039562782</v>
      </c>
      <c r="U712" s="126" t="s">
        <v>8722</v>
      </c>
      <c r="V712" s="151">
        <v>3715740158</v>
      </c>
      <c r="W712" s="145" t="s">
        <v>8723</v>
      </c>
      <c r="X712" s="145" t="s">
        <v>8724</v>
      </c>
      <c r="Y712" s="216" t="s">
        <v>170</v>
      </c>
      <c r="Z712" s="145" t="s">
        <v>169</v>
      </c>
      <c r="AA712" s="221" t="s">
        <v>8725</v>
      </c>
      <c r="AB712" s="221" t="s">
        <v>8725</v>
      </c>
      <c r="AC712" s="189" t="s">
        <v>8702</v>
      </c>
      <c r="AD712" s="145"/>
      <c r="AE712" s="145"/>
      <c r="AF712" s="145"/>
      <c r="AG712" s="145"/>
      <c r="AH712" s="145"/>
      <c r="AI712" s="145"/>
      <c r="AJ712" s="129"/>
      <c r="AK712" s="220"/>
      <c r="AL712" s="220"/>
      <c r="AM712" s="218"/>
    </row>
    <row r="713" spans="1:39" ht="28.5">
      <c r="A713" s="137">
        <f>SUBTOTAL(3,$B$3:B713)</f>
        <v>711</v>
      </c>
      <c r="B713" s="203" t="s">
        <v>8703</v>
      </c>
      <c r="C713" s="163" t="s">
        <v>8726</v>
      </c>
      <c r="D713" s="163" t="s">
        <v>8727</v>
      </c>
      <c r="E713" s="129" t="s">
        <v>8728</v>
      </c>
      <c r="F713" s="129" t="s">
        <v>8729</v>
      </c>
      <c r="G713" s="129" t="s">
        <v>2345</v>
      </c>
      <c r="H713" s="129" t="s">
        <v>72</v>
      </c>
      <c r="I713" s="129" t="s">
        <v>40</v>
      </c>
      <c r="J713" s="188">
        <v>36558</v>
      </c>
      <c r="K713" s="129" t="s">
        <v>41</v>
      </c>
      <c r="L713" s="129" t="s">
        <v>42</v>
      </c>
      <c r="M713" s="163" t="s">
        <v>4016</v>
      </c>
      <c r="N713" s="188">
        <v>45614</v>
      </c>
      <c r="O713" s="163" t="s">
        <v>44</v>
      </c>
      <c r="P713" s="129" t="s">
        <v>2347</v>
      </c>
      <c r="Q713" s="129" t="s">
        <v>3676</v>
      </c>
      <c r="R713" s="163">
        <v>6354264717</v>
      </c>
      <c r="S713" s="129">
        <v>36377</v>
      </c>
      <c r="T713" s="160">
        <v>101885461772</v>
      </c>
      <c r="U713" s="126" t="s">
        <v>8730</v>
      </c>
      <c r="V713" s="151">
        <v>3715740167</v>
      </c>
      <c r="W713" s="145" t="s">
        <v>8731</v>
      </c>
      <c r="X713" s="145" t="s">
        <v>8732</v>
      </c>
      <c r="Y713" s="216" t="s">
        <v>65</v>
      </c>
      <c r="Z713" s="145" t="s">
        <v>8733</v>
      </c>
      <c r="AA713" s="221" t="s">
        <v>8734</v>
      </c>
      <c r="AB713" s="221" t="s">
        <v>8735</v>
      </c>
      <c r="AC713" s="189" t="s">
        <v>8703</v>
      </c>
      <c r="AD713" s="145"/>
      <c r="AE713" s="145"/>
      <c r="AF713" s="145"/>
      <c r="AG713" s="145"/>
      <c r="AH713" s="145"/>
      <c r="AI713" s="145"/>
      <c r="AJ713" s="129"/>
      <c r="AK713" s="220"/>
      <c r="AL713" s="220"/>
      <c r="AM713" s="218"/>
    </row>
    <row r="714" spans="1:39" ht="42.75">
      <c r="A714" s="137">
        <f>SUBTOTAL(3,$B$3:B714)</f>
        <v>712</v>
      </c>
      <c r="B714" s="203" t="s">
        <v>8736</v>
      </c>
      <c r="C714" s="163" t="s">
        <v>8740</v>
      </c>
      <c r="D714" s="163" t="s">
        <v>8741</v>
      </c>
      <c r="E714" s="129" t="s">
        <v>136</v>
      </c>
      <c r="F714" s="129" t="s">
        <v>8742</v>
      </c>
      <c r="G714" s="129" t="s">
        <v>2345</v>
      </c>
      <c r="H714" s="129" t="s">
        <v>711</v>
      </c>
      <c r="I714" s="129" t="s">
        <v>40</v>
      </c>
      <c r="J714" s="188">
        <v>37373</v>
      </c>
      <c r="K714" s="129" t="s">
        <v>41</v>
      </c>
      <c r="L714" s="129" t="s">
        <v>42</v>
      </c>
      <c r="M714" s="163" t="s">
        <v>6752</v>
      </c>
      <c r="N714" s="188">
        <v>45617</v>
      </c>
      <c r="O714" s="163" t="s">
        <v>44</v>
      </c>
      <c r="P714" s="129" t="s">
        <v>2347</v>
      </c>
      <c r="Q714" s="129" t="s">
        <v>3676</v>
      </c>
      <c r="R714" s="163">
        <v>9313259118</v>
      </c>
      <c r="S714" s="129">
        <v>36389</v>
      </c>
      <c r="T714" s="160">
        <v>102098785774</v>
      </c>
      <c r="U714" s="126" t="s">
        <v>8743</v>
      </c>
      <c r="V714" s="151">
        <v>3715768797</v>
      </c>
      <c r="W714" s="145" t="s">
        <v>8744</v>
      </c>
      <c r="X714" s="145" t="s">
        <v>8745</v>
      </c>
      <c r="Y714" s="216" t="s">
        <v>7017</v>
      </c>
      <c r="Z714" s="145" t="s">
        <v>8746</v>
      </c>
      <c r="AA714" s="221" t="s">
        <v>8747</v>
      </c>
      <c r="AB714" s="221" t="s">
        <v>8748</v>
      </c>
      <c r="AC714" s="189" t="s">
        <v>8736</v>
      </c>
      <c r="AD714" s="145"/>
      <c r="AE714" s="145"/>
      <c r="AF714" s="145"/>
      <c r="AG714" s="145"/>
      <c r="AH714" s="145"/>
      <c r="AI714" s="145"/>
      <c r="AJ714" s="129"/>
      <c r="AK714" s="220"/>
      <c r="AL714" s="220" t="s">
        <v>8749</v>
      </c>
      <c r="AM714" s="218"/>
    </row>
    <row r="715" spans="1:39" ht="28.5">
      <c r="A715" s="137">
        <f>SUBTOTAL(3,$B$3:B715)</f>
        <v>713</v>
      </c>
      <c r="B715" s="203" t="s">
        <v>8737</v>
      </c>
      <c r="C715" s="163" t="s">
        <v>8750</v>
      </c>
      <c r="D715" s="163" t="s">
        <v>8750</v>
      </c>
      <c r="E715" s="129" t="s">
        <v>263</v>
      </c>
      <c r="F715" s="129" t="s">
        <v>971</v>
      </c>
      <c r="G715" s="129" t="s">
        <v>2345</v>
      </c>
      <c r="H715" s="129" t="s">
        <v>724</v>
      </c>
      <c r="I715" s="129" t="s">
        <v>40</v>
      </c>
      <c r="J715" s="188">
        <v>36577</v>
      </c>
      <c r="K715" s="129" t="s">
        <v>41</v>
      </c>
      <c r="L715" s="129" t="s">
        <v>42</v>
      </c>
      <c r="M715" s="163" t="s">
        <v>6752</v>
      </c>
      <c r="N715" s="188">
        <v>45617</v>
      </c>
      <c r="O715" s="163" t="s">
        <v>44</v>
      </c>
      <c r="P715" s="129" t="s">
        <v>2347</v>
      </c>
      <c r="Q715" s="129" t="s">
        <v>3676</v>
      </c>
      <c r="R715" s="163">
        <v>7096956458</v>
      </c>
      <c r="S715" s="129">
        <v>36380</v>
      </c>
      <c r="T715" s="160">
        <v>102014853685</v>
      </c>
      <c r="U715" s="126" t="s">
        <v>7193</v>
      </c>
      <c r="V715" s="151">
        <v>3715768818</v>
      </c>
      <c r="W715" s="145" t="s">
        <v>8751</v>
      </c>
      <c r="X715" s="145" t="s">
        <v>8752</v>
      </c>
      <c r="Y715" s="216" t="s">
        <v>65</v>
      </c>
      <c r="Z715" s="145" t="s">
        <v>4184</v>
      </c>
      <c r="AA715" s="221" t="s">
        <v>8753</v>
      </c>
      <c r="AB715" s="221" t="s">
        <v>8754</v>
      </c>
      <c r="AC715" s="189" t="s">
        <v>8737</v>
      </c>
      <c r="AD715" s="145"/>
      <c r="AE715" s="145"/>
      <c r="AF715" s="145"/>
      <c r="AG715" s="145"/>
      <c r="AH715" s="145"/>
      <c r="AI715" s="145"/>
      <c r="AJ715" s="129"/>
      <c r="AK715" s="220"/>
      <c r="AL715" s="220" t="s">
        <v>8755</v>
      </c>
      <c r="AM715" s="218"/>
    </row>
    <row r="716" spans="1:39" ht="28.5">
      <c r="A716" s="137">
        <f>SUBTOTAL(3,$B$3:B716)</f>
        <v>714</v>
      </c>
      <c r="B716" s="203" t="s">
        <v>8738</v>
      </c>
      <c r="C716" s="163" t="s">
        <v>8756</v>
      </c>
      <c r="D716" s="163" t="s">
        <v>8757</v>
      </c>
      <c r="E716" s="129" t="s">
        <v>70</v>
      </c>
      <c r="F716" s="129" t="s">
        <v>2903</v>
      </c>
      <c r="G716" s="129" t="s">
        <v>2345</v>
      </c>
      <c r="H716" s="129" t="s">
        <v>8758</v>
      </c>
      <c r="I716" s="129" t="s">
        <v>40</v>
      </c>
      <c r="J716" s="188">
        <v>37287</v>
      </c>
      <c r="K716" s="129" t="s">
        <v>41</v>
      </c>
      <c r="L716" s="129" t="s">
        <v>42</v>
      </c>
      <c r="M716" s="163" t="s">
        <v>6752</v>
      </c>
      <c r="N716" s="188">
        <v>45617</v>
      </c>
      <c r="O716" s="163" t="s">
        <v>44</v>
      </c>
      <c r="P716" s="129" t="s">
        <v>2347</v>
      </c>
      <c r="Q716" s="129" t="s">
        <v>3676</v>
      </c>
      <c r="R716" s="163">
        <v>9023354028</v>
      </c>
      <c r="S716" s="129">
        <v>36393</v>
      </c>
      <c r="T716" s="160">
        <v>102092169350</v>
      </c>
      <c r="U716" s="126" t="s">
        <v>8759</v>
      </c>
      <c r="V716" s="151">
        <v>3715769085</v>
      </c>
      <c r="W716" s="145" t="s">
        <v>8760</v>
      </c>
      <c r="X716" s="145" t="s">
        <v>8761</v>
      </c>
      <c r="Y716" s="216" t="s">
        <v>7017</v>
      </c>
      <c r="Z716" s="145" t="s">
        <v>3614</v>
      </c>
      <c r="AA716" s="221" t="s">
        <v>8762</v>
      </c>
      <c r="AB716" s="221" t="s">
        <v>8763</v>
      </c>
      <c r="AC716" s="189" t="s">
        <v>8738</v>
      </c>
      <c r="AD716" s="145"/>
      <c r="AE716" s="145"/>
      <c r="AF716" s="145"/>
      <c r="AG716" s="145"/>
      <c r="AH716" s="145"/>
      <c r="AI716" s="145"/>
      <c r="AJ716" s="129"/>
      <c r="AK716" s="220"/>
      <c r="AL716" s="220" t="s">
        <v>8764</v>
      </c>
      <c r="AM716" s="218"/>
    </row>
    <row r="717" spans="1:39" ht="28.5">
      <c r="A717" s="137">
        <f>SUBTOTAL(3,$B$3:B717)</f>
        <v>715</v>
      </c>
      <c r="B717" s="203" t="s">
        <v>8739</v>
      </c>
      <c r="C717" s="163" t="s">
        <v>8765</v>
      </c>
      <c r="D717" s="163" t="s">
        <v>8765</v>
      </c>
      <c r="E717" s="129" t="s">
        <v>1980</v>
      </c>
      <c r="F717" s="129" t="s">
        <v>1666</v>
      </c>
      <c r="G717" s="129" t="s">
        <v>2345</v>
      </c>
      <c r="H717" s="129" t="s">
        <v>3056</v>
      </c>
      <c r="I717" s="129" t="s">
        <v>40</v>
      </c>
      <c r="J717" s="188">
        <v>37002</v>
      </c>
      <c r="K717" s="129" t="s">
        <v>41</v>
      </c>
      <c r="L717" s="129" t="s">
        <v>42</v>
      </c>
      <c r="M717" s="163" t="s">
        <v>4016</v>
      </c>
      <c r="N717" s="188">
        <v>45617</v>
      </c>
      <c r="O717" s="163" t="s">
        <v>44</v>
      </c>
      <c r="P717" s="129" t="s">
        <v>2347</v>
      </c>
      <c r="Q717" s="129" t="s">
        <v>3676</v>
      </c>
      <c r="R717" s="163">
        <v>7622945073</v>
      </c>
      <c r="S717" s="129">
        <v>36394</v>
      </c>
      <c r="T717" s="160">
        <v>101942569284</v>
      </c>
      <c r="U717" s="126" t="s">
        <v>8766</v>
      </c>
      <c r="V717" s="151">
        <v>3715769106</v>
      </c>
      <c r="W717" s="145" t="s">
        <v>8767</v>
      </c>
      <c r="X717" s="145" t="s">
        <v>8768</v>
      </c>
      <c r="Y717" s="216" t="s">
        <v>1289</v>
      </c>
      <c r="Z717" s="145" t="s">
        <v>8867</v>
      </c>
      <c r="AA717" s="221" t="s">
        <v>6421</v>
      </c>
      <c r="AB717" s="221" t="s">
        <v>8769</v>
      </c>
      <c r="AC717" s="189" t="s">
        <v>8739</v>
      </c>
      <c r="AD717" s="145"/>
      <c r="AE717" s="145"/>
      <c r="AF717" s="145"/>
      <c r="AG717" s="145"/>
      <c r="AH717" s="145"/>
      <c r="AI717" s="145"/>
      <c r="AJ717" s="129"/>
      <c r="AK717" s="220"/>
      <c r="AL717" s="220" t="s">
        <v>8770</v>
      </c>
      <c r="AM717" s="218"/>
    </row>
    <row r="718" spans="1:39" ht="28.5">
      <c r="A718" s="137">
        <f>SUBTOTAL(3,$B$3:B718)</f>
        <v>716</v>
      </c>
      <c r="B718" s="203" t="s">
        <v>8787</v>
      </c>
      <c r="C718" s="184" t="s">
        <v>8805</v>
      </c>
      <c r="D718" s="163" t="s">
        <v>8805</v>
      </c>
      <c r="E718" s="129" t="s">
        <v>263</v>
      </c>
      <c r="F718" s="129" t="s">
        <v>2607</v>
      </c>
      <c r="G718" s="129" t="s">
        <v>2345</v>
      </c>
      <c r="H718" s="129" t="s">
        <v>8639</v>
      </c>
      <c r="I718" s="129" t="s">
        <v>40</v>
      </c>
      <c r="J718" s="188">
        <v>37708</v>
      </c>
      <c r="K718" s="129" t="s">
        <v>41</v>
      </c>
      <c r="L718" s="129" t="s">
        <v>42</v>
      </c>
      <c r="M718" s="163" t="s">
        <v>4016</v>
      </c>
      <c r="N718" s="188">
        <v>45618</v>
      </c>
      <c r="O718" s="163" t="s">
        <v>44</v>
      </c>
      <c r="P718" s="129" t="s">
        <v>2347</v>
      </c>
      <c r="Q718" s="129" t="s">
        <v>3676</v>
      </c>
      <c r="R718" s="163">
        <v>9316556317</v>
      </c>
      <c r="S718" s="129">
        <v>36444</v>
      </c>
      <c r="T718" s="160">
        <v>102048596211</v>
      </c>
      <c r="U718" s="126" t="s">
        <v>8806</v>
      </c>
      <c r="V718" s="151">
        <v>3715768930</v>
      </c>
      <c r="W718" s="145" t="s">
        <v>8807</v>
      </c>
      <c r="X718" s="145" t="s">
        <v>8808</v>
      </c>
      <c r="Y718" s="216" t="s">
        <v>65</v>
      </c>
      <c r="Z718" s="145" t="s">
        <v>1873</v>
      </c>
      <c r="AA718" s="221" t="s">
        <v>8809</v>
      </c>
      <c r="AB718" s="221" t="s">
        <v>8809</v>
      </c>
      <c r="AC718" s="189" t="s">
        <v>8787</v>
      </c>
      <c r="AD718" s="145"/>
      <c r="AE718" s="145"/>
      <c r="AF718" s="145"/>
      <c r="AG718" s="145"/>
      <c r="AH718" s="145"/>
      <c r="AI718" s="145"/>
      <c r="AJ718" s="129"/>
      <c r="AK718" s="220"/>
      <c r="AL718" s="220" t="s">
        <v>8810</v>
      </c>
      <c r="AM718" s="218"/>
    </row>
    <row r="719" spans="1:39" ht="42.75">
      <c r="A719" s="137">
        <f>SUBTOTAL(3,$B$3:B719)</f>
        <v>717</v>
      </c>
      <c r="B719" s="203" t="s">
        <v>8788</v>
      </c>
      <c r="C719" s="184" t="s">
        <v>8811</v>
      </c>
      <c r="D719" s="163" t="s">
        <v>8812</v>
      </c>
      <c r="E719" s="129" t="s">
        <v>188</v>
      </c>
      <c r="F719" s="129" t="s">
        <v>8721</v>
      </c>
      <c r="G719" s="129" t="s">
        <v>2389</v>
      </c>
      <c r="H719" s="129" t="s">
        <v>8813</v>
      </c>
      <c r="I719" s="129" t="s">
        <v>40</v>
      </c>
      <c r="J719" s="188">
        <v>34621</v>
      </c>
      <c r="K719" s="129" t="s">
        <v>41</v>
      </c>
      <c r="L719" s="129" t="s">
        <v>42</v>
      </c>
      <c r="M719" s="163" t="s">
        <v>4016</v>
      </c>
      <c r="N719" s="188">
        <v>45622</v>
      </c>
      <c r="O719" s="163" t="s">
        <v>44</v>
      </c>
      <c r="P719" s="129" t="s">
        <v>2347</v>
      </c>
      <c r="Q719" s="129" t="s">
        <v>3676</v>
      </c>
      <c r="R719" s="163">
        <v>8128554710</v>
      </c>
      <c r="S719" s="129">
        <v>36447</v>
      </c>
      <c r="T719" s="160">
        <v>101171410864</v>
      </c>
      <c r="U719" s="126" t="s">
        <v>8814</v>
      </c>
      <c r="V719" s="151">
        <v>3715768947</v>
      </c>
      <c r="W719" s="145" t="s">
        <v>8815</v>
      </c>
      <c r="X719" s="145" t="s">
        <v>8816</v>
      </c>
      <c r="Y719" s="216" t="s">
        <v>146</v>
      </c>
      <c r="Z719" s="145" t="s">
        <v>8817</v>
      </c>
      <c r="AA719" s="221" t="s">
        <v>8818</v>
      </c>
      <c r="AB719" s="221" t="s">
        <v>8818</v>
      </c>
      <c r="AC719" s="189" t="s">
        <v>8788</v>
      </c>
      <c r="AD719" s="145"/>
      <c r="AE719" s="145"/>
      <c r="AF719" s="145"/>
      <c r="AG719" s="145"/>
      <c r="AH719" s="145"/>
      <c r="AI719" s="145"/>
      <c r="AJ719" s="129"/>
      <c r="AK719" s="220"/>
      <c r="AL719" s="220" t="s">
        <v>8819</v>
      </c>
      <c r="AM719" s="218"/>
    </row>
    <row r="720" spans="1:39" ht="28.5">
      <c r="A720" s="137">
        <f>SUBTOTAL(3,$B$3:B720)</f>
        <v>718</v>
      </c>
      <c r="B720" s="203" t="s">
        <v>8789</v>
      </c>
      <c r="C720" s="163" t="s">
        <v>8790</v>
      </c>
      <c r="D720" s="163" t="s">
        <v>8791</v>
      </c>
      <c r="E720" s="129" t="s">
        <v>8792</v>
      </c>
      <c r="F720" s="129" t="s">
        <v>8793</v>
      </c>
      <c r="G720" s="129" t="s">
        <v>2345</v>
      </c>
      <c r="H720" s="129" t="s">
        <v>810</v>
      </c>
      <c r="I720" s="129" t="s">
        <v>40</v>
      </c>
      <c r="J720" s="188">
        <v>38524</v>
      </c>
      <c r="K720" s="129" t="s">
        <v>280</v>
      </c>
      <c r="L720" s="129" t="s">
        <v>42</v>
      </c>
      <c r="M720" s="163" t="s">
        <v>8461</v>
      </c>
      <c r="N720" s="188">
        <v>45624</v>
      </c>
      <c r="O720" s="163" t="s">
        <v>8461</v>
      </c>
      <c r="P720" s="137" t="s">
        <v>3048</v>
      </c>
      <c r="Q720" s="129" t="s">
        <v>3676</v>
      </c>
      <c r="R720" s="163">
        <v>9558276734</v>
      </c>
      <c r="S720" s="129">
        <v>36446</v>
      </c>
      <c r="T720" s="160">
        <v>102145917127</v>
      </c>
      <c r="U720" s="126" t="s">
        <v>7193</v>
      </c>
      <c r="V720" s="151">
        <v>3715768992</v>
      </c>
      <c r="W720" s="145" t="s">
        <v>8794</v>
      </c>
      <c r="X720" s="145" t="s">
        <v>8795</v>
      </c>
      <c r="Y720" s="216" t="s">
        <v>146</v>
      </c>
      <c r="Z720" s="145" t="s">
        <v>1388</v>
      </c>
      <c r="AA720" s="221" t="s">
        <v>8796</v>
      </c>
      <c r="AB720" s="221" t="s">
        <v>8796</v>
      </c>
      <c r="AC720" s="189" t="s">
        <v>8789</v>
      </c>
      <c r="AD720" s="145"/>
      <c r="AE720" s="145"/>
      <c r="AF720" s="145"/>
      <c r="AG720" s="145"/>
      <c r="AH720" s="145"/>
      <c r="AI720" s="145"/>
      <c r="AJ720" s="129"/>
      <c r="AK720" s="220"/>
      <c r="AL720" s="220"/>
      <c r="AM720" s="218"/>
    </row>
    <row r="721" spans="1:39" ht="28.5">
      <c r="A721" s="137">
        <f>SUBTOTAL(3,$B$3:B721)</f>
        <v>719</v>
      </c>
      <c r="B721" s="203" t="s">
        <v>8820</v>
      </c>
      <c r="C721" s="163" t="s">
        <v>8850</v>
      </c>
      <c r="D721" s="163" t="s">
        <v>8851</v>
      </c>
      <c r="E721" s="129" t="s">
        <v>249</v>
      </c>
      <c r="F721" s="129" t="s">
        <v>403</v>
      </c>
      <c r="G721" s="129" t="s">
        <v>2345</v>
      </c>
      <c r="H721" s="129" t="s">
        <v>138</v>
      </c>
      <c r="I721" s="129" t="s">
        <v>40</v>
      </c>
      <c r="J721" s="188">
        <v>37540</v>
      </c>
      <c r="K721" s="129" t="s">
        <v>41</v>
      </c>
      <c r="L721" s="129" t="s">
        <v>42</v>
      </c>
      <c r="M721" s="163" t="s">
        <v>8852</v>
      </c>
      <c r="N721" s="188">
        <v>45622</v>
      </c>
      <c r="O721" s="163" t="s">
        <v>3037</v>
      </c>
      <c r="P721" s="137" t="s">
        <v>3048</v>
      </c>
      <c r="Q721" s="129" t="s">
        <v>3676</v>
      </c>
      <c r="R721" s="163">
        <v>9327247400</v>
      </c>
      <c r="S721" s="129">
        <v>36450</v>
      </c>
      <c r="T721" s="160">
        <v>102145917353</v>
      </c>
      <c r="U721" s="126" t="s">
        <v>7193</v>
      </c>
      <c r="V721" s="151">
        <v>3715769014</v>
      </c>
      <c r="W721" s="145" t="s">
        <v>8853</v>
      </c>
      <c r="X721" s="145" t="s">
        <v>8866</v>
      </c>
      <c r="Y721" s="216" t="s">
        <v>146</v>
      </c>
      <c r="Z721" s="145" t="s">
        <v>1168</v>
      </c>
      <c r="AA721" s="221" t="s">
        <v>8854</v>
      </c>
      <c r="AB721" s="221" t="s">
        <v>8854</v>
      </c>
      <c r="AC721" s="189" t="s">
        <v>8820</v>
      </c>
      <c r="AD721" s="145"/>
      <c r="AE721" s="145"/>
      <c r="AF721" s="145"/>
      <c r="AG721" s="145"/>
      <c r="AH721" s="145"/>
      <c r="AI721" s="145"/>
      <c r="AJ721" s="129"/>
      <c r="AK721" s="220"/>
      <c r="AL721" s="220" t="s">
        <v>8855</v>
      </c>
      <c r="AM721" s="218"/>
    </row>
    <row r="722" spans="1:39" ht="28.5">
      <c r="A722" s="137">
        <f>SUBTOTAL(3,$B$3:B722)</f>
        <v>720</v>
      </c>
      <c r="B722" s="203" t="s">
        <v>8821</v>
      </c>
      <c r="C722" s="184" t="s">
        <v>8824</v>
      </c>
      <c r="D722" s="163" t="s">
        <v>8824</v>
      </c>
      <c r="E722" s="129" t="s">
        <v>3336</v>
      </c>
      <c r="F722" s="129" t="s">
        <v>8825</v>
      </c>
      <c r="G722" s="129" t="s">
        <v>2389</v>
      </c>
      <c r="H722" s="129" t="s">
        <v>711</v>
      </c>
      <c r="I722" s="129" t="s">
        <v>40</v>
      </c>
      <c r="J722" s="188">
        <v>37043</v>
      </c>
      <c r="K722" s="129" t="s">
        <v>41</v>
      </c>
      <c r="L722" s="129" t="s">
        <v>42</v>
      </c>
      <c r="M722" s="163" t="s">
        <v>4016</v>
      </c>
      <c r="N722" s="188">
        <v>45629</v>
      </c>
      <c r="O722" s="163" t="s">
        <v>44</v>
      </c>
      <c r="P722" s="129" t="s">
        <v>2347</v>
      </c>
      <c r="Q722" s="129" t="s">
        <v>3676</v>
      </c>
      <c r="R722" s="163">
        <v>6355828499</v>
      </c>
      <c r="S722" s="129">
        <v>36570</v>
      </c>
      <c r="T722" s="160">
        <v>101791196241</v>
      </c>
      <c r="U722" s="223" t="s">
        <v>8826</v>
      </c>
      <c r="V722" s="151">
        <v>3715791040</v>
      </c>
      <c r="W722" s="145" t="s">
        <v>8827</v>
      </c>
      <c r="X722" s="145" t="s">
        <v>8828</v>
      </c>
      <c r="Y722" s="216" t="s">
        <v>146</v>
      </c>
      <c r="Z722" s="145" t="s">
        <v>9137</v>
      </c>
      <c r="AA722" s="221" t="s">
        <v>8829</v>
      </c>
      <c r="AB722" s="221" t="s">
        <v>8829</v>
      </c>
      <c r="AC722" s="189" t="s">
        <v>8821</v>
      </c>
      <c r="AD722" s="145"/>
      <c r="AE722" s="145"/>
      <c r="AF722" s="145"/>
      <c r="AG722" s="145"/>
      <c r="AH722" s="145"/>
      <c r="AI722" s="145"/>
      <c r="AJ722" s="129"/>
      <c r="AK722" s="220"/>
      <c r="AL722" s="220"/>
      <c r="AM722" s="218"/>
    </row>
    <row r="723" spans="1:39" ht="28.5">
      <c r="A723" s="137">
        <f>SUBTOTAL(3,$B$3:B723)</f>
        <v>721</v>
      </c>
      <c r="B723" s="203" t="s">
        <v>8822</v>
      </c>
      <c r="C723" s="184" t="s">
        <v>8830</v>
      </c>
      <c r="D723" s="163" t="s">
        <v>8830</v>
      </c>
      <c r="E723" s="129" t="s">
        <v>8831</v>
      </c>
      <c r="F723" s="129" t="s">
        <v>8832</v>
      </c>
      <c r="G723" s="129" t="s">
        <v>2389</v>
      </c>
      <c r="H723" s="129" t="s">
        <v>8833</v>
      </c>
      <c r="I723" s="129" t="s">
        <v>40</v>
      </c>
      <c r="J723" s="188">
        <v>36689</v>
      </c>
      <c r="K723" s="129" t="s">
        <v>41</v>
      </c>
      <c r="L723" s="129" t="s">
        <v>42</v>
      </c>
      <c r="M723" s="163" t="s">
        <v>4016</v>
      </c>
      <c r="N723" s="188">
        <v>45629</v>
      </c>
      <c r="O723" s="163" t="s">
        <v>44</v>
      </c>
      <c r="P723" s="129" t="s">
        <v>2347</v>
      </c>
      <c r="Q723" s="129" t="s">
        <v>3676</v>
      </c>
      <c r="R723" s="163">
        <v>7487051570</v>
      </c>
      <c r="S723" s="129">
        <v>36569</v>
      </c>
      <c r="T723" s="160">
        <v>101798314704</v>
      </c>
      <c r="U723" s="223" t="s">
        <v>8834</v>
      </c>
      <c r="V723" s="151">
        <v>3715791085</v>
      </c>
      <c r="W723" s="145" t="s">
        <v>8835</v>
      </c>
      <c r="X723" s="145" t="s">
        <v>8836</v>
      </c>
      <c r="Y723" s="216" t="s">
        <v>146</v>
      </c>
      <c r="Z723" s="145" t="s">
        <v>8837</v>
      </c>
      <c r="AA723" s="221" t="s">
        <v>8838</v>
      </c>
      <c r="AB723" s="221" t="s">
        <v>8838</v>
      </c>
      <c r="AC723" s="189" t="s">
        <v>8822</v>
      </c>
      <c r="AD723" s="145"/>
      <c r="AE723" s="145"/>
      <c r="AF723" s="145"/>
      <c r="AG723" s="145"/>
      <c r="AH723" s="145"/>
      <c r="AI723" s="145"/>
      <c r="AJ723" s="129"/>
      <c r="AK723" s="220"/>
      <c r="AL723" s="220" t="s">
        <v>8839</v>
      </c>
      <c r="AM723" s="218"/>
    </row>
    <row r="724" spans="1:39" ht="42.75">
      <c r="A724" s="137">
        <f>SUBTOTAL(3,$B$3:B724)</f>
        <v>722</v>
      </c>
      <c r="B724" s="203" t="s">
        <v>8823</v>
      </c>
      <c r="C724" s="163" t="s">
        <v>8856</v>
      </c>
      <c r="D724" s="163" t="s">
        <v>8857</v>
      </c>
      <c r="E724" s="129" t="s">
        <v>4481</v>
      </c>
      <c r="F724" s="129" t="s">
        <v>8858</v>
      </c>
      <c r="G724" s="129" t="s">
        <v>2345</v>
      </c>
      <c r="H724" s="129" t="s">
        <v>6568</v>
      </c>
      <c r="I724" s="129" t="s">
        <v>40</v>
      </c>
      <c r="J724" s="188">
        <v>34289</v>
      </c>
      <c r="K724" s="129" t="s">
        <v>41</v>
      </c>
      <c r="L724" s="129" t="s">
        <v>42</v>
      </c>
      <c r="M724" s="163" t="s">
        <v>8859</v>
      </c>
      <c r="N724" s="188">
        <v>45631</v>
      </c>
      <c r="O724" s="163" t="s">
        <v>5956</v>
      </c>
      <c r="P724" s="129" t="s">
        <v>2347</v>
      </c>
      <c r="Q724" s="129" t="s">
        <v>3676</v>
      </c>
      <c r="R724" s="163">
        <v>8238038239</v>
      </c>
      <c r="S724" s="129">
        <v>36564</v>
      </c>
      <c r="T724" s="160">
        <v>101470359658</v>
      </c>
      <c r="U724" s="223" t="s">
        <v>8860</v>
      </c>
      <c r="V724" s="148">
        <v>3715793504</v>
      </c>
      <c r="W724" s="145" t="s">
        <v>8861</v>
      </c>
      <c r="X724" s="145" t="s">
        <v>8862</v>
      </c>
      <c r="Y724" s="216" t="s">
        <v>65</v>
      </c>
      <c r="Z724" s="145" t="s">
        <v>8863</v>
      </c>
      <c r="AA724" s="221" t="s">
        <v>8864</v>
      </c>
      <c r="AB724" s="221" t="s">
        <v>8864</v>
      </c>
      <c r="AC724" s="189" t="s">
        <v>8823</v>
      </c>
      <c r="AD724" s="145"/>
      <c r="AE724" s="145"/>
      <c r="AF724" s="145"/>
      <c r="AG724" s="145"/>
      <c r="AH724" s="145"/>
      <c r="AI724" s="145"/>
      <c r="AJ724" s="129"/>
      <c r="AK724" s="220"/>
      <c r="AL724" s="220" t="s">
        <v>8865</v>
      </c>
      <c r="AM724" s="218"/>
    </row>
    <row r="725" spans="1:39" ht="28.5">
      <c r="A725" s="137">
        <f>SUBTOTAL(3,$B$3:B725)</f>
        <v>723</v>
      </c>
      <c r="B725" s="203" t="s">
        <v>8840</v>
      </c>
      <c r="C725" s="184" t="s">
        <v>8841</v>
      </c>
      <c r="D725" s="163" t="s">
        <v>8841</v>
      </c>
      <c r="E725" s="129" t="s">
        <v>7965</v>
      </c>
      <c r="F725" s="129" t="s">
        <v>8842</v>
      </c>
      <c r="G725" s="129" t="s">
        <v>2389</v>
      </c>
      <c r="H725" s="129" t="s">
        <v>8843</v>
      </c>
      <c r="I725" s="129" t="s">
        <v>40</v>
      </c>
      <c r="J725" s="188">
        <v>36642</v>
      </c>
      <c r="K725" s="129" t="s">
        <v>41</v>
      </c>
      <c r="L725" s="129" t="s">
        <v>42</v>
      </c>
      <c r="M725" s="163" t="s">
        <v>6752</v>
      </c>
      <c r="N725" s="188">
        <v>45632</v>
      </c>
      <c r="O725" s="163" t="s">
        <v>44</v>
      </c>
      <c r="P725" s="129" t="s">
        <v>2347</v>
      </c>
      <c r="Q725" s="129" t="s">
        <v>3676</v>
      </c>
      <c r="R725" s="163">
        <v>7359171790</v>
      </c>
      <c r="S725" s="129">
        <v>36567</v>
      </c>
      <c r="T725" s="160">
        <v>101966967416</v>
      </c>
      <c r="U725" s="223" t="s">
        <v>8844</v>
      </c>
      <c r="V725" s="151">
        <v>3715791158</v>
      </c>
      <c r="W725" s="145" t="s">
        <v>8845</v>
      </c>
      <c r="X725" s="145" t="s">
        <v>8846</v>
      </c>
      <c r="Y725" s="216" t="s">
        <v>7017</v>
      </c>
      <c r="Z725" s="145" t="s">
        <v>8847</v>
      </c>
      <c r="AA725" s="221" t="s">
        <v>8848</v>
      </c>
      <c r="AB725" s="221" t="s">
        <v>8848</v>
      </c>
      <c r="AC725" s="189" t="s">
        <v>8840</v>
      </c>
      <c r="AD725" s="145"/>
      <c r="AE725" s="145"/>
      <c r="AF725" s="145"/>
      <c r="AG725" s="145"/>
      <c r="AH725" s="145"/>
      <c r="AI725" s="145"/>
      <c r="AJ725" s="129"/>
      <c r="AK725" s="220"/>
      <c r="AL725" s="220" t="s">
        <v>8849</v>
      </c>
      <c r="AM725" s="218"/>
    </row>
    <row r="726" spans="1:39" ht="28.5">
      <c r="A726" s="137">
        <f>SUBTOTAL(3,$B$3:B726)</f>
        <v>724</v>
      </c>
      <c r="B726" s="203" t="s">
        <v>8868</v>
      </c>
      <c r="C726" s="184" t="s">
        <v>8874</v>
      </c>
      <c r="D726" s="163" t="s">
        <v>8875</v>
      </c>
      <c r="E726" s="129" t="s">
        <v>291</v>
      </c>
      <c r="F726" s="129" t="s">
        <v>2698</v>
      </c>
      <c r="G726" s="129" t="s">
        <v>2345</v>
      </c>
      <c r="H726" s="129" t="s">
        <v>7264</v>
      </c>
      <c r="I726" s="129" t="s">
        <v>40</v>
      </c>
      <c r="J726" s="188">
        <v>35361</v>
      </c>
      <c r="K726" s="129" t="s">
        <v>41</v>
      </c>
      <c r="L726" s="129" t="s">
        <v>42</v>
      </c>
      <c r="M726" s="163" t="s">
        <v>4016</v>
      </c>
      <c r="N726" s="188">
        <v>45635</v>
      </c>
      <c r="O726" s="163" t="s">
        <v>44</v>
      </c>
      <c r="P726" s="129" t="s">
        <v>2347</v>
      </c>
      <c r="Q726" s="129" t="s">
        <v>3676</v>
      </c>
      <c r="R726" s="163">
        <v>6352643817</v>
      </c>
      <c r="S726" s="129">
        <v>36554</v>
      </c>
      <c r="T726" s="160">
        <v>101324535692</v>
      </c>
      <c r="U726" s="223" t="s">
        <v>8876</v>
      </c>
      <c r="V726" s="151">
        <v>3715791221</v>
      </c>
      <c r="W726" s="145" t="s">
        <v>8877</v>
      </c>
      <c r="X726" s="145" t="s">
        <v>8878</v>
      </c>
      <c r="Y726" s="216" t="s">
        <v>146</v>
      </c>
      <c r="Z726" s="145" t="s">
        <v>1388</v>
      </c>
      <c r="AA726" s="221" t="s">
        <v>8879</v>
      </c>
      <c r="AB726" s="221" t="s">
        <v>8879</v>
      </c>
      <c r="AC726" s="189" t="s">
        <v>8868</v>
      </c>
      <c r="AD726" s="145"/>
      <c r="AE726" s="145"/>
      <c r="AF726" s="145"/>
      <c r="AG726" s="145"/>
      <c r="AH726" s="145"/>
      <c r="AI726" s="145"/>
      <c r="AJ726" s="129"/>
      <c r="AK726" s="220"/>
      <c r="AL726" s="220" t="s">
        <v>8880</v>
      </c>
      <c r="AM726" s="218"/>
    </row>
    <row r="727" spans="1:39" ht="28.5">
      <c r="A727" s="137">
        <f>SUBTOTAL(3,$B$3:B727)</f>
        <v>725</v>
      </c>
      <c r="B727" s="203" t="s">
        <v>8869</v>
      </c>
      <c r="C727" s="184" t="s">
        <v>8881</v>
      </c>
      <c r="D727" s="184" t="s">
        <v>8881</v>
      </c>
      <c r="E727" s="129" t="s">
        <v>2322</v>
      </c>
      <c r="F727" s="129" t="s">
        <v>6666</v>
      </c>
      <c r="G727" s="129" t="s">
        <v>2345</v>
      </c>
      <c r="H727" s="129" t="s">
        <v>7012</v>
      </c>
      <c r="I727" s="129" t="s">
        <v>40</v>
      </c>
      <c r="J727" s="188">
        <v>37770</v>
      </c>
      <c r="K727" s="129" t="s">
        <v>41</v>
      </c>
      <c r="L727" s="129" t="s">
        <v>42</v>
      </c>
      <c r="M727" s="163" t="s">
        <v>4016</v>
      </c>
      <c r="N727" s="188">
        <v>45635</v>
      </c>
      <c r="O727" s="163" t="s">
        <v>44</v>
      </c>
      <c r="P727" s="129" t="s">
        <v>2347</v>
      </c>
      <c r="Q727" s="129" t="s">
        <v>3676</v>
      </c>
      <c r="R727" s="163">
        <v>9737026158</v>
      </c>
      <c r="S727" s="129">
        <v>36538</v>
      </c>
      <c r="T727" s="160">
        <v>102100063993</v>
      </c>
      <c r="U727" s="223" t="s">
        <v>8882</v>
      </c>
      <c r="V727" s="148">
        <v>3715803125</v>
      </c>
      <c r="W727" s="145" t="s">
        <v>8883</v>
      </c>
      <c r="X727" s="145" t="s">
        <v>8884</v>
      </c>
      <c r="Y727" s="216" t="s">
        <v>677</v>
      </c>
      <c r="Z727" s="145" t="s">
        <v>8885</v>
      </c>
      <c r="AA727" s="221" t="s">
        <v>8886</v>
      </c>
      <c r="AB727" s="221" t="s">
        <v>8886</v>
      </c>
      <c r="AC727" s="189" t="s">
        <v>8869</v>
      </c>
      <c r="AD727" s="145"/>
      <c r="AE727" s="145"/>
      <c r="AF727" s="145"/>
      <c r="AG727" s="145"/>
      <c r="AH727" s="145"/>
      <c r="AI727" s="145"/>
      <c r="AJ727" s="129"/>
      <c r="AK727" s="220"/>
      <c r="AL727" s="220" t="s">
        <v>8887</v>
      </c>
      <c r="AM727" s="218"/>
    </row>
    <row r="728" spans="1:39" ht="42.75">
      <c r="A728" s="137">
        <f>SUBTOTAL(3,$B$3:B728)</f>
        <v>726</v>
      </c>
      <c r="B728" s="203" t="s">
        <v>8870</v>
      </c>
      <c r="C728" s="184" t="s">
        <v>8888</v>
      </c>
      <c r="D728" s="184" t="s">
        <v>8888</v>
      </c>
      <c r="E728" s="129" t="s">
        <v>8889</v>
      </c>
      <c r="F728" s="129" t="s">
        <v>2618</v>
      </c>
      <c r="G728" s="129" t="s">
        <v>2345</v>
      </c>
      <c r="H728" s="129" t="s">
        <v>8890</v>
      </c>
      <c r="I728" s="129" t="s">
        <v>40</v>
      </c>
      <c r="J728" s="188">
        <v>37547</v>
      </c>
      <c r="K728" s="129" t="s">
        <v>41</v>
      </c>
      <c r="L728" s="129" t="s">
        <v>42</v>
      </c>
      <c r="M728" s="163" t="s">
        <v>4016</v>
      </c>
      <c r="N728" s="188">
        <v>45635</v>
      </c>
      <c r="O728" s="163" t="s">
        <v>44</v>
      </c>
      <c r="P728" s="129" t="s">
        <v>2347</v>
      </c>
      <c r="Q728" s="129" t="s">
        <v>3676</v>
      </c>
      <c r="R728" s="163">
        <v>9408236176</v>
      </c>
      <c r="S728" s="129">
        <v>36551</v>
      </c>
      <c r="T728" s="160">
        <v>102047189394</v>
      </c>
      <c r="U728" s="223" t="s">
        <v>7193</v>
      </c>
      <c r="V728" s="151">
        <v>3715791295</v>
      </c>
      <c r="W728" s="145" t="s">
        <v>8891</v>
      </c>
      <c r="X728" s="145" t="s">
        <v>8892</v>
      </c>
      <c r="Y728" s="216" t="s">
        <v>8893</v>
      </c>
      <c r="Z728" s="145" t="s">
        <v>8894</v>
      </c>
      <c r="AA728" s="221" t="s">
        <v>8895</v>
      </c>
      <c r="AB728" s="221" t="s">
        <v>8895</v>
      </c>
      <c r="AC728" s="189" t="s">
        <v>8870</v>
      </c>
      <c r="AD728" s="145"/>
      <c r="AE728" s="145"/>
      <c r="AF728" s="145"/>
      <c r="AG728" s="145"/>
      <c r="AH728" s="145"/>
      <c r="AI728" s="145"/>
      <c r="AJ728" s="129"/>
      <c r="AK728" s="220"/>
      <c r="AL728" s="220" t="s">
        <v>8896</v>
      </c>
      <c r="AM728" s="218"/>
    </row>
    <row r="729" spans="1:39" ht="42.75">
      <c r="A729" s="137">
        <f>SUBTOTAL(3,$B$3:B729)</f>
        <v>727</v>
      </c>
      <c r="B729" s="203" t="s">
        <v>8871</v>
      </c>
      <c r="C729" s="184" t="s">
        <v>8897</v>
      </c>
      <c r="D729" s="184" t="s">
        <v>8897</v>
      </c>
      <c r="E729" s="129" t="s">
        <v>4481</v>
      </c>
      <c r="F729" s="129" t="s">
        <v>8898</v>
      </c>
      <c r="G729" s="129" t="s">
        <v>2345</v>
      </c>
      <c r="H729" s="129" t="s">
        <v>871</v>
      </c>
      <c r="I729" s="129" t="s">
        <v>40</v>
      </c>
      <c r="J729" s="188">
        <v>37541</v>
      </c>
      <c r="K729" s="129" t="s">
        <v>41</v>
      </c>
      <c r="L729" s="129" t="s">
        <v>42</v>
      </c>
      <c r="M729" s="163" t="s">
        <v>4016</v>
      </c>
      <c r="N729" s="188">
        <v>45635</v>
      </c>
      <c r="O729" s="163" t="s">
        <v>44</v>
      </c>
      <c r="P729" s="129" t="s">
        <v>2347</v>
      </c>
      <c r="Q729" s="129" t="s">
        <v>3676</v>
      </c>
      <c r="R729" s="163">
        <v>7096819765</v>
      </c>
      <c r="S729" s="129">
        <v>36558</v>
      </c>
      <c r="T729" s="160">
        <v>102062520418</v>
      </c>
      <c r="U729" s="223" t="s">
        <v>8899</v>
      </c>
      <c r="V729" s="151">
        <v>3715791344</v>
      </c>
      <c r="W729" s="145" t="s">
        <v>8900</v>
      </c>
      <c r="X729" s="145" t="s">
        <v>8901</v>
      </c>
      <c r="Y729" s="216" t="s">
        <v>65</v>
      </c>
      <c r="Z729" s="145" t="s">
        <v>8902</v>
      </c>
      <c r="AA729" s="221" t="s">
        <v>8903</v>
      </c>
      <c r="AB729" s="221" t="s">
        <v>8903</v>
      </c>
      <c r="AC729" s="189" t="s">
        <v>8871</v>
      </c>
      <c r="AD729" s="145"/>
      <c r="AE729" s="145"/>
      <c r="AF729" s="145"/>
      <c r="AG729" s="145"/>
      <c r="AH729" s="145"/>
      <c r="AI729" s="145"/>
      <c r="AJ729" s="129"/>
      <c r="AK729" s="220"/>
      <c r="AL729" s="220" t="s">
        <v>8904</v>
      </c>
      <c r="AM729" s="218"/>
    </row>
    <row r="730" spans="1:39" ht="42.75">
      <c r="A730" s="137">
        <f>SUBTOTAL(3,$B$3:B730)</f>
        <v>728</v>
      </c>
      <c r="B730" s="203" t="s">
        <v>8872</v>
      </c>
      <c r="C730" s="184" t="s">
        <v>8905</v>
      </c>
      <c r="D730" s="163" t="s">
        <v>8906</v>
      </c>
      <c r="E730" s="129" t="s">
        <v>70</v>
      </c>
      <c r="F730" s="129" t="s">
        <v>8907</v>
      </c>
      <c r="G730" s="129" t="s">
        <v>2345</v>
      </c>
      <c r="H730" s="129" t="s">
        <v>8197</v>
      </c>
      <c r="I730" s="129" t="s">
        <v>40</v>
      </c>
      <c r="J730" s="188">
        <v>36905</v>
      </c>
      <c r="K730" s="129" t="s">
        <v>41</v>
      </c>
      <c r="L730" s="129" t="s">
        <v>42</v>
      </c>
      <c r="M730" s="163" t="s">
        <v>6752</v>
      </c>
      <c r="N730" s="188">
        <v>45635</v>
      </c>
      <c r="O730" s="163" t="s">
        <v>44</v>
      </c>
      <c r="P730" s="129" t="s">
        <v>2347</v>
      </c>
      <c r="Q730" s="129" t="s">
        <v>3676</v>
      </c>
      <c r="R730" s="163">
        <v>9510477918</v>
      </c>
      <c r="S730" s="129">
        <v>36563</v>
      </c>
      <c r="T730" s="160">
        <v>102151577642</v>
      </c>
      <c r="U730" s="223" t="s">
        <v>7193</v>
      </c>
      <c r="V730" s="148">
        <v>3715803098</v>
      </c>
      <c r="W730" s="145" t="s">
        <v>8908</v>
      </c>
      <c r="X730" s="145" t="s">
        <v>9138</v>
      </c>
      <c r="Y730" s="216" t="s">
        <v>1289</v>
      </c>
      <c r="Z730" s="145" t="s">
        <v>2448</v>
      </c>
      <c r="AA730" s="221" t="s">
        <v>8909</v>
      </c>
      <c r="AB730" s="221" t="s">
        <v>8909</v>
      </c>
      <c r="AC730" s="189" t="s">
        <v>8872</v>
      </c>
      <c r="AD730" s="145"/>
      <c r="AE730" s="145"/>
      <c r="AF730" s="145"/>
      <c r="AG730" s="145"/>
      <c r="AH730" s="145"/>
      <c r="AI730" s="145"/>
      <c r="AJ730" s="129"/>
      <c r="AK730" s="220"/>
      <c r="AL730" s="220" t="s">
        <v>8910</v>
      </c>
      <c r="AM730" s="218"/>
    </row>
    <row r="731" spans="1:39" ht="28.5">
      <c r="A731" s="137">
        <f>SUBTOTAL(3,$B$3:B731)</f>
        <v>729</v>
      </c>
      <c r="B731" s="203" t="s">
        <v>8873</v>
      </c>
      <c r="C731" s="184" t="s">
        <v>8911</v>
      </c>
      <c r="D731" s="184" t="s">
        <v>8911</v>
      </c>
      <c r="E731" s="129" t="s">
        <v>1279</v>
      </c>
      <c r="F731" s="129" t="s">
        <v>8912</v>
      </c>
      <c r="G731" s="129" t="s">
        <v>2345</v>
      </c>
      <c r="H731" s="129" t="s">
        <v>319</v>
      </c>
      <c r="I731" s="129" t="s">
        <v>40</v>
      </c>
      <c r="J731" s="188">
        <v>36440</v>
      </c>
      <c r="K731" s="129" t="s">
        <v>41</v>
      </c>
      <c r="L731" s="129" t="s">
        <v>42</v>
      </c>
      <c r="M731" s="163" t="s">
        <v>1044</v>
      </c>
      <c r="N731" s="188">
        <v>45637</v>
      </c>
      <c r="O731" s="163" t="s">
        <v>2991</v>
      </c>
      <c r="P731" s="129" t="s">
        <v>2347</v>
      </c>
      <c r="Q731" s="129" t="s">
        <v>3676</v>
      </c>
      <c r="R731" s="163">
        <v>8758854415</v>
      </c>
      <c r="S731" s="129">
        <v>36546</v>
      </c>
      <c r="T731" s="160">
        <v>102151577563</v>
      </c>
      <c r="U731" s="223" t="s">
        <v>8913</v>
      </c>
      <c r="V731" s="151">
        <v>3715791564</v>
      </c>
      <c r="W731" s="145" t="s">
        <v>8914</v>
      </c>
      <c r="X731" s="145" t="s">
        <v>8915</v>
      </c>
      <c r="Y731" s="216" t="s">
        <v>146</v>
      </c>
      <c r="Z731" s="145" t="s">
        <v>8916</v>
      </c>
      <c r="AA731" s="221" t="s">
        <v>8918</v>
      </c>
      <c r="AB731" s="221" t="s">
        <v>8917</v>
      </c>
      <c r="AC731" s="189" t="s">
        <v>8873</v>
      </c>
      <c r="AD731" s="145"/>
      <c r="AE731" s="145"/>
      <c r="AF731" s="145"/>
      <c r="AG731" s="145"/>
      <c r="AH731" s="145"/>
      <c r="AI731" s="145"/>
      <c r="AJ731" s="129"/>
      <c r="AK731" s="220"/>
      <c r="AL731" s="220" t="s">
        <v>8919</v>
      </c>
      <c r="AM731" s="218"/>
    </row>
    <row r="732" spans="1:39" ht="42.75">
      <c r="A732" s="137">
        <f>SUBTOTAL(3,$B$3:B732)</f>
        <v>730</v>
      </c>
      <c r="B732" s="203" t="s">
        <v>8920</v>
      </c>
      <c r="C732" s="184" t="s">
        <v>8922</v>
      </c>
      <c r="D732" s="184" t="s">
        <v>8922</v>
      </c>
      <c r="E732" s="129" t="s">
        <v>754</v>
      </c>
      <c r="F732" s="129" t="s">
        <v>3699</v>
      </c>
      <c r="G732" s="129" t="s">
        <v>2345</v>
      </c>
      <c r="H732" s="129" t="s">
        <v>8923</v>
      </c>
      <c r="I732" s="129" t="s">
        <v>40</v>
      </c>
      <c r="J732" s="188">
        <v>37474</v>
      </c>
      <c r="K732" s="129" t="s">
        <v>280</v>
      </c>
      <c r="L732" s="129" t="s">
        <v>42</v>
      </c>
      <c r="M732" s="163" t="s">
        <v>1175</v>
      </c>
      <c r="N732" s="188">
        <v>45637</v>
      </c>
      <c r="O732" s="163" t="s">
        <v>2991</v>
      </c>
      <c r="P732" s="129" t="s">
        <v>2347</v>
      </c>
      <c r="Q732" s="129" t="s">
        <v>3676</v>
      </c>
      <c r="R732" s="163">
        <v>9313917691</v>
      </c>
      <c r="S732" s="129">
        <v>36539</v>
      </c>
      <c r="T732" s="160">
        <v>102151576335</v>
      </c>
      <c r="U732" s="223" t="s">
        <v>7193</v>
      </c>
      <c r="V732" s="151">
        <v>3715791617</v>
      </c>
      <c r="W732" s="145" t="s">
        <v>8924</v>
      </c>
      <c r="X732" s="145" t="s">
        <v>8925</v>
      </c>
      <c r="Y732" s="216" t="s">
        <v>146</v>
      </c>
      <c r="Z732" s="145" t="s">
        <v>1388</v>
      </c>
      <c r="AA732" s="221" t="s">
        <v>8926</v>
      </c>
      <c r="AB732" s="221" t="s">
        <v>8926</v>
      </c>
      <c r="AC732" s="189" t="s">
        <v>8920</v>
      </c>
      <c r="AD732" s="145"/>
      <c r="AE732" s="145"/>
      <c r="AF732" s="145"/>
      <c r="AG732" s="145"/>
      <c r="AH732" s="145"/>
      <c r="AI732" s="145"/>
      <c r="AJ732" s="129"/>
      <c r="AK732" s="220"/>
      <c r="AL732" s="220" t="s">
        <v>8927</v>
      </c>
      <c r="AM732" s="218"/>
    </row>
    <row r="733" spans="1:39" ht="28.5">
      <c r="A733" s="137">
        <f>SUBTOTAL(3,$B$3:B733)</f>
        <v>731</v>
      </c>
      <c r="B733" s="203" t="s">
        <v>8921</v>
      </c>
      <c r="C733" s="184" t="s">
        <v>8928</v>
      </c>
      <c r="D733" s="184" t="s">
        <v>8929</v>
      </c>
      <c r="E733" s="129" t="s">
        <v>8930</v>
      </c>
      <c r="F733" s="129" t="s">
        <v>8931</v>
      </c>
      <c r="G733" s="129" t="s">
        <v>2345</v>
      </c>
      <c r="H733" s="129" t="s">
        <v>4273</v>
      </c>
      <c r="I733" s="129" t="s">
        <v>40</v>
      </c>
      <c r="J733" s="188">
        <v>35930</v>
      </c>
      <c r="K733" s="129" t="s">
        <v>280</v>
      </c>
      <c r="L733" s="129" t="s">
        <v>42</v>
      </c>
      <c r="M733" s="163" t="s">
        <v>1044</v>
      </c>
      <c r="N733" s="188">
        <v>45637</v>
      </c>
      <c r="O733" s="163" t="s">
        <v>2991</v>
      </c>
      <c r="P733" s="129" t="s">
        <v>2347</v>
      </c>
      <c r="Q733" s="129" t="s">
        <v>3676</v>
      </c>
      <c r="R733" s="163">
        <v>6351372977</v>
      </c>
      <c r="S733" s="129">
        <v>36537</v>
      </c>
      <c r="T733" s="160">
        <v>102151576326</v>
      </c>
      <c r="U733" s="223" t="s">
        <v>8932</v>
      </c>
      <c r="V733" s="151">
        <v>3715791668</v>
      </c>
      <c r="W733" s="145" t="s">
        <v>8933</v>
      </c>
      <c r="X733" s="145" t="s">
        <v>8934</v>
      </c>
      <c r="Y733" s="216" t="s">
        <v>146</v>
      </c>
      <c r="Z733" s="145" t="s">
        <v>1388</v>
      </c>
      <c r="AA733" s="221" t="s">
        <v>8935</v>
      </c>
      <c r="AB733" s="221" t="s">
        <v>8935</v>
      </c>
      <c r="AC733" s="189" t="s">
        <v>8921</v>
      </c>
      <c r="AD733" s="145"/>
      <c r="AE733" s="145"/>
      <c r="AF733" s="145"/>
      <c r="AG733" s="145"/>
      <c r="AH733" s="145"/>
      <c r="AI733" s="145"/>
      <c r="AJ733" s="129"/>
      <c r="AK733" s="220"/>
      <c r="AL733" s="220" t="s">
        <v>8936</v>
      </c>
      <c r="AM733" s="218"/>
    </row>
    <row r="734" spans="1:39" ht="28.5">
      <c r="A734" s="137">
        <f>SUBTOTAL(3,$B$3:B734)</f>
        <v>732</v>
      </c>
      <c r="B734" s="203" t="s">
        <v>8937</v>
      </c>
      <c r="C734" s="184" t="s">
        <v>8947</v>
      </c>
      <c r="D734" s="184" t="s">
        <v>8948</v>
      </c>
      <c r="E734" s="129" t="s">
        <v>898</v>
      </c>
      <c r="F734" s="129" t="s">
        <v>3232</v>
      </c>
      <c r="G734" s="129" t="s">
        <v>2345</v>
      </c>
      <c r="H734" s="129" t="s">
        <v>672</v>
      </c>
      <c r="I734" s="129" t="s">
        <v>40</v>
      </c>
      <c r="J734" s="188">
        <v>35698</v>
      </c>
      <c r="K734" s="129" t="s">
        <v>41</v>
      </c>
      <c r="L734" s="129" t="s">
        <v>42</v>
      </c>
      <c r="M734" s="163" t="s">
        <v>4016</v>
      </c>
      <c r="N734" s="188">
        <v>45638</v>
      </c>
      <c r="O734" s="163" t="s">
        <v>44</v>
      </c>
      <c r="P734" s="129" t="s">
        <v>2347</v>
      </c>
      <c r="Q734" s="129" t="s">
        <v>3676</v>
      </c>
      <c r="R734" s="163">
        <v>7284013848</v>
      </c>
      <c r="S734" s="129">
        <v>36559</v>
      </c>
      <c r="T734" s="160">
        <v>102104498069</v>
      </c>
      <c r="U734" s="223" t="s">
        <v>8949</v>
      </c>
      <c r="V734" s="151">
        <v>3715791701</v>
      </c>
      <c r="W734" s="145" t="s">
        <v>8950</v>
      </c>
      <c r="X734" s="145" t="s">
        <v>8951</v>
      </c>
      <c r="Y734" s="216" t="s">
        <v>132</v>
      </c>
      <c r="Z734" s="145" t="s">
        <v>8952</v>
      </c>
      <c r="AA734" s="221" t="s">
        <v>8953</v>
      </c>
      <c r="AB734" s="221" t="s">
        <v>8953</v>
      </c>
      <c r="AC734" s="189" t="s">
        <v>8937</v>
      </c>
      <c r="AD734" s="145"/>
      <c r="AE734" s="145"/>
      <c r="AF734" s="145"/>
      <c r="AG734" s="145"/>
      <c r="AH734" s="145"/>
      <c r="AI734" s="145"/>
      <c r="AJ734" s="129"/>
      <c r="AK734" s="220"/>
      <c r="AL734" s="220" t="s">
        <v>8954</v>
      </c>
      <c r="AM734" s="218"/>
    </row>
    <row r="735" spans="1:39" ht="28.5">
      <c r="A735" s="137">
        <f>SUBTOTAL(3,$B$3:B735)</f>
        <v>733</v>
      </c>
      <c r="B735" s="203" t="s">
        <v>8938</v>
      </c>
      <c r="C735" s="184" t="s">
        <v>8955</v>
      </c>
      <c r="D735" s="184" t="s">
        <v>8956</v>
      </c>
      <c r="E735" s="129" t="s">
        <v>263</v>
      </c>
      <c r="F735" s="129" t="s">
        <v>2255</v>
      </c>
      <c r="G735" s="129" t="s">
        <v>2389</v>
      </c>
      <c r="H735" s="129" t="s">
        <v>507</v>
      </c>
      <c r="I735" s="129" t="s">
        <v>40</v>
      </c>
      <c r="J735" s="188">
        <v>37335</v>
      </c>
      <c r="K735" s="129" t="s">
        <v>41</v>
      </c>
      <c r="L735" s="129" t="s">
        <v>42</v>
      </c>
      <c r="M735" s="163" t="s">
        <v>6752</v>
      </c>
      <c r="N735" s="188">
        <v>45638</v>
      </c>
      <c r="O735" s="163" t="s">
        <v>44</v>
      </c>
      <c r="P735" s="129" t="s">
        <v>2347</v>
      </c>
      <c r="Q735" s="129" t="s">
        <v>3676</v>
      </c>
      <c r="R735" s="163">
        <v>9157590077</v>
      </c>
      <c r="S735" s="129">
        <v>36545</v>
      </c>
      <c r="T735" s="160">
        <v>102136798409</v>
      </c>
      <c r="U735" s="223" t="s">
        <v>8957</v>
      </c>
      <c r="V735" s="151">
        <v>3715791743</v>
      </c>
      <c r="W735" s="145" t="s">
        <v>8958</v>
      </c>
      <c r="X735" s="145" t="s">
        <v>8959</v>
      </c>
      <c r="Y735" s="216" t="s">
        <v>65</v>
      </c>
      <c r="Z735" s="145" t="s">
        <v>8960</v>
      </c>
      <c r="AA735" s="221" t="s">
        <v>8961</v>
      </c>
      <c r="AB735" s="221" t="s">
        <v>8961</v>
      </c>
      <c r="AC735" s="189" t="s">
        <v>8938</v>
      </c>
      <c r="AD735" s="145"/>
      <c r="AE735" s="145"/>
      <c r="AF735" s="145"/>
      <c r="AG735" s="145"/>
      <c r="AH735" s="145"/>
      <c r="AI735" s="145"/>
      <c r="AJ735" s="129"/>
      <c r="AK735" s="220"/>
      <c r="AL735" s="220" t="s">
        <v>8962</v>
      </c>
      <c r="AM735" s="218"/>
    </row>
    <row r="736" spans="1:39" ht="28.5">
      <c r="A736" s="137">
        <f>SUBTOTAL(3,$B$3:B736)</f>
        <v>734</v>
      </c>
      <c r="B736" s="203" t="s">
        <v>8939</v>
      </c>
      <c r="C736" s="184" t="s">
        <v>8963</v>
      </c>
      <c r="D736" s="184" t="s">
        <v>8963</v>
      </c>
      <c r="E736" s="129" t="s">
        <v>136</v>
      </c>
      <c r="F736" s="129" t="s">
        <v>1802</v>
      </c>
      <c r="G736" s="129" t="s">
        <v>2389</v>
      </c>
      <c r="H736" s="129" t="s">
        <v>8964</v>
      </c>
      <c r="I736" s="129" t="s">
        <v>40</v>
      </c>
      <c r="J736" s="188">
        <v>36456</v>
      </c>
      <c r="K736" s="129" t="s">
        <v>41</v>
      </c>
      <c r="L736" s="129" t="s">
        <v>42</v>
      </c>
      <c r="M736" s="163" t="s">
        <v>4016</v>
      </c>
      <c r="N736" s="188">
        <v>45638</v>
      </c>
      <c r="O736" s="163" t="s">
        <v>44</v>
      </c>
      <c r="P736" s="129" t="s">
        <v>2347</v>
      </c>
      <c r="Q736" s="129" t="s">
        <v>3676</v>
      </c>
      <c r="R736" s="163">
        <v>9601924383</v>
      </c>
      <c r="S736" s="129">
        <v>36541</v>
      </c>
      <c r="T736" s="160">
        <v>102151576342</v>
      </c>
      <c r="U736" s="223" t="s">
        <v>8965</v>
      </c>
      <c r="V736" s="151">
        <v>3715791778</v>
      </c>
      <c r="W736" s="145" t="s">
        <v>8966</v>
      </c>
      <c r="X736" s="145" t="s">
        <v>8967</v>
      </c>
      <c r="Y736" s="216" t="s">
        <v>132</v>
      </c>
      <c r="Z736" s="145" t="s">
        <v>8968</v>
      </c>
      <c r="AA736" s="221" t="s">
        <v>8969</v>
      </c>
      <c r="AB736" s="221" t="s">
        <v>8969</v>
      </c>
      <c r="AC736" s="189" t="s">
        <v>8939</v>
      </c>
      <c r="AD736" s="145"/>
      <c r="AE736" s="145"/>
      <c r="AF736" s="145"/>
      <c r="AG736" s="145"/>
      <c r="AH736" s="145"/>
      <c r="AI736" s="145"/>
      <c r="AJ736" s="129"/>
      <c r="AK736" s="220"/>
      <c r="AL736" s="220" t="s">
        <v>8970</v>
      </c>
      <c r="AM736" s="218"/>
    </row>
    <row r="737" spans="1:39" ht="28.5">
      <c r="A737" s="137">
        <f>SUBTOTAL(3,$B$3:B737)</f>
        <v>735</v>
      </c>
      <c r="B737" s="203" t="s">
        <v>8940</v>
      </c>
      <c r="C737" s="184" t="s">
        <v>8971</v>
      </c>
      <c r="D737" s="184" t="s">
        <v>8972</v>
      </c>
      <c r="E737" s="129" t="s">
        <v>8973</v>
      </c>
      <c r="F737" s="129" t="s">
        <v>7940</v>
      </c>
      <c r="G737" s="129" t="s">
        <v>2345</v>
      </c>
      <c r="H737" s="129" t="s">
        <v>810</v>
      </c>
      <c r="I737" s="129" t="s">
        <v>40</v>
      </c>
      <c r="J737" s="188">
        <v>36933</v>
      </c>
      <c r="K737" s="129" t="s">
        <v>41</v>
      </c>
      <c r="L737" s="129" t="s">
        <v>42</v>
      </c>
      <c r="M737" s="163" t="s">
        <v>6752</v>
      </c>
      <c r="N737" s="188">
        <v>45638</v>
      </c>
      <c r="O737" s="163" t="s">
        <v>44</v>
      </c>
      <c r="P737" s="129" t="s">
        <v>2347</v>
      </c>
      <c r="Q737" s="129" t="s">
        <v>3676</v>
      </c>
      <c r="R737" s="163">
        <v>7623847815</v>
      </c>
      <c r="S737" s="129">
        <v>36550</v>
      </c>
      <c r="T737" s="160">
        <v>101922899701</v>
      </c>
      <c r="U737" s="223" t="s">
        <v>8974</v>
      </c>
      <c r="V737" s="151">
        <v>3715791841</v>
      </c>
      <c r="W737" s="145" t="s">
        <v>8975</v>
      </c>
      <c r="X737" s="145" t="s">
        <v>8976</v>
      </c>
      <c r="Y737" s="216" t="s">
        <v>146</v>
      </c>
      <c r="Z737" s="145" t="s">
        <v>4316</v>
      </c>
      <c r="AA737" s="221" t="s">
        <v>8977</v>
      </c>
      <c r="AB737" s="221" t="s">
        <v>8977</v>
      </c>
      <c r="AC737" s="189" t="s">
        <v>8940</v>
      </c>
      <c r="AD737" s="145"/>
      <c r="AE737" s="145"/>
      <c r="AF737" s="145"/>
      <c r="AG737" s="145"/>
      <c r="AH737" s="145"/>
      <c r="AI737" s="145"/>
      <c r="AJ737" s="129"/>
      <c r="AK737" s="220"/>
      <c r="AL737" s="220"/>
      <c r="AM737" s="218"/>
    </row>
    <row r="738" spans="1:39" ht="28.5">
      <c r="A738" s="137">
        <f>SUBTOTAL(3,$B$3:B738)</f>
        <v>736</v>
      </c>
      <c r="B738" s="203" t="s">
        <v>8941</v>
      </c>
      <c r="C738" s="184" t="s">
        <v>8978</v>
      </c>
      <c r="D738" s="184" t="s">
        <v>8978</v>
      </c>
      <c r="E738" s="129" t="s">
        <v>8979</v>
      </c>
      <c r="F738" s="129" t="s">
        <v>3263</v>
      </c>
      <c r="G738" s="129" t="s">
        <v>2345</v>
      </c>
      <c r="H738" s="129" t="s">
        <v>570</v>
      </c>
      <c r="I738" s="129" t="s">
        <v>40</v>
      </c>
      <c r="J738" s="188">
        <v>36892</v>
      </c>
      <c r="K738" s="129" t="s">
        <v>41</v>
      </c>
      <c r="L738" s="129" t="s">
        <v>42</v>
      </c>
      <c r="M738" s="163" t="s">
        <v>6752</v>
      </c>
      <c r="N738" s="188">
        <v>45638</v>
      </c>
      <c r="O738" s="163" t="s">
        <v>44</v>
      </c>
      <c r="P738" s="129" t="s">
        <v>2347</v>
      </c>
      <c r="Q738" s="129" t="s">
        <v>3676</v>
      </c>
      <c r="R738" s="163">
        <v>9624701201</v>
      </c>
      <c r="S738" s="129">
        <v>36555</v>
      </c>
      <c r="T738" s="160">
        <v>102097878694</v>
      </c>
      <c r="U738" s="223" t="s">
        <v>8980</v>
      </c>
      <c r="V738" s="151">
        <v>3715791874</v>
      </c>
      <c r="W738" s="145" t="s">
        <v>8981</v>
      </c>
      <c r="X738" s="145" t="s">
        <v>9139</v>
      </c>
      <c r="Y738" s="216" t="s">
        <v>146</v>
      </c>
      <c r="Z738" s="145" t="s">
        <v>9140</v>
      </c>
      <c r="AA738" s="221" t="s">
        <v>8982</v>
      </c>
      <c r="AB738" s="221" t="s">
        <v>8982</v>
      </c>
      <c r="AC738" s="189" t="s">
        <v>8941</v>
      </c>
      <c r="AD738" s="145"/>
      <c r="AE738" s="145"/>
      <c r="AF738" s="145"/>
      <c r="AG738" s="145"/>
      <c r="AH738" s="145"/>
      <c r="AI738" s="145"/>
      <c r="AJ738" s="129"/>
      <c r="AK738" s="220"/>
      <c r="AL738" s="220"/>
      <c r="AM738" s="218"/>
    </row>
    <row r="739" spans="1:39" ht="28.5">
      <c r="A739" s="137">
        <f>SUBTOTAL(3,$B$3:B739)</f>
        <v>737</v>
      </c>
      <c r="B739" s="203" t="s">
        <v>8942</v>
      </c>
      <c r="C739" s="184" t="s">
        <v>8983</v>
      </c>
      <c r="D739" s="184" t="s">
        <v>8984</v>
      </c>
      <c r="E739" s="129" t="s">
        <v>8985</v>
      </c>
      <c r="F739" s="129" t="s">
        <v>4624</v>
      </c>
      <c r="G739" s="129" t="s">
        <v>2345</v>
      </c>
      <c r="H739" s="129" t="s">
        <v>918</v>
      </c>
      <c r="I739" s="129" t="s">
        <v>40</v>
      </c>
      <c r="J739" s="188">
        <v>38890</v>
      </c>
      <c r="K739" s="129" t="s">
        <v>41</v>
      </c>
      <c r="L739" s="129" t="s">
        <v>42</v>
      </c>
      <c r="M739" s="163" t="s">
        <v>8461</v>
      </c>
      <c r="N739" s="188">
        <v>45639</v>
      </c>
      <c r="O739" s="163" t="s">
        <v>8461</v>
      </c>
      <c r="P739" s="129" t="s">
        <v>3048</v>
      </c>
      <c r="Q739" s="129" t="s">
        <v>3676</v>
      </c>
      <c r="R739" s="163">
        <v>7874202577</v>
      </c>
      <c r="S739" s="129">
        <v>36542</v>
      </c>
      <c r="T739" s="160">
        <v>102151577559</v>
      </c>
      <c r="U739" s="223" t="s">
        <v>7193</v>
      </c>
      <c r="V739" s="151" t="s">
        <v>7193</v>
      </c>
      <c r="W739" s="145" t="s">
        <v>8986</v>
      </c>
      <c r="X739" s="145" t="s">
        <v>9199</v>
      </c>
      <c r="Y739" s="216" t="s">
        <v>146</v>
      </c>
      <c r="Z739" s="145" t="s">
        <v>1388</v>
      </c>
      <c r="AA739" s="221" t="s">
        <v>8987</v>
      </c>
      <c r="AB739" s="221" t="s">
        <v>8987</v>
      </c>
      <c r="AC739" s="189" t="s">
        <v>8942</v>
      </c>
      <c r="AD739" s="145"/>
      <c r="AE739" s="145"/>
      <c r="AF739" s="145"/>
      <c r="AG739" s="145"/>
      <c r="AH739" s="145"/>
      <c r="AI739" s="145"/>
      <c r="AJ739" s="129"/>
      <c r="AK739" s="220"/>
      <c r="AL739" s="220" t="s">
        <v>8988</v>
      </c>
      <c r="AM739" s="218"/>
    </row>
    <row r="740" spans="1:39" ht="42.75">
      <c r="A740" s="137">
        <f>SUBTOTAL(3,$B$3:B740)</f>
        <v>738</v>
      </c>
      <c r="B740" s="203" t="s">
        <v>8943</v>
      </c>
      <c r="C740" s="184" t="s">
        <v>8989</v>
      </c>
      <c r="D740" s="184" t="s">
        <v>8990</v>
      </c>
      <c r="E740" s="129" t="s">
        <v>4198</v>
      </c>
      <c r="F740" s="129" t="s">
        <v>2133</v>
      </c>
      <c r="G740" s="129" t="s">
        <v>2389</v>
      </c>
      <c r="H740" s="129" t="s">
        <v>711</v>
      </c>
      <c r="I740" s="129" t="s">
        <v>40</v>
      </c>
      <c r="J740" s="188">
        <v>35388</v>
      </c>
      <c r="K740" s="129" t="s">
        <v>280</v>
      </c>
      <c r="L740" s="129" t="s">
        <v>42</v>
      </c>
      <c r="M740" s="163" t="s">
        <v>1175</v>
      </c>
      <c r="N740" s="188">
        <v>45639</v>
      </c>
      <c r="O740" s="163" t="s">
        <v>2991</v>
      </c>
      <c r="P740" s="129" t="s">
        <v>2347</v>
      </c>
      <c r="Q740" s="129" t="s">
        <v>3676</v>
      </c>
      <c r="R740" s="163">
        <v>7383713305</v>
      </c>
      <c r="S740" s="129">
        <v>36562</v>
      </c>
      <c r="T740" s="160">
        <v>101873915553</v>
      </c>
      <c r="U740" s="223" t="s">
        <v>8991</v>
      </c>
      <c r="V740" s="148">
        <v>3715802146</v>
      </c>
      <c r="W740" s="145" t="s">
        <v>8992</v>
      </c>
      <c r="X740" s="145" t="s">
        <v>9200</v>
      </c>
      <c r="Y740" s="216" t="s">
        <v>7017</v>
      </c>
      <c r="Z740" s="145" t="s">
        <v>9201</v>
      </c>
      <c r="AA740" s="221" t="s">
        <v>8993</v>
      </c>
      <c r="AB740" s="221" t="s">
        <v>8993</v>
      </c>
      <c r="AC740" s="189" t="s">
        <v>8943</v>
      </c>
      <c r="AD740" s="145"/>
      <c r="AE740" s="145"/>
      <c r="AF740" s="145"/>
      <c r="AG740" s="145"/>
      <c r="AH740" s="145"/>
      <c r="AI740" s="145"/>
      <c r="AJ740" s="129"/>
      <c r="AK740" s="220"/>
      <c r="AL740" s="220" t="s">
        <v>8994</v>
      </c>
      <c r="AM740" s="218"/>
    </row>
    <row r="741" spans="1:39" ht="28.5">
      <c r="A741" s="137">
        <f>SUBTOTAL(3,$B$3:B741)</f>
        <v>739</v>
      </c>
      <c r="B741" s="203" t="s">
        <v>8944</v>
      </c>
      <c r="C741" s="184" t="s">
        <v>8995</v>
      </c>
      <c r="D741" s="184" t="s">
        <v>8996</v>
      </c>
      <c r="E741" s="129" t="s">
        <v>8997</v>
      </c>
      <c r="F741" s="129" t="s">
        <v>8998</v>
      </c>
      <c r="G741" s="129" t="s">
        <v>2345</v>
      </c>
      <c r="H741" s="129" t="s">
        <v>672</v>
      </c>
      <c r="I741" s="129" t="s">
        <v>40</v>
      </c>
      <c r="J741" s="188">
        <v>37012</v>
      </c>
      <c r="K741" s="129" t="s">
        <v>41</v>
      </c>
      <c r="L741" s="129" t="s">
        <v>42</v>
      </c>
      <c r="M741" s="163" t="s">
        <v>6752</v>
      </c>
      <c r="N741" s="188">
        <v>45639</v>
      </c>
      <c r="O741" s="163" t="s">
        <v>44</v>
      </c>
      <c r="P741" s="129" t="s">
        <v>2347</v>
      </c>
      <c r="Q741" s="129" t="s">
        <v>3676</v>
      </c>
      <c r="R741" s="163">
        <v>9033922684</v>
      </c>
      <c r="S741" s="129">
        <v>36543</v>
      </c>
      <c r="T741" s="160">
        <v>102129352441</v>
      </c>
      <c r="U741" s="223" t="s">
        <v>8999</v>
      </c>
      <c r="V741" s="151">
        <v>3715791924</v>
      </c>
      <c r="W741" s="145" t="s">
        <v>9000</v>
      </c>
      <c r="X741" s="145" t="s">
        <v>9001</v>
      </c>
      <c r="Y741" s="216" t="s">
        <v>146</v>
      </c>
      <c r="Z741" s="145" t="s">
        <v>9002</v>
      </c>
      <c r="AA741" s="221" t="s">
        <v>9003</v>
      </c>
      <c r="AB741" s="221" t="s">
        <v>9003</v>
      </c>
      <c r="AC741" s="189" t="s">
        <v>8944</v>
      </c>
      <c r="AD741" s="145"/>
      <c r="AE741" s="145"/>
      <c r="AF741" s="145"/>
      <c r="AG741" s="145"/>
      <c r="AH741" s="145"/>
      <c r="AI741" s="145"/>
      <c r="AJ741" s="129"/>
      <c r="AK741" s="220"/>
      <c r="AL741" s="220" t="s">
        <v>9004</v>
      </c>
      <c r="AM741" s="218"/>
    </row>
    <row r="742" spans="1:39" ht="28.5">
      <c r="A742" s="137">
        <f>SUBTOTAL(3,$B$3:B742)</f>
        <v>740</v>
      </c>
      <c r="B742" s="203" t="s">
        <v>8945</v>
      </c>
      <c r="C742" s="184" t="s">
        <v>9005</v>
      </c>
      <c r="D742" s="184" t="s">
        <v>9005</v>
      </c>
      <c r="E742" s="129" t="s">
        <v>6041</v>
      </c>
      <c r="F742" s="129" t="s">
        <v>9006</v>
      </c>
      <c r="G742" s="129" t="s">
        <v>2389</v>
      </c>
      <c r="H742" s="129" t="s">
        <v>789</v>
      </c>
      <c r="I742" s="129" t="s">
        <v>40</v>
      </c>
      <c r="J742" s="188">
        <v>35580</v>
      </c>
      <c r="K742" s="129" t="s">
        <v>280</v>
      </c>
      <c r="L742" s="129" t="s">
        <v>42</v>
      </c>
      <c r="M742" s="163" t="s">
        <v>4016</v>
      </c>
      <c r="N742" s="188">
        <v>45639</v>
      </c>
      <c r="O742" s="163" t="s">
        <v>44</v>
      </c>
      <c r="P742" s="129" t="s">
        <v>2347</v>
      </c>
      <c r="Q742" s="129" t="s">
        <v>3676</v>
      </c>
      <c r="R742" s="163">
        <v>6355314844</v>
      </c>
      <c r="S742" s="129">
        <v>36568</v>
      </c>
      <c r="T742" s="160">
        <v>101276267035</v>
      </c>
      <c r="U742" s="223" t="s">
        <v>9007</v>
      </c>
      <c r="V742" s="151">
        <v>3715791957</v>
      </c>
      <c r="W742" s="145" t="s">
        <v>9008</v>
      </c>
      <c r="X742" s="145" t="s">
        <v>9009</v>
      </c>
      <c r="Y742" s="216" t="s">
        <v>1289</v>
      </c>
      <c r="Z742" s="145" t="s">
        <v>4953</v>
      </c>
      <c r="AA742" s="221" t="s">
        <v>9010</v>
      </c>
      <c r="AB742" s="221" t="s">
        <v>9010</v>
      </c>
      <c r="AC742" s="189" t="s">
        <v>8945</v>
      </c>
      <c r="AD742" s="145"/>
      <c r="AE742" s="145"/>
      <c r="AF742" s="145"/>
      <c r="AG742" s="145"/>
      <c r="AH742" s="145"/>
      <c r="AI742" s="145"/>
      <c r="AJ742" s="129"/>
      <c r="AK742" s="220"/>
      <c r="AL742" s="220" t="s">
        <v>9011</v>
      </c>
      <c r="AM742" s="218"/>
    </row>
    <row r="743" spans="1:39" ht="28.5">
      <c r="A743" s="137">
        <f>SUBTOTAL(3,$B$3:B743)</f>
        <v>741</v>
      </c>
      <c r="B743" s="203" t="s">
        <v>8946</v>
      </c>
      <c r="C743" s="184" t="s">
        <v>9012</v>
      </c>
      <c r="D743" s="184" t="s">
        <v>9012</v>
      </c>
      <c r="E743" s="129" t="s">
        <v>291</v>
      </c>
      <c r="F743" s="129" t="s">
        <v>9013</v>
      </c>
      <c r="G743" s="129" t="s">
        <v>2389</v>
      </c>
      <c r="H743" s="129" t="s">
        <v>672</v>
      </c>
      <c r="I743" s="129" t="s">
        <v>40</v>
      </c>
      <c r="J743" s="188">
        <v>36304</v>
      </c>
      <c r="K743" s="129" t="s">
        <v>280</v>
      </c>
      <c r="L743" s="129" t="s">
        <v>42</v>
      </c>
      <c r="M743" s="163" t="s">
        <v>1175</v>
      </c>
      <c r="N743" s="188">
        <v>45639</v>
      </c>
      <c r="O743" s="163" t="s">
        <v>2991</v>
      </c>
      <c r="P743" s="129" t="s">
        <v>2347</v>
      </c>
      <c r="Q743" s="129" t="s">
        <v>3676</v>
      </c>
      <c r="R743" s="163">
        <v>7041410557</v>
      </c>
      <c r="S743" s="129">
        <v>36556</v>
      </c>
      <c r="T743" s="160">
        <v>102151577619</v>
      </c>
      <c r="U743" s="223" t="s">
        <v>9014</v>
      </c>
      <c r="V743" s="151">
        <v>3715795059</v>
      </c>
      <c r="W743" s="145" t="s">
        <v>9015</v>
      </c>
      <c r="X743" s="145" t="s">
        <v>9016</v>
      </c>
      <c r="Y743" s="216" t="s">
        <v>326</v>
      </c>
      <c r="Z743" s="145" t="s">
        <v>8010</v>
      </c>
      <c r="AA743" s="221" t="s">
        <v>9017</v>
      </c>
      <c r="AB743" s="221" t="s">
        <v>9017</v>
      </c>
      <c r="AC743" s="189" t="s">
        <v>8946</v>
      </c>
      <c r="AD743" s="145"/>
      <c r="AE743" s="145"/>
      <c r="AF743" s="145"/>
      <c r="AG743" s="145"/>
      <c r="AH743" s="145"/>
      <c r="AI743" s="145"/>
      <c r="AJ743" s="129"/>
      <c r="AK743" s="220"/>
      <c r="AL743" s="220" t="s">
        <v>9018</v>
      </c>
      <c r="AM743" s="218"/>
    </row>
    <row r="744" spans="1:39" ht="28.5">
      <c r="A744" s="137">
        <f>SUBTOTAL(3,$B$3:B744)</f>
        <v>742</v>
      </c>
      <c r="B744" s="203" t="s">
        <v>9019</v>
      </c>
      <c r="C744" s="184" t="s">
        <v>9020</v>
      </c>
      <c r="D744" s="184" t="s">
        <v>9020</v>
      </c>
      <c r="E744" s="129" t="s">
        <v>9021</v>
      </c>
      <c r="F744" s="129" t="s">
        <v>2408</v>
      </c>
      <c r="G744" s="129" t="s">
        <v>2345</v>
      </c>
      <c r="H744" s="129" t="s">
        <v>6296</v>
      </c>
      <c r="I744" s="129" t="s">
        <v>40</v>
      </c>
      <c r="J744" s="188">
        <v>37613</v>
      </c>
      <c r="K744" s="129" t="s">
        <v>41</v>
      </c>
      <c r="L744" s="129" t="s">
        <v>42</v>
      </c>
      <c r="M744" s="163" t="s">
        <v>4016</v>
      </c>
      <c r="N744" s="188">
        <v>45639</v>
      </c>
      <c r="O744" s="163" t="s">
        <v>44</v>
      </c>
      <c r="P744" s="129" t="s">
        <v>2347</v>
      </c>
      <c r="Q744" s="129" t="s">
        <v>3676</v>
      </c>
      <c r="R744" s="163">
        <v>8799301314</v>
      </c>
      <c r="S744" s="129">
        <v>36548</v>
      </c>
      <c r="T744" s="160">
        <v>102151577585</v>
      </c>
      <c r="U744" s="223" t="s">
        <v>9022</v>
      </c>
      <c r="V744" s="151">
        <v>3715801716</v>
      </c>
      <c r="W744" s="145" t="s">
        <v>9023</v>
      </c>
      <c r="X744" s="145" t="s">
        <v>9024</v>
      </c>
      <c r="Y744" s="216" t="s">
        <v>65</v>
      </c>
      <c r="Z744" s="145" t="s">
        <v>9025</v>
      </c>
      <c r="AA744" s="221" t="s">
        <v>9026</v>
      </c>
      <c r="AB744" s="221" t="s">
        <v>9026</v>
      </c>
      <c r="AC744" s="189" t="s">
        <v>9019</v>
      </c>
      <c r="AD744" s="145"/>
      <c r="AE744" s="145"/>
      <c r="AF744" s="145"/>
      <c r="AG744" s="145"/>
      <c r="AH744" s="145"/>
      <c r="AI744" s="145"/>
      <c r="AJ744" s="129"/>
      <c r="AK744" s="220"/>
      <c r="AL744" s="220" t="s">
        <v>9027</v>
      </c>
      <c r="AM744" s="218"/>
    </row>
    <row r="745" spans="1:39" ht="28.5">
      <c r="A745" s="137">
        <f>SUBTOTAL(3,$B$3:B745)</f>
        <v>743</v>
      </c>
      <c r="B745" s="203" t="s">
        <v>9028</v>
      </c>
      <c r="C745" s="184" t="s">
        <v>9030</v>
      </c>
      <c r="D745" s="184" t="s">
        <v>9030</v>
      </c>
      <c r="E745" s="129" t="s">
        <v>70</v>
      </c>
      <c r="F745" s="129" t="s">
        <v>9031</v>
      </c>
      <c r="G745" s="129" t="s">
        <v>2345</v>
      </c>
      <c r="H745" s="129" t="s">
        <v>1469</v>
      </c>
      <c r="I745" s="129" t="s">
        <v>40</v>
      </c>
      <c r="J745" s="188">
        <v>37107</v>
      </c>
      <c r="K745" s="129" t="s">
        <v>41</v>
      </c>
      <c r="L745" s="129" t="s">
        <v>42</v>
      </c>
      <c r="M745" s="163" t="s">
        <v>1104</v>
      </c>
      <c r="N745" s="188">
        <v>45640</v>
      </c>
      <c r="O745" s="163" t="s">
        <v>2991</v>
      </c>
      <c r="P745" s="129" t="s">
        <v>2347</v>
      </c>
      <c r="Q745" s="129" t="s">
        <v>3676</v>
      </c>
      <c r="R745" s="163">
        <v>8153878057</v>
      </c>
      <c r="S745" s="129">
        <v>36560</v>
      </c>
      <c r="T745" s="160">
        <v>102000328599</v>
      </c>
      <c r="U745" s="223" t="s">
        <v>9032</v>
      </c>
      <c r="V745" s="151">
        <v>3715801755</v>
      </c>
      <c r="W745" s="145" t="s">
        <v>9033</v>
      </c>
      <c r="X745" s="145" t="s">
        <v>9034</v>
      </c>
      <c r="Y745" s="216" t="s">
        <v>1289</v>
      </c>
      <c r="Z745" s="145" t="s">
        <v>2649</v>
      </c>
      <c r="AA745" s="221" t="s">
        <v>9035</v>
      </c>
      <c r="AB745" s="221" t="s">
        <v>9035</v>
      </c>
      <c r="AC745" s="189" t="s">
        <v>9028</v>
      </c>
      <c r="AD745" s="145"/>
      <c r="AE745" s="145"/>
      <c r="AF745" s="145"/>
      <c r="AG745" s="145"/>
      <c r="AH745" s="145"/>
      <c r="AI745" s="145"/>
      <c r="AJ745" s="129"/>
      <c r="AK745" s="220"/>
      <c r="AL745" s="220" t="s">
        <v>9036</v>
      </c>
      <c r="AM745" s="218"/>
    </row>
    <row r="746" spans="1:39" ht="28.5">
      <c r="A746" s="137">
        <f>SUBTOTAL(3,$B$3:B746)</f>
        <v>744</v>
      </c>
      <c r="B746" s="203" t="s">
        <v>9029</v>
      </c>
      <c r="C746" s="184" t="s">
        <v>9037</v>
      </c>
      <c r="D746" s="184" t="s">
        <v>9037</v>
      </c>
      <c r="E746" s="129" t="s">
        <v>8889</v>
      </c>
      <c r="F746" s="129" t="s">
        <v>4537</v>
      </c>
      <c r="G746" s="129" t="s">
        <v>2345</v>
      </c>
      <c r="H746" s="129" t="s">
        <v>1091</v>
      </c>
      <c r="I746" s="129" t="s">
        <v>40</v>
      </c>
      <c r="J746" s="188">
        <v>36555</v>
      </c>
      <c r="K746" s="129" t="s">
        <v>41</v>
      </c>
      <c r="L746" s="129" t="s">
        <v>42</v>
      </c>
      <c r="M746" s="163" t="s">
        <v>1104</v>
      </c>
      <c r="N746" s="188">
        <v>45642</v>
      </c>
      <c r="O746" s="163" t="s">
        <v>2991</v>
      </c>
      <c r="P746" s="129" t="s">
        <v>2347</v>
      </c>
      <c r="Q746" s="129" t="s">
        <v>3676</v>
      </c>
      <c r="R746" s="163">
        <v>8128806756</v>
      </c>
      <c r="S746" s="129">
        <v>36557</v>
      </c>
      <c r="T746" s="160">
        <v>102151577626</v>
      </c>
      <c r="U746" s="223" t="s">
        <v>9038</v>
      </c>
      <c r="V746" s="151">
        <v>3715801793</v>
      </c>
      <c r="W746" s="145" t="s">
        <v>9039</v>
      </c>
      <c r="X746" s="145" t="s">
        <v>9040</v>
      </c>
      <c r="Y746" s="216" t="s">
        <v>146</v>
      </c>
      <c r="Z746" s="145" t="s">
        <v>9041</v>
      </c>
      <c r="AA746" s="221" t="s">
        <v>9042</v>
      </c>
      <c r="AB746" s="221" t="s">
        <v>9042</v>
      </c>
      <c r="AC746" s="189" t="s">
        <v>9029</v>
      </c>
      <c r="AD746" s="145"/>
      <c r="AE746" s="145"/>
      <c r="AF746" s="145"/>
      <c r="AG746" s="145"/>
      <c r="AH746" s="145"/>
      <c r="AI746" s="145"/>
      <c r="AJ746" s="129"/>
      <c r="AK746" s="220"/>
      <c r="AL746" s="220" t="s">
        <v>9043</v>
      </c>
      <c r="AM746" s="218"/>
    </row>
    <row r="747" spans="1:39" ht="42.75">
      <c r="A747" s="137">
        <f>SUBTOTAL(3,$B$3:B747)</f>
        <v>745</v>
      </c>
      <c r="B747" s="203" t="s">
        <v>9044</v>
      </c>
      <c r="C747" s="184" t="s">
        <v>9045</v>
      </c>
      <c r="D747" s="184" t="s">
        <v>9045</v>
      </c>
      <c r="E747" s="129" t="s">
        <v>9046</v>
      </c>
      <c r="F747" s="129" t="s">
        <v>4370</v>
      </c>
      <c r="G747" s="129" t="s">
        <v>2345</v>
      </c>
      <c r="H747" s="129" t="s">
        <v>9047</v>
      </c>
      <c r="I747" s="129" t="s">
        <v>702</v>
      </c>
      <c r="J747" s="188">
        <v>34637</v>
      </c>
      <c r="K747" s="129" t="s">
        <v>280</v>
      </c>
      <c r="L747" s="129" t="s">
        <v>42</v>
      </c>
      <c r="M747" s="163" t="s">
        <v>6752</v>
      </c>
      <c r="N747" s="188">
        <v>45642</v>
      </c>
      <c r="O747" s="163" t="s">
        <v>44</v>
      </c>
      <c r="P747" s="129" t="s">
        <v>2347</v>
      </c>
      <c r="Q747" s="129" t="s">
        <v>3676</v>
      </c>
      <c r="R747" s="163">
        <v>9111018269</v>
      </c>
      <c r="S747" s="129">
        <v>36565</v>
      </c>
      <c r="T747" s="160">
        <v>101613310264</v>
      </c>
      <c r="U747" s="223" t="s">
        <v>9048</v>
      </c>
      <c r="V747" s="151">
        <v>3715801813</v>
      </c>
      <c r="W747" s="145" t="s">
        <v>9049</v>
      </c>
      <c r="X747" s="145" t="s">
        <v>9050</v>
      </c>
      <c r="Y747" s="216" t="s">
        <v>487</v>
      </c>
      <c r="Z747" s="145" t="s">
        <v>3473</v>
      </c>
      <c r="AA747" s="221" t="s">
        <v>9051</v>
      </c>
      <c r="AB747" s="221" t="s">
        <v>9051</v>
      </c>
      <c r="AC747" s="189" t="s">
        <v>9044</v>
      </c>
      <c r="AD747" s="145"/>
      <c r="AE747" s="145"/>
      <c r="AF747" s="145"/>
      <c r="AG747" s="145"/>
      <c r="AH747" s="145"/>
      <c r="AI747" s="145"/>
      <c r="AJ747" s="129"/>
      <c r="AK747" s="220"/>
      <c r="AL747" s="220" t="s">
        <v>9052</v>
      </c>
      <c r="AM747" s="218"/>
    </row>
    <row r="748" spans="1:39" ht="28.5">
      <c r="A748" s="137">
        <f>SUBTOTAL(3,$B$3:B748)</f>
        <v>746</v>
      </c>
      <c r="B748" s="203" t="s">
        <v>9054</v>
      </c>
      <c r="C748" s="184" t="s">
        <v>9055</v>
      </c>
      <c r="D748" s="184" t="s">
        <v>9055</v>
      </c>
      <c r="E748" s="129" t="s">
        <v>1308</v>
      </c>
      <c r="F748" s="129" t="s">
        <v>9062</v>
      </c>
      <c r="G748" s="129" t="s">
        <v>2345</v>
      </c>
      <c r="H748" s="129" t="s">
        <v>9063</v>
      </c>
      <c r="I748" s="129" t="s">
        <v>40</v>
      </c>
      <c r="J748" s="188">
        <v>37375</v>
      </c>
      <c r="K748" s="129" t="s">
        <v>41</v>
      </c>
      <c r="L748" s="129" t="s">
        <v>42</v>
      </c>
      <c r="M748" s="163" t="s">
        <v>9064</v>
      </c>
      <c r="N748" s="188">
        <v>45649</v>
      </c>
      <c r="O748" s="163" t="s">
        <v>2991</v>
      </c>
      <c r="P748" s="129" t="s">
        <v>2347</v>
      </c>
      <c r="Q748" s="129" t="s">
        <v>3676</v>
      </c>
      <c r="R748" s="163">
        <v>9316193715</v>
      </c>
      <c r="S748" s="129">
        <v>36549</v>
      </c>
      <c r="T748" s="160">
        <v>102151577592</v>
      </c>
      <c r="U748" s="223" t="s">
        <v>9065</v>
      </c>
      <c r="V748" s="151">
        <v>3715801834</v>
      </c>
      <c r="W748" s="145" t="s">
        <v>9066</v>
      </c>
      <c r="X748" s="145" t="s">
        <v>9067</v>
      </c>
      <c r="Y748" s="216" t="s">
        <v>65</v>
      </c>
      <c r="Z748" s="145" t="s">
        <v>1873</v>
      </c>
      <c r="AA748" s="221" t="s">
        <v>9068</v>
      </c>
      <c r="AB748" s="221" t="s">
        <v>9068</v>
      </c>
      <c r="AC748" s="189" t="s">
        <v>9054</v>
      </c>
      <c r="AD748" s="145"/>
      <c r="AE748" s="145"/>
      <c r="AF748" s="145"/>
      <c r="AG748" s="145"/>
      <c r="AH748" s="145"/>
      <c r="AI748" s="145"/>
      <c r="AJ748" s="129"/>
      <c r="AK748" s="220"/>
      <c r="AL748" s="220" t="s">
        <v>9069</v>
      </c>
      <c r="AM748" s="218"/>
    </row>
    <row r="749" spans="1:39" ht="28.5">
      <c r="A749" s="137">
        <f>SUBTOTAL(3,$B$3:B749)</f>
        <v>747</v>
      </c>
      <c r="B749" s="203" t="s">
        <v>9056</v>
      </c>
      <c r="C749" s="184" t="s">
        <v>9070</v>
      </c>
      <c r="D749" s="184" t="s">
        <v>9071</v>
      </c>
      <c r="E749" s="129" t="s">
        <v>9072</v>
      </c>
      <c r="F749" s="129" t="s">
        <v>8220</v>
      </c>
      <c r="G749" s="129" t="s">
        <v>2345</v>
      </c>
      <c r="H749" s="129" t="s">
        <v>9073</v>
      </c>
      <c r="I749" s="129" t="s">
        <v>40</v>
      </c>
      <c r="J749" s="188">
        <v>36835</v>
      </c>
      <c r="K749" s="129" t="s">
        <v>41</v>
      </c>
      <c r="L749" s="129" t="s">
        <v>42</v>
      </c>
      <c r="M749" s="163" t="s">
        <v>4016</v>
      </c>
      <c r="N749" s="188">
        <v>45649</v>
      </c>
      <c r="O749" s="163" t="s">
        <v>44</v>
      </c>
      <c r="P749" s="129" t="s">
        <v>2347</v>
      </c>
      <c r="Q749" s="129" t="s">
        <v>3676</v>
      </c>
      <c r="R749" s="163">
        <v>9023167640</v>
      </c>
      <c r="S749" s="129">
        <v>36540</v>
      </c>
      <c r="T749" s="160">
        <v>101806332055</v>
      </c>
      <c r="U749" s="223" t="s">
        <v>9074</v>
      </c>
      <c r="V749" s="151">
        <v>3715801847</v>
      </c>
      <c r="W749" s="145" t="s">
        <v>9075</v>
      </c>
      <c r="X749" s="145" t="s">
        <v>9076</v>
      </c>
      <c r="Y749" s="216" t="s">
        <v>146</v>
      </c>
      <c r="Z749" s="145" t="s">
        <v>1388</v>
      </c>
      <c r="AA749" s="221" t="s">
        <v>9077</v>
      </c>
      <c r="AB749" s="221" t="s">
        <v>9077</v>
      </c>
      <c r="AC749" s="189" t="s">
        <v>9056</v>
      </c>
      <c r="AD749" s="145"/>
      <c r="AE749" s="145"/>
      <c r="AF749" s="145"/>
      <c r="AG749" s="145"/>
      <c r="AH749" s="145"/>
      <c r="AI749" s="145"/>
      <c r="AJ749" s="129"/>
      <c r="AK749" s="220"/>
      <c r="AL749" s="220"/>
      <c r="AM749" s="218"/>
    </row>
    <row r="750" spans="1:39" ht="28.5">
      <c r="A750" s="137">
        <f>SUBTOTAL(3,$B$3:B750)</f>
        <v>748</v>
      </c>
      <c r="B750" s="203" t="s">
        <v>9057</v>
      </c>
      <c r="C750" s="184" t="s">
        <v>9078</v>
      </c>
      <c r="D750" s="184" t="s">
        <v>9079</v>
      </c>
      <c r="E750" s="129" t="s">
        <v>136</v>
      </c>
      <c r="F750" s="129" t="s">
        <v>9080</v>
      </c>
      <c r="G750" s="129" t="s">
        <v>2345</v>
      </c>
      <c r="H750" s="129" t="s">
        <v>4511</v>
      </c>
      <c r="I750" s="129" t="s">
        <v>40</v>
      </c>
      <c r="J750" s="188">
        <v>36735</v>
      </c>
      <c r="K750" s="129" t="s">
        <v>41</v>
      </c>
      <c r="L750" s="129" t="s">
        <v>42</v>
      </c>
      <c r="M750" s="163" t="s">
        <v>6752</v>
      </c>
      <c r="N750" s="188">
        <v>45649</v>
      </c>
      <c r="O750" s="163" t="s">
        <v>44</v>
      </c>
      <c r="P750" s="129" t="s">
        <v>2347</v>
      </c>
      <c r="Q750" s="129" t="s">
        <v>3676</v>
      </c>
      <c r="R750" s="163">
        <v>7283954009</v>
      </c>
      <c r="S750" s="129">
        <v>36566</v>
      </c>
      <c r="T750" s="160">
        <v>101901803097</v>
      </c>
      <c r="U750" s="223" t="s">
        <v>9081</v>
      </c>
      <c r="V750" s="151">
        <v>3715801864</v>
      </c>
      <c r="W750" s="145" t="s">
        <v>9082</v>
      </c>
      <c r="X750" s="145" t="s">
        <v>9083</v>
      </c>
      <c r="Y750" s="216" t="s">
        <v>146</v>
      </c>
      <c r="Z750" s="145" t="s">
        <v>9084</v>
      </c>
      <c r="AA750" s="221" t="s">
        <v>9085</v>
      </c>
      <c r="AB750" s="221" t="s">
        <v>9085</v>
      </c>
      <c r="AC750" s="189" t="s">
        <v>9057</v>
      </c>
      <c r="AD750" s="145"/>
      <c r="AE750" s="145"/>
      <c r="AF750" s="145"/>
      <c r="AG750" s="145"/>
      <c r="AH750" s="145"/>
      <c r="AI750" s="145"/>
      <c r="AJ750" s="129"/>
      <c r="AK750" s="220"/>
      <c r="AL750" s="220" t="s">
        <v>9086</v>
      </c>
      <c r="AM750" s="218"/>
    </row>
    <row r="751" spans="1:39" ht="28.5">
      <c r="A751" s="137">
        <f>SUBTOTAL(3,$B$3:B751)</f>
        <v>749</v>
      </c>
      <c r="B751" s="203" t="s">
        <v>9058</v>
      </c>
      <c r="C751" s="184" t="s">
        <v>9087</v>
      </c>
      <c r="D751" s="184" t="s">
        <v>9087</v>
      </c>
      <c r="E751" s="129" t="s">
        <v>291</v>
      </c>
      <c r="F751" s="129" t="s">
        <v>9088</v>
      </c>
      <c r="G751" s="129" t="s">
        <v>2345</v>
      </c>
      <c r="H751" s="129" t="s">
        <v>9089</v>
      </c>
      <c r="I751" s="129" t="s">
        <v>40</v>
      </c>
      <c r="J751" s="188">
        <v>37182</v>
      </c>
      <c r="K751" s="129" t="s">
        <v>41</v>
      </c>
      <c r="L751" s="129" t="s">
        <v>42</v>
      </c>
      <c r="M751" s="163" t="s">
        <v>4016</v>
      </c>
      <c r="N751" s="188">
        <v>45649</v>
      </c>
      <c r="O751" s="163" t="s">
        <v>44</v>
      </c>
      <c r="P751" s="129" t="s">
        <v>2347</v>
      </c>
      <c r="Q751" s="129" t="s">
        <v>3676</v>
      </c>
      <c r="R751" s="163">
        <v>7990798649</v>
      </c>
      <c r="S751" s="129">
        <v>36544</v>
      </c>
      <c r="T751" s="160">
        <v>101946217885</v>
      </c>
      <c r="U751" s="223" t="s">
        <v>9090</v>
      </c>
      <c r="V751" s="151">
        <v>3715802051</v>
      </c>
      <c r="W751" s="145" t="s">
        <v>9091</v>
      </c>
      <c r="X751" s="145" t="s">
        <v>9197</v>
      </c>
      <c r="Y751" s="216" t="s">
        <v>146</v>
      </c>
      <c r="Z751" s="145" t="s">
        <v>9198</v>
      </c>
      <c r="AA751" s="221" t="s">
        <v>9092</v>
      </c>
      <c r="AB751" s="221" t="s">
        <v>9092</v>
      </c>
      <c r="AC751" s="189" t="s">
        <v>9058</v>
      </c>
      <c r="AD751" s="145"/>
      <c r="AE751" s="145"/>
      <c r="AF751" s="145"/>
      <c r="AG751" s="145"/>
      <c r="AH751" s="145"/>
      <c r="AI751" s="145"/>
      <c r="AJ751" s="129"/>
      <c r="AK751" s="220"/>
      <c r="AL751" s="220" t="s">
        <v>9093</v>
      </c>
      <c r="AM751" s="218"/>
    </row>
    <row r="752" spans="1:39" ht="28.5">
      <c r="A752" s="137">
        <f>SUBTOTAL(3,$B$3:B752)</f>
        <v>750</v>
      </c>
      <c r="B752" s="203" t="s">
        <v>9059</v>
      </c>
      <c r="C752" s="184" t="s">
        <v>9094</v>
      </c>
      <c r="D752" s="184" t="s">
        <v>9095</v>
      </c>
      <c r="E752" s="129" t="s">
        <v>1428</v>
      </c>
      <c r="F752" s="129" t="s">
        <v>9096</v>
      </c>
      <c r="G752" s="129" t="s">
        <v>2345</v>
      </c>
      <c r="H752" s="129" t="s">
        <v>8239</v>
      </c>
      <c r="I752" s="129" t="s">
        <v>40</v>
      </c>
      <c r="J752" s="188">
        <v>37531</v>
      </c>
      <c r="K752" s="129" t="s">
        <v>41</v>
      </c>
      <c r="L752" s="129" t="s">
        <v>42</v>
      </c>
      <c r="M752" s="163" t="s">
        <v>4016</v>
      </c>
      <c r="N752" s="188">
        <v>45649</v>
      </c>
      <c r="O752" s="163" t="s">
        <v>44</v>
      </c>
      <c r="P752" s="129" t="s">
        <v>2347</v>
      </c>
      <c r="Q752" s="129" t="s">
        <v>3676</v>
      </c>
      <c r="R752" s="163">
        <v>8866807880</v>
      </c>
      <c r="S752" s="129">
        <v>36547</v>
      </c>
      <c r="T752" s="160">
        <v>102151577571</v>
      </c>
      <c r="U752" s="223" t="s">
        <v>9097</v>
      </c>
      <c r="V752" s="151">
        <v>3715801932</v>
      </c>
      <c r="W752" s="145" t="s">
        <v>9098</v>
      </c>
      <c r="X752" s="145" t="s">
        <v>9099</v>
      </c>
      <c r="Y752" s="216" t="s">
        <v>65</v>
      </c>
      <c r="Z752" s="145" t="s">
        <v>9100</v>
      </c>
      <c r="AA752" s="221" t="s">
        <v>9101</v>
      </c>
      <c r="AB752" s="221" t="s">
        <v>9101</v>
      </c>
      <c r="AC752" s="189" t="s">
        <v>9059</v>
      </c>
      <c r="AD752" s="145"/>
      <c r="AE752" s="145"/>
      <c r="AF752" s="145"/>
      <c r="AG752" s="145"/>
      <c r="AH752" s="145"/>
      <c r="AI752" s="145"/>
      <c r="AJ752" s="129"/>
      <c r="AK752" s="220"/>
      <c r="AL752" s="220" t="s">
        <v>9102</v>
      </c>
      <c r="AM752" s="218"/>
    </row>
    <row r="753" spans="1:39" ht="28.5">
      <c r="A753" s="137">
        <f>SUBTOTAL(3,$B$3:B753)</f>
        <v>751</v>
      </c>
      <c r="B753" s="203" t="s">
        <v>9060</v>
      </c>
      <c r="C753" s="184" t="s">
        <v>9103</v>
      </c>
      <c r="D753" s="184" t="s">
        <v>9104</v>
      </c>
      <c r="E753" s="129" t="s">
        <v>4464</v>
      </c>
      <c r="F753" s="129" t="s">
        <v>9105</v>
      </c>
      <c r="G753" s="129" t="s">
        <v>2345</v>
      </c>
      <c r="H753" s="129" t="s">
        <v>1481</v>
      </c>
      <c r="I753" s="129" t="s">
        <v>40</v>
      </c>
      <c r="J753" s="188">
        <v>37702</v>
      </c>
      <c r="K753" s="129" t="s">
        <v>41</v>
      </c>
      <c r="L753" s="129" t="s">
        <v>42</v>
      </c>
      <c r="M753" s="163" t="s">
        <v>4016</v>
      </c>
      <c r="N753" s="188">
        <v>45649</v>
      </c>
      <c r="O753" s="163" t="s">
        <v>44</v>
      </c>
      <c r="P753" s="129" t="s">
        <v>2347</v>
      </c>
      <c r="Q753" s="129" t="s">
        <v>3676</v>
      </c>
      <c r="R753" s="163">
        <v>8511951785</v>
      </c>
      <c r="S753" s="129">
        <v>36561</v>
      </c>
      <c r="T753" s="160">
        <v>102151577635</v>
      </c>
      <c r="U753" s="223" t="s">
        <v>7193</v>
      </c>
      <c r="V753" s="151">
        <v>3715801948</v>
      </c>
      <c r="W753" s="145" t="s">
        <v>9106</v>
      </c>
      <c r="X753" s="145" t="s">
        <v>9107</v>
      </c>
      <c r="Y753" s="216" t="s">
        <v>146</v>
      </c>
      <c r="Z753" s="145" t="s">
        <v>145</v>
      </c>
      <c r="AA753" s="221" t="s">
        <v>9108</v>
      </c>
      <c r="AB753" s="221" t="s">
        <v>9108</v>
      </c>
      <c r="AC753" s="189" t="s">
        <v>9060</v>
      </c>
      <c r="AD753" s="145"/>
      <c r="AE753" s="145"/>
      <c r="AF753" s="145"/>
      <c r="AG753" s="145"/>
      <c r="AH753" s="145"/>
      <c r="AI753" s="145"/>
      <c r="AJ753" s="129"/>
      <c r="AK753" s="220"/>
      <c r="AL753" s="220" t="s">
        <v>9109</v>
      </c>
      <c r="AM753" s="218"/>
    </row>
    <row r="754" spans="1:39" ht="28.5">
      <c r="A754" s="137">
        <f>SUBTOTAL(3,$B$3:B754)</f>
        <v>752</v>
      </c>
      <c r="B754" s="203" t="s">
        <v>9061</v>
      </c>
      <c r="C754" s="184" t="s">
        <v>9110</v>
      </c>
      <c r="D754" s="184" t="s">
        <v>9110</v>
      </c>
      <c r="E754" s="129" t="s">
        <v>1428</v>
      </c>
      <c r="F754" s="129" t="s">
        <v>9111</v>
      </c>
      <c r="G754" s="129" t="s">
        <v>2345</v>
      </c>
      <c r="H754" s="129" t="s">
        <v>9112</v>
      </c>
      <c r="I754" s="129" t="s">
        <v>40</v>
      </c>
      <c r="J754" s="188">
        <v>36845</v>
      </c>
      <c r="K754" s="129" t="s">
        <v>41</v>
      </c>
      <c r="L754" s="129" t="s">
        <v>42</v>
      </c>
      <c r="M754" s="163" t="s">
        <v>7545</v>
      </c>
      <c r="N754" s="188">
        <v>45650</v>
      </c>
      <c r="O754" s="163" t="s">
        <v>2991</v>
      </c>
      <c r="P754" s="129" t="s">
        <v>2347</v>
      </c>
      <c r="Q754" s="129" t="s">
        <v>3676</v>
      </c>
      <c r="R754" s="163">
        <v>9558349754</v>
      </c>
      <c r="S754" s="129">
        <v>36552</v>
      </c>
      <c r="T754" s="160">
        <v>102151577603</v>
      </c>
      <c r="U754" s="223" t="s">
        <v>9113</v>
      </c>
      <c r="V754" s="151">
        <v>3715801973</v>
      </c>
      <c r="W754" s="145" t="s">
        <v>9114</v>
      </c>
      <c r="X754" s="145" t="s">
        <v>9195</v>
      </c>
      <c r="Y754" s="216" t="s">
        <v>65</v>
      </c>
      <c r="Z754" s="145" t="s">
        <v>9196</v>
      </c>
      <c r="AA754" s="221" t="s">
        <v>9115</v>
      </c>
      <c r="AB754" s="221" t="s">
        <v>9115</v>
      </c>
      <c r="AC754" s="189" t="s">
        <v>9061</v>
      </c>
      <c r="AD754" s="145"/>
      <c r="AE754" s="145"/>
      <c r="AF754" s="145"/>
      <c r="AG754" s="145"/>
      <c r="AH754" s="145"/>
      <c r="AI754" s="145"/>
      <c r="AJ754" s="129"/>
      <c r="AK754" s="220"/>
      <c r="AL754" s="220" t="s">
        <v>9116</v>
      </c>
      <c r="AM754" s="218"/>
    </row>
    <row r="755" spans="1:39" ht="28.5">
      <c r="A755" s="137">
        <f>SUBTOTAL(3,$B$3:B755)</f>
        <v>753</v>
      </c>
      <c r="B755" s="203" t="s">
        <v>9117</v>
      </c>
      <c r="C755" s="184" t="s">
        <v>9118</v>
      </c>
      <c r="D755" s="184" t="s">
        <v>9119</v>
      </c>
      <c r="E755" s="129" t="s">
        <v>646</v>
      </c>
      <c r="F755" s="129" t="s">
        <v>9120</v>
      </c>
      <c r="G755" s="129" t="s">
        <v>2345</v>
      </c>
      <c r="H755" s="129" t="s">
        <v>570</v>
      </c>
      <c r="I755" s="129" t="s">
        <v>40</v>
      </c>
      <c r="J755" s="188">
        <v>37361</v>
      </c>
      <c r="K755" s="129" t="s">
        <v>41</v>
      </c>
      <c r="L755" s="129" t="s">
        <v>42</v>
      </c>
      <c r="M755" s="163" t="s">
        <v>4016</v>
      </c>
      <c r="N755" s="188">
        <v>45650</v>
      </c>
      <c r="O755" s="163" t="s">
        <v>44</v>
      </c>
      <c r="P755" s="129" t="s">
        <v>2347</v>
      </c>
      <c r="Q755" s="129" t="s">
        <v>3676</v>
      </c>
      <c r="R755" s="163">
        <v>9510230703</v>
      </c>
      <c r="S755" s="129">
        <v>36553</v>
      </c>
      <c r="T755" s="160">
        <v>102067588776</v>
      </c>
      <c r="U755" s="223" t="s">
        <v>9121</v>
      </c>
      <c r="V755" s="151">
        <v>3715801992</v>
      </c>
      <c r="W755" s="145" t="s">
        <v>9122</v>
      </c>
      <c r="X755" s="145" t="s">
        <v>9123</v>
      </c>
      <c r="Y755" s="216" t="s">
        <v>65</v>
      </c>
      <c r="Z755" s="145" t="s">
        <v>9124</v>
      </c>
      <c r="AA755" s="221" t="s">
        <v>9125</v>
      </c>
      <c r="AB755" s="221" t="s">
        <v>9125</v>
      </c>
      <c r="AC755" s="189" t="s">
        <v>9117</v>
      </c>
      <c r="AD755" s="145"/>
      <c r="AE755" s="145"/>
      <c r="AF755" s="145"/>
      <c r="AG755" s="145"/>
      <c r="AH755" s="145"/>
      <c r="AI755" s="145"/>
      <c r="AJ755" s="129"/>
      <c r="AK755" s="220"/>
      <c r="AL755" s="220" t="s">
        <v>9126</v>
      </c>
      <c r="AM755" s="218"/>
    </row>
    <row r="756" spans="1:39" ht="28.5">
      <c r="A756" s="137">
        <f>SUBTOTAL(3,$B$3:B756)</f>
        <v>754</v>
      </c>
      <c r="B756" s="203" t="s">
        <v>9127</v>
      </c>
      <c r="C756" s="184" t="s">
        <v>9128</v>
      </c>
      <c r="D756" s="184" t="s">
        <v>9128</v>
      </c>
      <c r="E756" s="129" t="s">
        <v>6236</v>
      </c>
      <c r="F756" s="129" t="s">
        <v>9129</v>
      </c>
      <c r="G756" s="129" t="s">
        <v>2345</v>
      </c>
      <c r="H756" s="129" t="s">
        <v>9130</v>
      </c>
      <c r="I756" s="129" t="s">
        <v>40</v>
      </c>
      <c r="J756" s="188">
        <v>37832</v>
      </c>
      <c r="K756" s="129" t="s">
        <v>41</v>
      </c>
      <c r="L756" s="129" t="s">
        <v>42</v>
      </c>
      <c r="M756" s="163" t="s">
        <v>1880</v>
      </c>
      <c r="N756" s="188">
        <v>45652</v>
      </c>
      <c r="O756" s="163" t="s">
        <v>2981</v>
      </c>
      <c r="P756" s="129" t="s">
        <v>2347</v>
      </c>
      <c r="Q756" s="129" t="s">
        <v>3676</v>
      </c>
      <c r="R756" s="163">
        <v>9558755111</v>
      </c>
      <c r="S756" s="129">
        <v>36588</v>
      </c>
      <c r="T756" s="160">
        <v>102153399778</v>
      </c>
      <c r="U756" s="223" t="s">
        <v>9131</v>
      </c>
      <c r="V756" s="151">
        <v>3715802018</v>
      </c>
      <c r="W756" s="145" t="s">
        <v>9132</v>
      </c>
      <c r="X756" s="145" t="s">
        <v>9133</v>
      </c>
      <c r="Y756" s="216" t="s">
        <v>271</v>
      </c>
      <c r="Z756" s="145" t="s">
        <v>9134</v>
      </c>
      <c r="AA756" s="221" t="s">
        <v>9135</v>
      </c>
      <c r="AB756" s="221" t="s">
        <v>9135</v>
      </c>
      <c r="AC756" s="189" t="s">
        <v>9127</v>
      </c>
      <c r="AD756" s="145"/>
      <c r="AE756" s="145"/>
      <c r="AF756" s="145"/>
      <c r="AG756" s="145"/>
      <c r="AH756" s="145"/>
      <c r="AI756" s="145"/>
      <c r="AJ756" s="129"/>
      <c r="AK756" s="220"/>
      <c r="AL756" s="220" t="s">
        <v>9136</v>
      </c>
      <c r="AM756" s="218"/>
    </row>
    <row r="757" spans="1:39" ht="28.5">
      <c r="A757" s="137">
        <f>SUBTOTAL(3,$B$3:B757)</f>
        <v>755</v>
      </c>
      <c r="B757" s="203" t="s">
        <v>9141</v>
      </c>
      <c r="C757" s="184" t="s">
        <v>9142</v>
      </c>
      <c r="D757" s="184" t="s">
        <v>9142</v>
      </c>
      <c r="E757" s="129" t="s">
        <v>9143</v>
      </c>
      <c r="F757" s="129" t="s">
        <v>1890</v>
      </c>
      <c r="G757" s="129" t="s">
        <v>2345</v>
      </c>
      <c r="H757" s="129" t="s">
        <v>9144</v>
      </c>
      <c r="I757" s="129" t="s">
        <v>40</v>
      </c>
      <c r="J757" s="188">
        <v>37751</v>
      </c>
      <c r="K757" s="129" t="s">
        <v>41</v>
      </c>
      <c r="L757" s="129" t="s">
        <v>42</v>
      </c>
      <c r="M757" s="163" t="s">
        <v>1880</v>
      </c>
      <c r="N757" s="188">
        <v>45654</v>
      </c>
      <c r="O757" s="163" t="s">
        <v>2981</v>
      </c>
      <c r="P757" s="129" t="s">
        <v>2347</v>
      </c>
      <c r="Q757" s="129" t="s">
        <v>3676</v>
      </c>
      <c r="R757" s="163">
        <v>8866906605</v>
      </c>
      <c r="S757" s="129">
        <v>36589</v>
      </c>
      <c r="T757" s="160">
        <v>102153399784</v>
      </c>
      <c r="U757" s="223" t="s">
        <v>7193</v>
      </c>
      <c r="V757" s="151">
        <v>3715802033</v>
      </c>
      <c r="W757" s="145" t="s">
        <v>9145</v>
      </c>
      <c r="X757" s="145" t="s">
        <v>9146</v>
      </c>
      <c r="Y757" s="216" t="s">
        <v>132</v>
      </c>
      <c r="Z757" s="145" t="s">
        <v>9147</v>
      </c>
      <c r="AA757" s="221" t="s">
        <v>9148</v>
      </c>
      <c r="AB757" s="221" t="s">
        <v>9148</v>
      </c>
      <c r="AC757" s="189" t="s">
        <v>9141</v>
      </c>
      <c r="AD757" s="145"/>
      <c r="AE757" s="145"/>
      <c r="AF757" s="145"/>
      <c r="AG757" s="145"/>
      <c r="AH757" s="145"/>
      <c r="AI757" s="145"/>
      <c r="AJ757" s="129"/>
      <c r="AK757" s="220"/>
      <c r="AL757" s="220" t="s">
        <v>9149</v>
      </c>
      <c r="AM757" s="218"/>
    </row>
    <row r="758" spans="1:39" ht="28.5">
      <c r="A758" s="137">
        <f>SUBTOTAL(3,$B$3:B758)</f>
        <v>756</v>
      </c>
      <c r="B758" s="203" t="s">
        <v>9150</v>
      </c>
      <c r="C758" s="184" t="s">
        <v>9154</v>
      </c>
      <c r="D758" s="184" t="s">
        <v>9152</v>
      </c>
      <c r="E758" s="129" t="s">
        <v>7617</v>
      </c>
      <c r="F758" s="129" t="s">
        <v>9153</v>
      </c>
      <c r="G758" s="129" t="s">
        <v>2345</v>
      </c>
      <c r="H758" s="129" t="s">
        <v>2632</v>
      </c>
      <c r="I758" s="129" t="s">
        <v>40</v>
      </c>
      <c r="J758" s="188">
        <v>36797</v>
      </c>
      <c r="K758" s="129" t="s">
        <v>41</v>
      </c>
      <c r="L758" s="129" t="s">
        <v>42</v>
      </c>
      <c r="M758" s="163" t="s">
        <v>4016</v>
      </c>
      <c r="N758" s="188">
        <v>45654</v>
      </c>
      <c r="O758" s="163" t="s">
        <v>44</v>
      </c>
      <c r="P758" s="129" t="s">
        <v>2347</v>
      </c>
      <c r="Q758" s="129" t="s">
        <v>3676</v>
      </c>
      <c r="R758" s="163">
        <v>8160841787</v>
      </c>
      <c r="S758" s="129">
        <v>36579</v>
      </c>
      <c r="T758" s="160">
        <v>102035500000</v>
      </c>
      <c r="U758" s="223" t="s">
        <v>9155</v>
      </c>
      <c r="V758" s="151">
        <v>3715802078</v>
      </c>
      <c r="W758" s="145" t="s">
        <v>9156</v>
      </c>
      <c r="X758" s="145" t="s">
        <v>9157</v>
      </c>
      <c r="Y758" s="216" t="s">
        <v>146</v>
      </c>
      <c r="Z758" s="145" t="s">
        <v>4142</v>
      </c>
      <c r="AA758" s="221" t="s">
        <v>9158</v>
      </c>
      <c r="AB758" s="221" t="s">
        <v>9159</v>
      </c>
      <c r="AC758" s="189" t="s">
        <v>9150</v>
      </c>
      <c r="AD758" s="145"/>
      <c r="AE758" s="145"/>
      <c r="AF758" s="145"/>
      <c r="AG758" s="145"/>
      <c r="AH758" s="145"/>
      <c r="AI758" s="145"/>
      <c r="AJ758" s="129"/>
      <c r="AK758" s="220"/>
      <c r="AL758" s="220" t="s">
        <v>9160</v>
      </c>
      <c r="AM758" s="218"/>
    </row>
    <row r="759" spans="1:39" ht="28.5">
      <c r="A759" s="137">
        <f>SUBTOTAL(3,$B$3:B759)</f>
        <v>757</v>
      </c>
      <c r="B759" s="203" t="s">
        <v>9151</v>
      </c>
      <c r="C759" s="184" t="s">
        <v>9161</v>
      </c>
      <c r="D759" s="184" t="s">
        <v>9162</v>
      </c>
      <c r="E759" s="129" t="s">
        <v>136</v>
      </c>
      <c r="F759" s="129" t="s">
        <v>9163</v>
      </c>
      <c r="G759" s="129" t="s">
        <v>2345</v>
      </c>
      <c r="H759" s="129" t="s">
        <v>593</v>
      </c>
      <c r="I759" s="129" t="s">
        <v>40</v>
      </c>
      <c r="J759" s="188">
        <v>37803</v>
      </c>
      <c r="K759" s="129" t="s">
        <v>41</v>
      </c>
      <c r="L759" s="129" t="s">
        <v>42</v>
      </c>
      <c r="M759" s="163" t="s">
        <v>4016</v>
      </c>
      <c r="N759" s="188">
        <v>45654</v>
      </c>
      <c r="O759" s="163" t="s">
        <v>44</v>
      </c>
      <c r="P759" s="129" t="s">
        <v>2347</v>
      </c>
      <c r="Q759" s="129" t="s">
        <v>3676</v>
      </c>
      <c r="R759" s="163">
        <v>7984450491</v>
      </c>
      <c r="S759" s="129">
        <v>36581</v>
      </c>
      <c r="T759" s="160">
        <v>102153399750</v>
      </c>
      <c r="U759" s="223" t="s">
        <v>9164</v>
      </c>
      <c r="V759" s="151">
        <v>3715802089</v>
      </c>
      <c r="W759" s="145" t="s">
        <v>9165</v>
      </c>
      <c r="X759" s="145" t="s">
        <v>9166</v>
      </c>
      <c r="Y759" s="216" t="s">
        <v>9167</v>
      </c>
      <c r="Z759" s="145" t="s">
        <v>9168</v>
      </c>
      <c r="AA759" s="221" t="s">
        <v>9169</v>
      </c>
      <c r="AB759" s="221" t="s">
        <v>9169</v>
      </c>
      <c r="AC759" s="189" t="s">
        <v>9151</v>
      </c>
      <c r="AD759" s="145"/>
      <c r="AE759" s="145"/>
      <c r="AF759" s="145"/>
      <c r="AG759" s="145"/>
      <c r="AH759" s="145"/>
      <c r="AI759" s="145"/>
      <c r="AJ759" s="129"/>
      <c r="AK759" s="220"/>
      <c r="AL759" s="220" t="s">
        <v>9170</v>
      </c>
      <c r="AM759" s="218"/>
    </row>
    <row r="760" spans="1:39" ht="42.75">
      <c r="A760" s="137">
        <f>SUBTOTAL(3,$B$3:B760)</f>
        <v>758</v>
      </c>
      <c r="B760" s="203" t="s">
        <v>9171</v>
      </c>
      <c r="C760" s="184" t="s">
        <v>9189</v>
      </c>
      <c r="D760" s="184" t="s">
        <v>9189</v>
      </c>
      <c r="E760" s="129" t="s">
        <v>1308</v>
      </c>
      <c r="F760" s="129" t="s">
        <v>8173</v>
      </c>
      <c r="G760" s="129" t="s">
        <v>2345</v>
      </c>
      <c r="H760" s="129" t="s">
        <v>4445</v>
      </c>
      <c r="I760" s="129" t="s">
        <v>40</v>
      </c>
      <c r="J760" s="188">
        <v>37534</v>
      </c>
      <c r="K760" s="129" t="s">
        <v>41</v>
      </c>
      <c r="L760" s="129" t="s">
        <v>42</v>
      </c>
      <c r="M760" s="163" t="s">
        <v>4016</v>
      </c>
      <c r="N760" s="188">
        <v>45656</v>
      </c>
      <c r="O760" s="163" t="s">
        <v>44</v>
      </c>
      <c r="P760" s="129" t="s">
        <v>2347</v>
      </c>
      <c r="Q760" s="129" t="s">
        <v>3676</v>
      </c>
      <c r="R760" s="163">
        <v>9537096314</v>
      </c>
      <c r="S760" s="129">
        <v>36582</v>
      </c>
      <c r="T760" s="160">
        <v>102089664605</v>
      </c>
      <c r="U760" s="223" t="s">
        <v>9190</v>
      </c>
      <c r="V760" s="151">
        <v>3715802097</v>
      </c>
      <c r="W760" s="145" t="s">
        <v>9191</v>
      </c>
      <c r="X760" s="145" t="s">
        <v>9192</v>
      </c>
      <c r="Y760" s="216" t="s">
        <v>132</v>
      </c>
      <c r="Z760" s="145" t="s">
        <v>374</v>
      </c>
      <c r="AA760" s="221" t="s">
        <v>9193</v>
      </c>
      <c r="AB760" s="221" t="s">
        <v>9193</v>
      </c>
      <c r="AC760" s="189" t="s">
        <v>9171</v>
      </c>
      <c r="AD760" s="145"/>
      <c r="AE760" s="145"/>
      <c r="AF760" s="145"/>
      <c r="AG760" s="145"/>
      <c r="AH760" s="145"/>
      <c r="AI760" s="145"/>
      <c r="AJ760" s="129"/>
      <c r="AK760" s="220"/>
      <c r="AL760" s="220" t="s">
        <v>9194</v>
      </c>
      <c r="AM760" s="218"/>
    </row>
    <row r="761" spans="1:39" ht="28.5">
      <c r="A761" s="137">
        <f>SUBTOTAL(3,$B$3:B761)</f>
        <v>759</v>
      </c>
      <c r="B761" s="203" t="s">
        <v>9172</v>
      </c>
      <c r="C761" s="184" t="s">
        <v>9174</v>
      </c>
      <c r="D761" s="184" t="s">
        <v>9174</v>
      </c>
      <c r="E761" s="129" t="s">
        <v>9175</v>
      </c>
      <c r="F761" s="129" t="s">
        <v>7490</v>
      </c>
      <c r="G761" s="129" t="s">
        <v>2345</v>
      </c>
      <c r="H761" s="129" t="s">
        <v>810</v>
      </c>
      <c r="I761" s="129" t="s">
        <v>40</v>
      </c>
      <c r="J761" s="188">
        <v>37035</v>
      </c>
      <c r="K761" s="129" t="s">
        <v>41</v>
      </c>
      <c r="L761" s="129" t="s">
        <v>42</v>
      </c>
      <c r="M761" s="163" t="s">
        <v>4016</v>
      </c>
      <c r="N761" s="188">
        <v>45657</v>
      </c>
      <c r="O761" s="163" t="s">
        <v>44</v>
      </c>
      <c r="P761" s="129" t="s">
        <v>2347</v>
      </c>
      <c r="Q761" s="129" t="s">
        <v>3676</v>
      </c>
      <c r="R761" s="163">
        <v>7859984687</v>
      </c>
      <c r="S761" s="129">
        <v>36580</v>
      </c>
      <c r="T761" s="160">
        <v>102153398148</v>
      </c>
      <c r="U761" s="223" t="s">
        <v>9176</v>
      </c>
      <c r="V761" s="151">
        <v>3715802107</v>
      </c>
      <c r="W761" s="145" t="s">
        <v>9177</v>
      </c>
      <c r="X761" s="145" t="s">
        <v>9178</v>
      </c>
      <c r="Y761" s="216" t="s">
        <v>7017</v>
      </c>
      <c r="Z761" s="145" t="s">
        <v>9179</v>
      </c>
      <c r="AA761" s="221" t="s">
        <v>9180</v>
      </c>
      <c r="AB761" s="221" t="s">
        <v>9180</v>
      </c>
      <c r="AC761" s="189" t="s">
        <v>9172</v>
      </c>
      <c r="AD761" s="145"/>
      <c r="AE761" s="145"/>
      <c r="AF761" s="145"/>
      <c r="AG761" s="145"/>
      <c r="AH761" s="145"/>
      <c r="AI761" s="145"/>
      <c r="AJ761" s="129"/>
      <c r="AK761" s="220"/>
      <c r="AL761" s="220" t="s">
        <v>9181</v>
      </c>
      <c r="AM761" s="218"/>
    </row>
    <row r="762" spans="1:39" ht="28.5">
      <c r="A762" s="137">
        <f>SUBTOTAL(3,$B$3:B762)</f>
        <v>760</v>
      </c>
      <c r="B762" s="203" t="s">
        <v>9173</v>
      </c>
      <c r="C762" s="184" t="s">
        <v>9182</v>
      </c>
      <c r="D762" s="184" t="s">
        <v>9182</v>
      </c>
      <c r="E762" s="129" t="s">
        <v>754</v>
      </c>
      <c r="F762" s="129" t="s">
        <v>9183</v>
      </c>
      <c r="G762" s="129" t="s">
        <v>2345</v>
      </c>
      <c r="H762" s="129" t="s">
        <v>659</v>
      </c>
      <c r="I762" s="129" t="s">
        <v>40</v>
      </c>
      <c r="J762" s="188">
        <v>37481</v>
      </c>
      <c r="K762" s="129" t="s">
        <v>41</v>
      </c>
      <c r="L762" s="129" t="s">
        <v>42</v>
      </c>
      <c r="M762" s="163" t="s">
        <v>4016</v>
      </c>
      <c r="N762" s="188">
        <v>45657</v>
      </c>
      <c r="O762" s="163" t="s">
        <v>44</v>
      </c>
      <c r="P762" s="129" t="s">
        <v>2347</v>
      </c>
      <c r="Q762" s="129" t="s">
        <v>3676</v>
      </c>
      <c r="R762" s="163">
        <v>6355681811</v>
      </c>
      <c r="S762" s="129">
        <v>36587</v>
      </c>
      <c r="T762" s="160">
        <v>101924759193</v>
      </c>
      <c r="U762" s="223" t="s">
        <v>9184</v>
      </c>
      <c r="V762" s="151">
        <v>3715802123</v>
      </c>
      <c r="W762" s="145" t="s">
        <v>9185</v>
      </c>
      <c r="X762" s="145" t="s">
        <v>9186</v>
      </c>
      <c r="Y762" s="216" t="s">
        <v>132</v>
      </c>
      <c r="Z762" s="145" t="s">
        <v>7905</v>
      </c>
      <c r="AA762" s="221" t="s">
        <v>9187</v>
      </c>
      <c r="AB762" s="221" t="s">
        <v>9187</v>
      </c>
      <c r="AC762" s="189" t="s">
        <v>9173</v>
      </c>
      <c r="AD762" s="145"/>
      <c r="AE762" s="145"/>
      <c r="AF762" s="145"/>
      <c r="AG762" s="145"/>
      <c r="AH762" s="145"/>
      <c r="AI762" s="145"/>
      <c r="AJ762" s="129"/>
      <c r="AK762" s="220"/>
      <c r="AL762" s="220" t="s">
        <v>9188</v>
      </c>
      <c r="AM762" s="218"/>
    </row>
    <row r="763" spans="1:39" ht="28.5">
      <c r="A763" s="137">
        <f>SUBTOTAL(3,$B$3:B763)</f>
        <v>761</v>
      </c>
      <c r="B763" s="203" t="s">
        <v>9202</v>
      </c>
      <c r="C763" s="184" t="s">
        <v>9212</v>
      </c>
      <c r="D763" s="184" t="s">
        <v>9212</v>
      </c>
      <c r="E763" s="129" t="s">
        <v>9213</v>
      </c>
      <c r="F763" s="129" t="s">
        <v>2807</v>
      </c>
      <c r="G763" s="129" t="s">
        <v>2345</v>
      </c>
      <c r="H763" s="129" t="s">
        <v>7911</v>
      </c>
      <c r="I763" s="129" t="s">
        <v>40</v>
      </c>
      <c r="J763" s="188">
        <v>36526</v>
      </c>
      <c r="K763" s="129" t="s">
        <v>41</v>
      </c>
      <c r="L763" s="129" t="s">
        <v>42</v>
      </c>
      <c r="M763" s="163" t="s">
        <v>6752</v>
      </c>
      <c r="N763" s="188">
        <v>45659</v>
      </c>
      <c r="O763" s="163" t="s">
        <v>44</v>
      </c>
      <c r="P763" s="129" t="s">
        <v>2347</v>
      </c>
      <c r="Q763" s="129" t="s">
        <v>3676</v>
      </c>
      <c r="R763" s="163">
        <v>7983782758</v>
      </c>
      <c r="S763" s="129">
        <v>36699</v>
      </c>
      <c r="T763" s="160">
        <v>101919309770</v>
      </c>
      <c r="U763" s="223" t="s">
        <v>9214</v>
      </c>
      <c r="V763" s="151">
        <v>3715836780</v>
      </c>
      <c r="W763" s="145" t="s">
        <v>9215</v>
      </c>
      <c r="X763" s="145" t="s">
        <v>9216</v>
      </c>
      <c r="Y763" s="216" t="s">
        <v>65</v>
      </c>
      <c r="Z763" s="145" t="s">
        <v>9217</v>
      </c>
      <c r="AA763" s="221" t="s">
        <v>9218</v>
      </c>
      <c r="AB763" s="221" t="s">
        <v>9218</v>
      </c>
      <c r="AC763" s="189" t="s">
        <v>9202</v>
      </c>
      <c r="AD763" s="145"/>
      <c r="AE763" s="145"/>
      <c r="AF763" s="145"/>
      <c r="AG763" s="145"/>
      <c r="AH763" s="145"/>
      <c r="AI763" s="145"/>
      <c r="AJ763" s="129"/>
      <c r="AK763" s="220"/>
      <c r="AL763" s="220" t="s">
        <v>9219</v>
      </c>
      <c r="AM763" s="218"/>
    </row>
    <row r="764" spans="1:39" ht="28.5">
      <c r="A764" s="137">
        <f>SUBTOTAL(3,$B$3:B764)</f>
        <v>762</v>
      </c>
      <c r="B764" s="203" t="s">
        <v>9203</v>
      </c>
      <c r="C764" s="184" t="s">
        <v>9220</v>
      </c>
      <c r="D764" s="184" t="s">
        <v>9221</v>
      </c>
      <c r="E764" s="129" t="s">
        <v>1308</v>
      </c>
      <c r="F764" s="129" t="s">
        <v>2744</v>
      </c>
      <c r="G764" s="129" t="s">
        <v>2345</v>
      </c>
      <c r="H764" s="129" t="s">
        <v>2422</v>
      </c>
      <c r="I764" s="129" t="s">
        <v>40</v>
      </c>
      <c r="J764" s="188">
        <v>36265</v>
      </c>
      <c r="K764" s="129" t="s">
        <v>41</v>
      </c>
      <c r="L764" s="129" t="s">
        <v>42</v>
      </c>
      <c r="M764" s="163" t="s">
        <v>1880</v>
      </c>
      <c r="N764" s="188">
        <v>45660</v>
      </c>
      <c r="O764" s="163" t="s">
        <v>2981</v>
      </c>
      <c r="P764" s="129" t="s">
        <v>2347</v>
      </c>
      <c r="Q764" s="129" t="s">
        <v>3676</v>
      </c>
      <c r="R764" s="163">
        <v>9016098562</v>
      </c>
      <c r="S764" s="129">
        <v>36694</v>
      </c>
      <c r="T764" s="160">
        <v>101877854651</v>
      </c>
      <c r="U764" s="223" t="s">
        <v>9222</v>
      </c>
      <c r="V764" s="151">
        <v>3715836962</v>
      </c>
      <c r="W764" s="145" t="s">
        <v>9223</v>
      </c>
      <c r="X764" s="145" t="s">
        <v>9224</v>
      </c>
      <c r="Y764" s="216" t="s">
        <v>65</v>
      </c>
      <c r="Z764" s="145" t="s">
        <v>9225</v>
      </c>
      <c r="AA764" s="221" t="s">
        <v>9226</v>
      </c>
      <c r="AB764" s="221" t="s">
        <v>9226</v>
      </c>
      <c r="AC764" s="189" t="s">
        <v>9203</v>
      </c>
      <c r="AD764" s="145"/>
      <c r="AE764" s="145"/>
      <c r="AF764" s="145"/>
      <c r="AG764" s="145"/>
      <c r="AH764" s="145"/>
      <c r="AI764" s="145"/>
      <c r="AJ764" s="129"/>
      <c r="AK764" s="220"/>
      <c r="AL764" s="220" t="s">
        <v>9227</v>
      </c>
      <c r="AM764" s="218"/>
    </row>
    <row r="765" spans="1:39" ht="28.5">
      <c r="A765" s="137">
        <f>SUBTOTAL(3,$B$3:B765)</f>
        <v>763</v>
      </c>
      <c r="B765" s="203" t="s">
        <v>9204</v>
      </c>
      <c r="C765" s="184" t="s">
        <v>9228</v>
      </c>
      <c r="D765" s="184" t="s">
        <v>9228</v>
      </c>
      <c r="E765" s="129" t="s">
        <v>1428</v>
      </c>
      <c r="F765" s="129" t="s">
        <v>2903</v>
      </c>
      <c r="G765" s="129" t="s">
        <v>2345</v>
      </c>
      <c r="H765" s="129" t="s">
        <v>570</v>
      </c>
      <c r="I765" s="129" t="s">
        <v>40</v>
      </c>
      <c r="J765" s="188">
        <v>36877</v>
      </c>
      <c r="K765" s="129" t="s">
        <v>41</v>
      </c>
      <c r="L765" s="129" t="s">
        <v>42</v>
      </c>
      <c r="M765" s="163" t="s">
        <v>1880</v>
      </c>
      <c r="N765" s="188">
        <v>45660</v>
      </c>
      <c r="O765" s="163" t="s">
        <v>2981</v>
      </c>
      <c r="P765" s="129" t="s">
        <v>2347</v>
      </c>
      <c r="Q765" s="129" t="s">
        <v>3676</v>
      </c>
      <c r="R765" s="163">
        <v>8140852029</v>
      </c>
      <c r="S765" s="129">
        <v>36700</v>
      </c>
      <c r="T765" s="160">
        <v>102125985727</v>
      </c>
      <c r="U765" s="223" t="s">
        <v>9229</v>
      </c>
      <c r="V765" s="151">
        <v>3715836845</v>
      </c>
      <c r="W765" s="145" t="s">
        <v>9230</v>
      </c>
      <c r="X765" s="145" t="s">
        <v>9231</v>
      </c>
      <c r="Y765" s="216" t="s">
        <v>65</v>
      </c>
      <c r="Z765" s="145" t="s">
        <v>9232</v>
      </c>
      <c r="AA765" s="221" t="s">
        <v>9233</v>
      </c>
      <c r="AB765" s="221" t="s">
        <v>9233</v>
      </c>
      <c r="AC765" s="189" t="s">
        <v>9204</v>
      </c>
      <c r="AD765" s="145"/>
      <c r="AE765" s="145"/>
      <c r="AF765" s="145"/>
      <c r="AG765" s="145"/>
      <c r="AH765" s="145"/>
      <c r="AI765" s="145"/>
      <c r="AJ765" s="129"/>
      <c r="AK765" s="220"/>
      <c r="AL765" s="220" t="s">
        <v>9234</v>
      </c>
      <c r="AM765" s="218"/>
    </row>
    <row r="766" spans="1:39" ht="42.75">
      <c r="A766" s="137">
        <f>SUBTOTAL(3,$B$3:B766)</f>
        <v>764</v>
      </c>
      <c r="B766" s="203" t="s">
        <v>9205</v>
      </c>
      <c r="C766" s="184" t="s">
        <v>9235</v>
      </c>
      <c r="D766" s="184" t="s">
        <v>9235</v>
      </c>
      <c r="E766" s="129" t="s">
        <v>136</v>
      </c>
      <c r="F766" s="129" t="s">
        <v>9236</v>
      </c>
      <c r="G766" s="129" t="s">
        <v>2345</v>
      </c>
      <c r="H766" s="129" t="s">
        <v>927</v>
      </c>
      <c r="I766" s="129" t="s">
        <v>40</v>
      </c>
      <c r="J766" s="188">
        <v>36750</v>
      </c>
      <c r="K766" s="129" t="s">
        <v>41</v>
      </c>
      <c r="L766" s="129" t="s">
        <v>42</v>
      </c>
      <c r="M766" s="163" t="s">
        <v>9237</v>
      </c>
      <c r="N766" s="188">
        <v>45663</v>
      </c>
      <c r="O766" s="163" t="s">
        <v>2991</v>
      </c>
      <c r="P766" s="129" t="s">
        <v>2347</v>
      </c>
      <c r="Q766" s="129" t="s">
        <v>3676</v>
      </c>
      <c r="R766" s="163">
        <v>7622946094</v>
      </c>
      <c r="S766" s="129">
        <v>36704</v>
      </c>
      <c r="T766" s="160">
        <v>102161355776</v>
      </c>
      <c r="U766" s="223" t="s">
        <v>9238</v>
      </c>
      <c r="V766" s="151">
        <v>3715836872</v>
      </c>
      <c r="W766" s="145" t="s">
        <v>9239</v>
      </c>
      <c r="X766" s="145" t="s">
        <v>9240</v>
      </c>
      <c r="Y766" s="216" t="s">
        <v>146</v>
      </c>
      <c r="Z766" s="145" t="s">
        <v>2352</v>
      </c>
      <c r="AA766" s="221" t="s">
        <v>9241</v>
      </c>
      <c r="AB766" s="221" t="s">
        <v>9241</v>
      </c>
      <c r="AC766" s="189" t="s">
        <v>9205</v>
      </c>
      <c r="AD766" s="145"/>
      <c r="AE766" s="145"/>
      <c r="AF766" s="145"/>
      <c r="AG766" s="145"/>
      <c r="AH766" s="145"/>
      <c r="AI766" s="145"/>
      <c r="AJ766" s="129"/>
      <c r="AK766" s="220"/>
      <c r="AL766" s="220"/>
      <c r="AM766" s="218"/>
    </row>
    <row r="767" spans="1:39" ht="28.5">
      <c r="A767" s="137">
        <f>SUBTOTAL(3,$B$3:B767)</f>
        <v>765</v>
      </c>
      <c r="B767" s="203" t="s">
        <v>9206</v>
      </c>
      <c r="C767" s="184" t="s">
        <v>9207</v>
      </c>
      <c r="D767" s="184" t="s">
        <v>9207</v>
      </c>
      <c r="E767" s="129" t="s">
        <v>9208</v>
      </c>
      <c r="F767" s="129" t="s">
        <v>2903</v>
      </c>
      <c r="G767" s="129" t="s">
        <v>2345</v>
      </c>
      <c r="H767" s="129" t="s">
        <v>7589</v>
      </c>
      <c r="I767" s="129" t="s">
        <v>40</v>
      </c>
      <c r="J767" s="188">
        <v>35105</v>
      </c>
      <c r="K767" s="129" t="s">
        <v>41</v>
      </c>
      <c r="L767" s="129" t="s">
        <v>42</v>
      </c>
      <c r="M767" s="163" t="s">
        <v>9209</v>
      </c>
      <c r="N767" s="188">
        <v>45664</v>
      </c>
      <c r="O767" s="163" t="s">
        <v>2159</v>
      </c>
      <c r="P767" s="129" t="s">
        <v>2347</v>
      </c>
      <c r="Q767" s="129" t="s">
        <v>3676</v>
      </c>
      <c r="R767" s="163">
        <v>9664788442</v>
      </c>
      <c r="S767" s="129">
        <v>36696</v>
      </c>
      <c r="T767" s="160">
        <v>102161355748</v>
      </c>
      <c r="U767" s="223" t="s">
        <v>9210</v>
      </c>
      <c r="V767" s="151">
        <v>3715836983</v>
      </c>
      <c r="W767" s="145" t="s">
        <v>9211</v>
      </c>
      <c r="X767" s="145" t="s">
        <v>9242</v>
      </c>
      <c r="Y767" s="216" t="s">
        <v>132</v>
      </c>
      <c r="Z767" s="145" t="s">
        <v>9243</v>
      </c>
      <c r="AA767" s="221" t="s">
        <v>9244</v>
      </c>
      <c r="AB767" s="221" t="s">
        <v>9244</v>
      </c>
      <c r="AC767" s="189" t="s">
        <v>9206</v>
      </c>
      <c r="AD767" s="145"/>
      <c r="AE767" s="145"/>
      <c r="AF767" s="145"/>
      <c r="AG767" s="145"/>
      <c r="AH767" s="145"/>
      <c r="AI767" s="145"/>
      <c r="AJ767" s="129"/>
      <c r="AK767" s="220"/>
      <c r="AL767" s="220"/>
      <c r="AM767" s="218"/>
    </row>
    <row r="768" spans="1:39" ht="28.5">
      <c r="A768" s="137">
        <f>SUBTOTAL(3,$B$3:B768)</f>
        <v>766</v>
      </c>
      <c r="B768" s="203" t="s">
        <v>9245</v>
      </c>
      <c r="C768" s="184" t="s">
        <v>9246</v>
      </c>
      <c r="D768" s="184" t="s">
        <v>9246</v>
      </c>
      <c r="E768" s="129" t="s">
        <v>136</v>
      </c>
      <c r="F768" s="129" t="s">
        <v>9247</v>
      </c>
      <c r="G768" s="129" t="s">
        <v>2345</v>
      </c>
      <c r="H768" s="129" t="s">
        <v>694</v>
      </c>
      <c r="I768" s="129" t="s">
        <v>40</v>
      </c>
      <c r="J768" s="188">
        <v>37773</v>
      </c>
      <c r="K768" s="129" t="s">
        <v>41</v>
      </c>
      <c r="L768" s="129" t="s">
        <v>42</v>
      </c>
      <c r="M768" s="163" t="s">
        <v>4016</v>
      </c>
      <c r="N768" s="188">
        <v>45664</v>
      </c>
      <c r="O768" s="163" t="s">
        <v>44</v>
      </c>
      <c r="P768" s="129" t="s">
        <v>2347</v>
      </c>
      <c r="Q768" s="129" t="s">
        <v>3676</v>
      </c>
      <c r="R768" s="163">
        <v>7043761383</v>
      </c>
      <c r="S768" s="129">
        <v>36701</v>
      </c>
      <c r="T768" s="160">
        <v>102161355753</v>
      </c>
      <c r="U768" s="223" t="s">
        <v>9248</v>
      </c>
      <c r="V768" s="151">
        <v>3715837003</v>
      </c>
      <c r="W768" s="145" t="s">
        <v>9249</v>
      </c>
      <c r="X768" s="145" t="s">
        <v>9250</v>
      </c>
      <c r="Y768" s="216" t="s">
        <v>7017</v>
      </c>
      <c r="Z768" s="145" t="s">
        <v>9251</v>
      </c>
      <c r="AA768" s="221" t="s">
        <v>9252</v>
      </c>
      <c r="AB768" s="221" t="s">
        <v>9253</v>
      </c>
      <c r="AC768" s="189" t="s">
        <v>9245</v>
      </c>
      <c r="AD768" s="145"/>
      <c r="AE768" s="145"/>
      <c r="AF768" s="145"/>
      <c r="AG768" s="145"/>
      <c r="AH768" s="145"/>
      <c r="AI768" s="145"/>
      <c r="AJ768" s="129"/>
      <c r="AK768" s="220"/>
      <c r="AL768" s="220"/>
      <c r="AM768" s="218"/>
    </row>
    <row r="769" spans="1:39" ht="28.5">
      <c r="A769" s="137">
        <f>SUBTOTAL(3,$B$3:B769)</f>
        <v>767</v>
      </c>
      <c r="B769" s="203" t="s">
        <v>9254</v>
      </c>
      <c r="C769" s="184" t="s">
        <v>9255</v>
      </c>
      <c r="D769" s="184" t="s">
        <v>9255</v>
      </c>
      <c r="E769" s="129" t="s">
        <v>9256</v>
      </c>
      <c r="F769" s="129" t="s">
        <v>4502</v>
      </c>
      <c r="G769" s="129" t="s">
        <v>2345</v>
      </c>
      <c r="H769" s="129" t="s">
        <v>1780</v>
      </c>
      <c r="I769" s="129" t="s">
        <v>702</v>
      </c>
      <c r="J769" s="188">
        <v>35867</v>
      </c>
      <c r="K769" s="129" t="s">
        <v>280</v>
      </c>
      <c r="L769" s="129" t="s">
        <v>42</v>
      </c>
      <c r="M769" s="163" t="s">
        <v>4016</v>
      </c>
      <c r="N769" s="188">
        <v>45664</v>
      </c>
      <c r="O769" s="163" t="s">
        <v>44</v>
      </c>
      <c r="P769" s="129" t="s">
        <v>2347</v>
      </c>
      <c r="Q769" s="129" t="s">
        <v>3676</v>
      </c>
      <c r="R769" s="163">
        <v>9099902797</v>
      </c>
      <c r="S769" s="129">
        <v>36695</v>
      </c>
      <c r="T769" s="160">
        <v>101407133395</v>
      </c>
      <c r="U769" s="223" t="s">
        <v>4503</v>
      </c>
      <c r="V769" s="144">
        <v>3714194831</v>
      </c>
      <c r="W769" s="145" t="s">
        <v>4504</v>
      </c>
      <c r="X769" s="145" t="s">
        <v>4505</v>
      </c>
      <c r="Y769" s="216" t="s">
        <v>65</v>
      </c>
      <c r="Z769" s="145" t="s">
        <v>352</v>
      </c>
      <c r="AA769" s="221" t="s">
        <v>9266</v>
      </c>
      <c r="AB769" s="221" t="s">
        <v>9266</v>
      </c>
      <c r="AC769" s="189" t="s">
        <v>9254</v>
      </c>
      <c r="AD769" s="145"/>
      <c r="AE769" s="145"/>
      <c r="AF769" s="145"/>
      <c r="AG769" s="145"/>
      <c r="AH769" s="145"/>
      <c r="AI769" s="145"/>
      <c r="AJ769" s="129"/>
      <c r="AK769" s="220"/>
      <c r="AL769" s="220"/>
      <c r="AM769" s="218"/>
    </row>
    <row r="770" spans="1:39" ht="28.5">
      <c r="A770" s="137">
        <f>SUBTOTAL(3,$B$3:B770)</f>
        <v>768</v>
      </c>
      <c r="B770" s="203" t="s">
        <v>9257</v>
      </c>
      <c r="C770" s="184" t="s">
        <v>9258</v>
      </c>
      <c r="D770" s="184" t="s">
        <v>9258</v>
      </c>
      <c r="E770" s="129" t="s">
        <v>9259</v>
      </c>
      <c r="F770" s="129" t="s">
        <v>9260</v>
      </c>
      <c r="G770" s="129" t="s">
        <v>2345</v>
      </c>
      <c r="H770" s="129" t="s">
        <v>1781</v>
      </c>
      <c r="I770" s="129" t="s">
        <v>40</v>
      </c>
      <c r="J770" s="188">
        <v>36292</v>
      </c>
      <c r="K770" s="129" t="s">
        <v>41</v>
      </c>
      <c r="L770" s="129" t="s">
        <v>42</v>
      </c>
      <c r="M770" s="163" t="s">
        <v>4016</v>
      </c>
      <c r="N770" s="188">
        <v>45664</v>
      </c>
      <c r="O770" s="163" t="s">
        <v>44</v>
      </c>
      <c r="P770" s="129" t="s">
        <v>2347</v>
      </c>
      <c r="Q770" s="129" t="s">
        <v>3676</v>
      </c>
      <c r="R770" s="163">
        <v>9913086448</v>
      </c>
      <c r="S770" s="129">
        <v>36692</v>
      </c>
      <c r="T770" s="160">
        <v>102006685802</v>
      </c>
      <c r="U770" s="223" t="s">
        <v>9261</v>
      </c>
      <c r="V770" s="151">
        <v>3715837018</v>
      </c>
      <c r="W770" s="145" t="s">
        <v>9262</v>
      </c>
      <c r="X770" s="145" t="s">
        <v>9263</v>
      </c>
      <c r="Y770" s="216" t="s">
        <v>65</v>
      </c>
      <c r="Z770" s="145" t="s">
        <v>9264</v>
      </c>
      <c r="AA770" s="221" t="s">
        <v>9265</v>
      </c>
      <c r="AB770" s="221" t="s">
        <v>9265</v>
      </c>
      <c r="AC770" s="189" t="s">
        <v>9257</v>
      </c>
      <c r="AD770" s="145"/>
      <c r="AE770" s="145"/>
      <c r="AF770" s="145"/>
      <c r="AG770" s="145"/>
      <c r="AH770" s="145"/>
      <c r="AI770" s="145"/>
      <c r="AJ770" s="129"/>
      <c r="AK770" s="220"/>
      <c r="AL770" s="220"/>
      <c r="AM770" s="218"/>
    </row>
    <row r="771" spans="1:39" ht="42.75">
      <c r="A771" s="137">
        <f>SUBTOTAL(3,$B$3:B771)</f>
        <v>769</v>
      </c>
      <c r="B771" s="203" t="s">
        <v>9267</v>
      </c>
      <c r="C771" s="184" t="s">
        <v>9268</v>
      </c>
      <c r="D771" s="184" t="s">
        <v>9268</v>
      </c>
      <c r="E771" s="129" t="s">
        <v>754</v>
      </c>
      <c r="F771" s="129" t="s">
        <v>9269</v>
      </c>
      <c r="G771" s="129" t="s">
        <v>2389</v>
      </c>
      <c r="H771" s="129" t="s">
        <v>9270</v>
      </c>
      <c r="I771" s="129" t="s">
        <v>40</v>
      </c>
      <c r="J771" s="188">
        <v>37233</v>
      </c>
      <c r="K771" s="129" t="s">
        <v>41</v>
      </c>
      <c r="L771" s="129" t="s">
        <v>42</v>
      </c>
      <c r="M771" s="163" t="s">
        <v>9271</v>
      </c>
      <c r="N771" s="188">
        <v>45677</v>
      </c>
      <c r="O771" s="163" t="s">
        <v>5956</v>
      </c>
      <c r="P771" s="129" t="s">
        <v>3675</v>
      </c>
      <c r="Q771" s="129" t="s">
        <v>3676</v>
      </c>
      <c r="R771" s="163">
        <v>9558938024</v>
      </c>
      <c r="S771" s="129">
        <v>36706</v>
      </c>
      <c r="T771" s="160">
        <v>102049601062</v>
      </c>
      <c r="U771" s="223" t="s">
        <v>9272</v>
      </c>
      <c r="V771" s="151">
        <v>3715837081</v>
      </c>
      <c r="W771" s="145" t="s">
        <v>9273</v>
      </c>
      <c r="X771" s="145" t="s">
        <v>9290</v>
      </c>
      <c r="Y771" s="216" t="s">
        <v>65</v>
      </c>
      <c r="Z771" s="145" t="s">
        <v>7316</v>
      </c>
      <c r="AA771" s="221" t="s">
        <v>9274</v>
      </c>
      <c r="AB771" s="221" t="s">
        <v>9274</v>
      </c>
      <c r="AC771" s="189" t="s">
        <v>9267</v>
      </c>
      <c r="AD771" s="145"/>
      <c r="AE771" s="145"/>
      <c r="AF771" s="145"/>
      <c r="AG771" s="145"/>
      <c r="AH771" s="145"/>
      <c r="AI771" s="145"/>
      <c r="AJ771" s="129"/>
      <c r="AK771" s="220"/>
      <c r="AL771" s="220"/>
      <c r="AM771" s="218"/>
    </row>
    <row r="772" spans="1:39" ht="28.5">
      <c r="A772" s="137">
        <f>SUBTOTAL(3,$B$3:B772)</f>
        <v>770</v>
      </c>
      <c r="B772" s="203" t="s">
        <v>9275</v>
      </c>
      <c r="C772" s="184" t="s">
        <v>9276</v>
      </c>
      <c r="D772" s="184" t="s">
        <v>9277</v>
      </c>
      <c r="E772" s="129" t="s">
        <v>249</v>
      </c>
      <c r="F772" s="129" t="s">
        <v>4371</v>
      </c>
      <c r="G772" s="129" t="s">
        <v>2389</v>
      </c>
      <c r="H772" s="129" t="s">
        <v>9278</v>
      </c>
      <c r="I772" s="129" t="s">
        <v>40</v>
      </c>
      <c r="J772" s="188">
        <v>37484</v>
      </c>
      <c r="K772" s="129" t="s">
        <v>41</v>
      </c>
      <c r="L772" s="129" t="s">
        <v>42</v>
      </c>
      <c r="M772" s="163" t="s">
        <v>1175</v>
      </c>
      <c r="N772" s="188">
        <v>45667</v>
      </c>
      <c r="O772" s="163" t="s">
        <v>2991</v>
      </c>
      <c r="P772" s="129" t="s">
        <v>2347</v>
      </c>
      <c r="Q772" s="129" t="s">
        <v>3676</v>
      </c>
      <c r="R772" s="163">
        <v>7874242445</v>
      </c>
      <c r="S772" s="129">
        <v>36707</v>
      </c>
      <c r="T772" s="160">
        <v>101910193040</v>
      </c>
      <c r="U772" s="223" t="s">
        <v>9279</v>
      </c>
      <c r="V772" s="151">
        <v>3715837096</v>
      </c>
      <c r="W772" s="145" t="s">
        <v>9280</v>
      </c>
      <c r="X772" s="145" t="s">
        <v>9281</v>
      </c>
      <c r="Y772" s="216" t="s">
        <v>51</v>
      </c>
      <c r="Z772" s="145" t="s">
        <v>50</v>
      </c>
      <c r="AA772" s="221" t="s">
        <v>9282</v>
      </c>
      <c r="AB772" s="221" t="s">
        <v>9282</v>
      </c>
      <c r="AC772" s="189" t="s">
        <v>9275</v>
      </c>
      <c r="AD772" s="145"/>
      <c r="AE772" s="145"/>
      <c r="AF772" s="145"/>
      <c r="AG772" s="145"/>
      <c r="AH772" s="145"/>
      <c r="AI772" s="145"/>
      <c r="AJ772" s="129"/>
      <c r="AK772" s="220"/>
      <c r="AL772" s="220"/>
      <c r="AM772" s="218"/>
    </row>
    <row r="773" spans="1:39" ht="28.5">
      <c r="A773" s="137">
        <f>SUBTOTAL(3,$B$3:B773)</f>
        <v>771</v>
      </c>
      <c r="B773" s="203" t="s">
        <v>9284</v>
      </c>
      <c r="C773" s="184" t="s">
        <v>9285</v>
      </c>
      <c r="D773" s="184" t="s">
        <v>9285</v>
      </c>
      <c r="E773" s="129" t="s">
        <v>291</v>
      </c>
      <c r="F773" s="129" t="s">
        <v>723</v>
      </c>
      <c r="G773" s="129" t="s">
        <v>2345</v>
      </c>
      <c r="H773" s="129" t="s">
        <v>1054</v>
      </c>
      <c r="I773" s="129" t="s">
        <v>702</v>
      </c>
      <c r="J773" s="188">
        <v>29510</v>
      </c>
      <c r="K773" s="129" t="s">
        <v>280</v>
      </c>
      <c r="L773" s="129" t="s">
        <v>42</v>
      </c>
      <c r="M773" s="163" t="s">
        <v>1405</v>
      </c>
      <c r="N773" s="188">
        <v>45670</v>
      </c>
      <c r="O773" s="163" t="s">
        <v>2991</v>
      </c>
      <c r="P773" s="129" t="s">
        <v>2347</v>
      </c>
      <c r="Q773" s="129" t="s">
        <v>3676</v>
      </c>
      <c r="R773" s="163">
        <v>9106757492</v>
      </c>
      <c r="S773" s="129">
        <v>36702</v>
      </c>
      <c r="T773" s="160">
        <v>102161355769</v>
      </c>
      <c r="U773" s="223" t="s">
        <v>9286</v>
      </c>
      <c r="V773" s="151">
        <v>3715837129</v>
      </c>
      <c r="W773" s="145" t="s">
        <v>9287</v>
      </c>
      <c r="X773" s="145" t="s">
        <v>9288</v>
      </c>
      <c r="Y773" s="216" t="s">
        <v>146</v>
      </c>
      <c r="Z773" s="145" t="s">
        <v>2374</v>
      </c>
      <c r="AA773" s="221" t="s">
        <v>9289</v>
      </c>
      <c r="AB773" s="221" t="s">
        <v>9289</v>
      </c>
      <c r="AC773" s="189" t="s">
        <v>9284</v>
      </c>
      <c r="AD773" s="145"/>
      <c r="AE773" s="145"/>
      <c r="AF773" s="145"/>
      <c r="AG773" s="145"/>
      <c r="AH773" s="145"/>
      <c r="AI773" s="145"/>
      <c r="AJ773" s="129"/>
      <c r="AK773" s="220"/>
      <c r="AL773" s="220"/>
      <c r="AM773" s="218"/>
    </row>
    <row r="774" spans="1:39" ht="28.5">
      <c r="A774" s="137">
        <f>SUBTOTAL(3,$B$3:B774)</f>
        <v>772</v>
      </c>
      <c r="B774" s="203" t="s">
        <v>9291</v>
      </c>
      <c r="C774" s="184" t="s">
        <v>9297</v>
      </c>
      <c r="D774" s="184" t="s">
        <v>9297</v>
      </c>
      <c r="E774" s="129" t="s">
        <v>3607</v>
      </c>
      <c r="F774" s="129" t="s">
        <v>4780</v>
      </c>
      <c r="G774" s="129" t="s">
        <v>2345</v>
      </c>
      <c r="H774" s="129" t="s">
        <v>319</v>
      </c>
      <c r="I774" s="129" t="s">
        <v>40</v>
      </c>
      <c r="J774" s="188">
        <v>35813</v>
      </c>
      <c r="K774" s="129" t="s">
        <v>41</v>
      </c>
      <c r="L774" s="129" t="s">
        <v>42</v>
      </c>
      <c r="M774" s="163" t="s">
        <v>4016</v>
      </c>
      <c r="N774" s="188">
        <v>45680</v>
      </c>
      <c r="O774" s="163" t="s">
        <v>44</v>
      </c>
      <c r="P774" s="129" t="s">
        <v>2347</v>
      </c>
      <c r="Q774" s="129" t="s">
        <v>3676</v>
      </c>
      <c r="R774" s="163">
        <v>9512942659</v>
      </c>
      <c r="S774" s="129">
        <v>36698</v>
      </c>
      <c r="T774" s="160">
        <v>101672602959</v>
      </c>
      <c r="U774" s="223" t="s">
        <v>9298</v>
      </c>
      <c r="V774" s="151">
        <v>3715837310</v>
      </c>
      <c r="W774" s="145" t="s">
        <v>9299</v>
      </c>
      <c r="X774" s="145" t="s">
        <v>9300</v>
      </c>
      <c r="Y774" s="216" t="s">
        <v>65</v>
      </c>
      <c r="Z774" s="145" t="s">
        <v>9301</v>
      </c>
      <c r="AA774" s="221" t="s">
        <v>9302</v>
      </c>
      <c r="AB774" s="221" t="s">
        <v>9303</v>
      </c>
      <c r="AC774" s="189" t="s">
        <v>9291</v>
      </c>
      <c r="AD774" s="145"/>
      <c r="AE774" s="145"/>
      <c r="AF774" s="145"/>
      <c r="AG774" s="145"/>
      <c r="AH774" s="145"/>
      <c r="AI774" s="145"/>
      <c r="AJ774" s="129"/>
      <c r="AK774" s="220"/>
      <c r="AL774" s="220"/>
      <c r="AM774" s="218"/>
    </row>
    <row r="775" spans="1:39" ht="28.5">
      <c r="A775" s="137">
        <f>SUBTOTAL(3,$B$3:B775)</f>
        <v>773</v>
      </c>
      <c r="B775" s="203" t="s">
        <v>9292</v>
      </c>
      <c r="C775" s="184" t="s">
        <v>9304</v>
      </c>
      <c r="D775" s="184" t="s">
        <v>9304</v>
      </c>
      <c r="E775" s="129" t="s">
        <v>9305</v>
      </c>
      <c r="F775" s="129" t="s">
        <v>3077</v>
      </c>
      <c r="G775" s="129" t="s">
        <v>2345</v>
      </c>
      <c r="H775" s="129" t="s">
        <v>3254</v>
      </c>
      <c r="I775" s="129" t="s">
        <v>40</v>
      </c>
      <c r="J775" s="188">
        <v>36889</v>
      </c>
      <c r="K775" s="129" t="s">
        <v>41</v>
      </c>
      <c r="L775" s="129" t="s">
        <v>42</v>
      </c>
      <c r="M775" s="163" t="s">
        <v>6752</v>
      </c>
      <c r="N775" s="188">
        <v>45680</v>
      </c>
      <c r="O775" s="163" t="s">
        <v>44</v>
      </c>
      <c r="P775" s="129" t="s">
        <v>2347</v>
      </c>
      <c r="Q775" s="129" t="s">
        <v>3676</v>
      </c>
      <c r="R775" s="163">
        <v>9327953607</v>
      </c>
      <c r="S775" s="129">
        <v>36697</v>
      </c>
      <c r="T775" s="160">
        <v>102077318816</v>
      </c>
      <c r="U775" s="223" t="s">
        <v>7193</v>
      </c>
      <c r="V775" s="151">
        <v>3715837325</v>
      </c>
      <c r="W775" s="145" t="s">
        <v>9306</v>
      </c>
      <c r="X775" s="145" t="s">
        <v>9307</v>
      </c>
      <c r="Y775" s="216" t="s">
        <v>326</v>
      </c>
      <c r="Z775" s="145" t="s">
        <v>4039</v>
      </c>
      <c r="AA775" s="221" t="s">
        <v>9308</v>
      </c>
      <c r="AB775" s="221" t="s">
        <v>9309</v>
      </c>
      <c r="AC775" s="189" t="s">
        <v>9292</v>
      </c>
      <c r="AD775" s="145"/>
      <c r="AE775" s="145"/>
      <c r="AF775" s="145"/>
      <c r="AG775" s="145"/>
      <c r="AH775" s="145"/>
      <c r="AI775" s="145"/>
      <c r="AJ775" s="129"/>
      <c r="AK775" s="220"/>
      <c r="AL775" s="220"/>
      <c r="AM775" s="218"/>
    </row>
    <row r="776" spans="1:39" ht="28.5">
      <c r="A776" s="137">
        <f>SUBTOTAL(3,$B$3:B776)</f>
        <v>774</v>
      </c>
      <c r="B776" s="203" t="s">
        <v>9293</v>
      </c>
      <c r="C776" s="184" t="s">
        <v>9310</v>
      </c>
      <c r="D776" s="184" t="s">
        <v>9310</v>
      </c>
      <c r="E776" s="129" t="s">
        <v>9311</v>
      </c>
      <c r="F776" s="129" t="s">
        <v>9312</v>
      </c>
      <c r="G776" s="129" t="s">
        <v>2389</v>
      </c>
      <c r="H776" s="129" t="s">
        <v>7618</v>
      </c>
      <c r="I776" s="129" t="s">
        <v>40</v>
      </c>
      <c r="J776" s="188">
        <v>36408</v>
      </c>
      <c r="K776" s="129" t="s">
        <v>41</v>
      </c>
      <c r="L776" s="129" t="s">
        <v>42</v>
      </c>
      <c r="M776" s="163" t="s">
        <v>6752</v>
      </c>
      <c r="N776" s="188">
        <v>45680</v>
      </c>
      <c r="O776" s="163" t="s">
        <v>44</v>
      </c>
      <c r="P776" s="129" t="s">
        <v>2347</v>
      </c>
      <c r="Q776" s="129" t="s">
        <v>3676</v>
      </c>
      <c r="R776" s="163">
        <v>6353988802</v>
      </c>
      <c r="S776" s="129">
        <v>36703</v>
      </c>
      <c r="T776" s="160">
        <v>102156043348</v>
      </c>
      <c r="U776" s="223" t="s">
        <v>9313</v>
      </c>
      <c r="V776" s="151">
        <v>3715837337</v>
      </c>
      <c r="W776" s="145" t="s">
        <v>9314</v>
      </c>
      <c r="X776" s="145" t="s">
        <v>9315</v>
      </c>
      <c r="Y776" s="216" t="s">
        <v>132</v>
      </c>
      <c r="Z776" s="145" t="s">
        <v>1230</v>
      </c>
      <c r="AA776" s="221" t="s">
        <v>9316</v>
      </c>
      <c r="AB776" s="221" t="s">
        <v>9316</v>
      </c>
      <c r="AC776" s="189" t="s">
        <v>9293</v>
      </c>
      <c r="AD776" s="145"/>
      <c r="AE776" s="145"/>
      <c r="AF776" s="145"/>
      <c r="AG776" s="145"/>
      <c r="AH776" s="145"/>
      <c r="AI776" s="145"/>
      <c r="AJ776" s="129"/>
      <c r="AK776" s="220"/>
      <c r="AL776" s="220"/>
      <c r="AM776" s="218"/>
    </row>
    <row r="777" spans="1:39" ht="28.5">
      <c r="A777" s="137">
        <f>SUBTOTAL(3,$B$3:B777)</f>
        <v>775</v>
      </c>
      <c r="B777" s="203" t="s">
        <v>9294</v>
      </c>
      <c r="C777" s="184" t="s">
        <v>9317</v>
      </c>
      <c r="D777" s="184" t="s">
        <v>9317</v>
      </c>
      <c r="E777" s="129" t="s">
        <v>136</v>
      </c>
      <c r="F777" s="129" t="s">
        <v>7479</v>
      </c>
      <c r="G777" s="129" t="s">
        <v>2345</v>
      </c>
      <c r="H777" s="129" t="s">
        <v>441</v>
      </c>
      <c r="I777" s="129" t="s">
        <v>40</v>
      </c>
      <c r="J777" s="188">
        <v>37745</v>
      </c>
      <c r="K777" s="129" t="s">
        <v>41</v>
      </c>
      <c r="L777" s="129" t="s">
        <v>42</v>
      </c>
      <c r="M777" s="163" t="s">
        <v>4016</v>
      </c>
      <c r="N777" s="188">
        <v>45680</v>
      </c>
      <c r="O777" s="163" t="s">
        <v>44</v>
      </c>
      <c r="P777" s="129" t="s">
        <v>2347</v>
      </c>
      <c r="Q777" s="129" t="s">
        <v>3676</v>
      </c>
      <c r="R777" s="163">
        <v>9313560503</v>
      </c>
      <c r="S777" s="129">
        <v>36705</v>
      </c>
      <c r="T777" s="160">
        <v>102043794376</v>
      </c>
      <c r="U777" s="223" t="s">
        <v>9318</v>
      </c>
      <c r="V777" s="151">
        <v>3715837347</v>
      </c>
      <c r="W777" s="145" t="s">
        <v>9319</v>
      </c>
      <c r="X777" s="145" t="s">
        <v>9320</v>
      </c>
      <c r="Y777" s="216" t="s">
        <v>65</v>
      </c>
      <c r="Z777" s="145" t="s">
        <v>4588</v>
      </c>
      <c r="AA777" s="221" t="s">
        <v>9329</v>
      </c>
      <c r="AB777" s="221" t="s">
        <v>9321</v>
      </c>
      <c r="AC777" s="189" t="s">
        <v>9294</v>
      </c>
      <c r="AD777" s="145"/>
      <c r="AE777" s="145"/>
      <c r="AF777" s="145"/>
      <c r="AG777" s="145"/>
      <c r="AH777" s="145"/>
      <c r="AI777" s="145"/>
      <c r="AJ777" s="129"/>
      <c r="AK777" s="220"/>
      <c r="AL777" s="220"/>
      <c r="AM777" s="218"/>
    </row>
    <row r="778" spans="1:39" ht="28.5">
      <c r="A778" s="137">
        <f>SUBTOTAL(3,$B$3:B778)</f>
        <v>776</v>
      </c>
      <c r="B778" s="203" t="s">
        <v>9295</v>
      </c>
      <c r="C778" s="184" t="s">
        <v>9322</v>
      </c>
      <c r="D778" s="184" t="s">
        <v>9322</v>
      </c>
      <c r="E778" s="129" t="s">
        <v>212</v>
      </c>
      <c r="F778" s="129" t="s">
        <v>4282</v>
      </c>
      <c r="G778" s="129" t="s">
        <v>2345</v>
      </c>
      <c r="H778" s="129" t="s">
        <v>9323</v>
      </c>
      <c r="I778" s="129" t="s">
        <v>40</v>
      </c>
      <c r="J778" s="188">
        <v>37609</v>
      </c>
      <c r="K778" s="129" t="s">
        <v>41</v>
      </c>
      <c r="L778" s="129" t="s">
        <v>42</v>
      </c>
      <c r="M778" s="163" t="s">
        <v>4016</v>
      </c>
      <c r="N778" s="188">
        <v>45680</v>
      </c>
      <c r="O778" s="163" t="s">
        <v>44</v>
      </c>
      <c r="P778" s="129" t="s">
        <v>2347</v>
      </c>
      <c r="Q778" s="129" t="s">
        <v>3676</v>
      </c>
      <c r="R778" s="163">
        <v>9327999499</v>
      </c>
      <c r="S778" s="129">
        <v>36693</v>
      </c>
      <c r="T778" s="160">
        <v>102043794330</v>
      </c>
      <c r="U778" s="223" t="s">
        <v>9324</v>
      </c>
      <c r="V778" s="151">
        <v>3715837357</v>
      </c>
      <c r="W778" s="145" t="s">
        <v>9325</v>
      </c>
      <c r="X778" s="145" t="s">
        <v>9326</v>
      </c>
      <c r="Y778" s="216" t="s">
        <v>146</v>
      </c>
      <c r="Z778" s="145" t="s">
        <v>9327</v>
      </c>
      <c r="AA778" s="221" t="s">
        <v>9329</v>
      </c>
      <c r="AB778" s="221" t="s">
        <v>9328</v>
      </c>
      <c r="AC778" s="189" t="s">
        <v>9295</v>
      </c>
      <c r="AD778" s="145"/>
      <c r="AE778" s="145"/>
      <c r="AF778" s="145"/>
      <c r="AG778" s="145"/>
      <c r="AH778" s="145"/>
      <c r="AI778" s="145"/>
      <c r="AJ778" s="129"/>
      <c r="AK778" s="220"/>
      <c r="AL778" s="220"/>
      <c r="AM778" s="218"/>
    </row>
    <row r="779" spans="1:39" ht="28.5">
      <c r="A779" s="137">
        <f>SUBTOTAL(3,$B$3:B779)</f>
        <v>777</v>
      </c>
      <c r="B779" s="203" t="s">
        <v>9296</v>
      </c>
      <c r="C779" s="184" t="s">
        <v>9330</v>
      </c>
      <c r="D779" s="184" t="s">
        <v>9330</v>
      </c>
      <c r="E779" s="129" t="s">
        <v>754</v>
      </c>
      <c r="F779" s="129" t="s">
        <v>9331</v>
      </c>
      <c r="G779" s="129" t="s">
        <v>2345</v>
      </c>
      <c r="H779" s="129" t="s">
        <v>9332</v>
      </c>
      <c r="I779" s="129" t="s">
        <v>40</v>
      </c>
      <c r="J779" s="188">
        <v>37138</v>
      </c>
      <c r="K779" s="129" t="s">
        <v>41</v>
      </c>
      <c r="L779" s="129" t="s">
        <v>42</v>
      </c>
      <c r="M779" s="163" t="s">
        <v>4016</v>
      </c>
      <c r="N779" s="188">
        <v>45680</v>
      </c>
      <c r="O779" s="163" t="s">
        <v>44</v>
      </c>
      <c r="P779" s="129" t="s">
        <v>2347</v>
      </c>
      <c r="Q779" s="129" t="s">
        <v>3676</v>
      </c>
      <c r="R779" s="163">
        <v>9099112702</v>
      </c>
      <c r="S779" s="129">
        <v>36708</v>
      </c>
      <c r="T779" s="160">
        <v>102043794348</v>
      </c>
      <c r="U779" s="223" t="s">
        <v>9333</v>
      </c>
      <c r="V779" s="151">
        <v>3715837376</v>
      </c>
      <c r="W779" s="145" t="s">
        <v>9334</v>
      </c>
      <c r="X779" s="145" t="s">
        <v>9335</v>
      </c>
      <c r="Y779" s="216" t="s">
        <v>65</v>
      </c>
      <c r="Z779" s="145" t="s">
        <v>4515</v>
      </c>
      <c r="AA779" s="221" t="s">
        <v>9329</v>
      </c>
      <c r="AB779" s="221" t="s">
        <v>9336</v>
      </c>
      <c r="AC779" s="189" t="s">
        <v>9296</v>
      </c>
      <c r="AD779" s="145"/>
      <c r="AE779" s="145"/>
      <c r="AF779" s="145"/>
      <c r="AG779" s="145"/>
      <c r="AH779" s="145"/>
      <c r="AI779" s="145"/>
      <c r="AJ779" s="129"/>
      <c r="AK779" s="220"/>
      <c r="AL779" s="220"/>
      <c r="AM779" s="218"/>
    </row>
    <row r="780" spans="1:39" ht="42.75">
      <c r="A780" s="137">
        <f>SUBTOTAL(3,$B$3:B780)</f>
        <v>778</v>
      </c>
      <c r="B780" s="203" t="s">
        <v>9337</v>
      </c>
      <c r="C780" s="184" t="s">
        <v>9338</v>
      </c>
      <c r="D780" s="184" t="s">
        <v>9338</v>
      </c>
      <c r="E780" s="129" t="s">
        <v>249</v>
      </c>
      <c r="F780" s="129" t="s">
        <v>9339</v>
      </c>
      <c r="G780" s="129" t="s">
        <v>2345</v>
      </c>
      <c r="H780" s="129" t="s">
        <v>672</v>
      </c>
      <c r="I780" s="129" t="s">
        <v>40</v>
      </c>
      <c r="J780" s="188">
        <v>37536</v>
      </c>
      <c r="K780" s="129" t="s">
        <v>41</v>
      </c>
      <c r="L780" s="129" t="s">
        <v>42</v>
      </c>
      <c r="M780" s="163" t="s">
        <v>4016</v>
      </c>
      <c r="N780" s="188">
        <v>45681</v>
      </c>
      <c r="O780" s="163" t="s">
        <v>44</v>
      </c>
      <c r="P780" s="129" t="s">
        <v>2347</v>
      </c>
      <c r="Q780" s="129" t="s">
        <v>3676</v>
      </c>
      <c r="R780" s="163">
        <v>7046591976</v>
      </c>
      <c r="S780" s="129">
        <v>36712</v>
      </c>
      <c r="T780" s="160">
        <v>102047067682</v>
      </c>
      <c r="U780" s="223" t="s">
        <v>9340</v>
      </c>
      <c r="V780" s="151">
        <v>3715838746</v>
      </c>
      <c r="W780" s="145" t="s">
        <v>9341</v>
      </c>
      <c r="X780" s="145" t="s">
        <v>9342</v>
      </c>
      <c r="Y780" s="216" t="s">
        <v>132</v>
      </c>
      <c r="Z780" s="145" t="s">
        <v>374</v>
      </c>
      <c r="AA780" s="221" t="s">
        <v>9343</v>
      </c>
      <c r="AB780" s="221" t="s">
        <v>9343</v>
      </c>
      <c r="AC780" s="189" t="s">
        <v>9337</v>
      </c>
      <c r="AD780" s="145"/>
      <c r="AE780" s="145"/>
      <c r="AF780" s="145"/>
      <c r="AG780" s="145"/>
      <c r="AH780" s="145"/>
      <c r="AI780" s="145"/>
      <c r="AJ780" s="129"/>
      <c r="AK780" s="220"/>
      <c r="AL780" s="220"/>
      <c r="AM780" s="218"/>
    </row>
    <row r="781" spans="1:39" ht="28.5">
      <c r="A781" s="137">
        <f>SUBTOTAL(3,$B$3:B781)</f>
        <v>779</v>
      </c>
      <c r="B781" s="203" t="s">
        <v>9344</v>
      </c>
      <c r="C781" s="184" t="s">
        <v>9345</v>
      </c>
      <c r="D781" s="184" t="s">
        <v>9345</v>
      </c>
      <c r="E781" s="129" t="s">
        <v>9346</v>
      </c>
      <c r="F781" s="129" t="s">
        <v>8275</v>
      </c>
      <c r="G781" s="129" t="s">
        <v>2345</v>
      </c>
      <c r="H781" s="129" t="s">
        <v>8197</v>
      </c>
      <c r="I781" s="129" t="s">
        <v>40</v>
      </c>
      <c r="J781" s="188">
        <v>37411</v>
      </c>
      <c r="K781" s="129" t="s">
        <v>41</v>
      </c>
      <c r="L781" s="129" t="s">
        <v>42</v>
      </c>
      <c r="M781" s="163" t="s">
        <v>4016</v>
      </c>
      <c r="N781" s="188">
        <v>45681</v>
      </c>
      <c r="O781" s="163" t="s">
        <v>44</v>
      </c>
      <c r="P781" s="129" t="s">
        <v>2347</v>
      </c>
      <c r="Q781" s="129" t="s">
        <v>3676</v>
      </c>
      <c r="R781" s="163">
        <v>6352321091</v>
      </c>
      <c r="S781" s="129">
        <v>36711</v>
      </c>
      <c r="T781" s="160">
        <v>102161451318</v>
      </c>
      <c r="U781" s="223" t="s">
        <v>9347</v>
      </c>
      <c r="V781" s="151">
        <v>3715838749</v>
      </c>
      <c r="W781" s="145" t="s">
        <v>9348</v>
      </c>
      <c r="X781" s="145" t="s">
        <v>9349</v>
      </c>
      <c r="Y781" s="216" t="s">
        <v>146</v>
      </c>
      <c r="Z781" s="145" t="s">
        <v>9350</v>
      </c>
      <c r="AA781" s="221" t="s">
        <v>9351</v>
      </c>
      <c r="AB781" s="221" t="s">
        <v>9351</v>
      </c>
      <c r="AC781" s="189" t="s">
        <v>9344</v>
      </c>
      <c r="AD781" s="145"/>
      <c r="AE781" s="145"/>
      <c r="AF781" s="145"/>
      <c r="AG781" s="145"/>
      <c r="AH781" s="145"/>
      <c r="AI781" s="145"/>
      <c r="AJ781" s="129"/>
      <c r="AK781" s="220"/>
      <c r="AL781" s="220"/>
      <c r="AM781" s="218"/>
    </row>
    <row r="782" spans="1:39" ht="28.5">
      <c r="A782" s="137">
        <f>SUBTOTAL(3,$B$3:B782)</f>
        <v>780</v>
      </c>
      <c r="B782" s="203" t="s">
        <v>9352</v>
      </c>
      <c r="C782" s="184" t="s">
        <v>9353</v>
      </c>
      <c r="D782" s="184" t="s">
        <v>9353</v>
      </c>
      <c r="E782" s="129" t="s">
        <v>136</v>
      </c>
      <c r="F782" s="129" t="s">
        <v>9354</v>
      </c>
      <c r="G782" s="129" t="s">
        <v>2345</v>
      </c>
      <c r="H782" s="129" t="s">
        <v>4927</v>
      </c>
      <c r="I782" s="129" t="s">
        <v>40</v>
      </c>
      <c r="J782" s="188">
        <v>37625</v>
      </c>
      <c r="K782" s="129" t="s">
        <v>41</v>
      </c>
      <c r="L782" s="129" t="s">
        <v>42</v>
      </c>
      <c r="M782" s="163" t="s">
        <v>4016</v>
      </c>
      <c r="N782" s="188">
        <v>45681</v>
      </c>
      <c r="O782" s="163" t="s">
        <v>44</v>
      </c>
      <c r="P782" s="129" t="s">
        <v>2347</v>
      </c>
      <c r="Q782" s="129" t="s">
        <v>3676</v>
      </c>
      <c r="R782" s="163">
        <v>8320261069</v>
      </c>
      <c r="S782" s="129">
        <v>36710</v>
      </c>
      <c r="T782" s="160">
        <v>102161451302</v>
      </c>
      <c r="U782" s="223" t="s">
        <v>9355</v>
      </c>
      <c r="V782" s="151">
        <v>3715838753</v>
      </c>
      <c r="W782" s="145" t="s">
        <v>9356</v>
      </c>
      <c r="X782" s="145" t="s">
        <v>9357</v>
      </c>
      <c r="Y782" s="216" t="s">
        <v>146</v>
      </c>
      <c r="Z782" s="145" t="s">
        <v>9358</v>
      </c>
      <c r="AA782" s="221" t="s">
        <v>9359</v>
      </c>
      <c r="AB782" s="221" t="s">
        <v>9359</v>
      </c>
      <c r="AC782" s="189" t="s">
        <v>9352</v>
      </c>
      <c r="AD782" s="145"/>
      <c r="AE782" s="145"/>
      <c r="AF782" s="145"/>
      <c r="AG782" s="145"/>
      <c r="AH782" s="145"/>
      <c r="AI782" s="145"/>
      <c r="AJ782" s="129"/>
      <c r="AK782" s="220"/>
      <c r="AL782" s="220"/>
      <c r="AM782" s="218"/>
    </row>
  </sheetData>
  <sheetProtection selectLockedCells="1" selectUnlockedCells="1"/>
  <autoFilter ref="A2:AL746">
    <filterColumn colId="13"/>
    <filterColumn colId="21"/>
  </autoFilter>
  <mergeCells count="8">
    <mergeCell ref="AK485:AM485"/>
    <mergeCell ref="AK473:AM473"/>
    <mergeCell ref="AK2:AM2"/>
    <mergeCell ref="AK453:AM453"/>
    <mergeCell ref="AK451:AM451"/>
    <mergeCell ref="AK446:AM446"/>
    <mergeCell ref="AK436:AM436"/>
    <mergeCell ref="AK434:AM434"/>
  </mergeCells>
  <conditionalFormatting sqref="B1:B1048576">
    <cfRule type="duplicateValues" dxfId="2398" priority="2823"/>
    <cfRule type="duplicateValues" dxfId="2397" priority="2824"/>
  </conditionalFormatting>
  <conditionalFormatting sqref="U74:U75">
    <cfRule type="duplicateValues" dxfId="2396" priority="2822"/>
  </conditionalFormatting>
  <conditionalFormatting sqref="B3:B303 B305:B329">
    <cfRule type="duplicateValues" dxfId="2395" priority="2820"/>
    <cfRule type="duplicateValues" dxfId="2394" priority="2821"/>
  </conditionalFormatting>
  <conditionalFormatting sqref="W176">
    <cfRule type="duplicateValues" dxfId="2393" priority="2819"/>
  </conditionalFormatting>
  <conditionalFormatting sqref="AC115:AC127">
    <cfRule type="duplicateValues" dxfId="2392" priority="2818"/>
  </conditionalFormatting>
  <conditionalFormatting sqref="AC140:AC303 AC305:AC329">
    <cfRule type="duplicateValues" dxfId="2391" priority="2816"/>
    <cfRule type="duplicateValues" dxfId="2390" priority="2817"/>
  </conditionalFormatting>
  <conditionalFormatting sqref="AC140:AC303 AC305:AC329">
    <cfRule type="duplicateValues" dxfId="2389" priority="2815"/>
  </conditionalFormatting>
  <conditionalFormatting sqref="AC128:AC303 AC305:AC329">
    <cfRule type="duplicateValues" dxfId="2388" priority="2814"/>
  </conditionalFormatting>
  <conditionalFormatting sqref="AC89:AC303 AC305:AC329">
    <cfRule type="duplicateValues" dxfId="2387" priority="2813"/>
  </conditionalFormatting>
  <conditionalFormatting sqref="AC3:AC303 AC305:AC329">
    <cfRule type="duplicateValues" dxfId="2386" priority="2811"/>
    <cfRule type="duplicateValues" dxfId="2385" priority="2812"/>
  </conditionalFormatting>
  <conditionalFormatting sqref="AC3:AC88">
    <cfRule type="duplicateValues" dxfId="2384" priority="2810"/>
  </conditionalFormatting>
  <conditionalFormatting sqref="X74:X88">
    <cfRule type="duplicateValues" dxfId="2383" priority="2809"/>
  </conditionalFormatting>
  <conditionalFormatting sqref="T74:T88">
    <cfRule type="duplicateValues" dxfId="2382" priority="2808"/>
  </conditionalFormatting>
  <conditionalFormatting sqref="U79:U81 U83:U85 U87:U88">
    <cfRule type="duplicateValues" dxfId="2381" priority="2807"/>
  </conditionalFormatting>
  <conditionalFormatting sqref="B89:B303 B305:B329">
    <cfRule type="duplicateValues" dxfId="2380" priority="2806"/>
  </conditionalFormatting>
  <conditionalFormatting sqref="X89:X303 X305:X329">
    <cfRule type="duplicateValues" dxfId="2379" priority="2805"/>
  </conditionalFormatting>
  <conditionalFormatting sqref="T89:T303 T305:T329">
    <cfRule type="duplicateValues" dxfId="2378" priority="2804"/>
  </conditionalFormatting>
  <conditionalFormatting sqref="U89:U91 U93:U96 U99:U104 U106:U113 U115 U117:U118 U121:U124 U126:U128 U133:U139 U141 U143:U145 U147:U154 U156:U185">
    <cfRule type="duplicateValues" dxfId="2377" priority="2803"/>
  </conditionalFormatting>
  <conditionalFormatting sqref="S115:S303 S305:S329">
    <cfRule type="duplicateValues" dxfId="2376" priority="2802"/>
  </conditionalFormatting>
  <conditionalFormatting sqref="AC115:AC303 AC305:AC329">
    <cfRule type="duplicateValues" dxfId="2375" priority="2801"/>
  </conditionalFormatting>
  <conditionalFormatting sqref="B140:B303 B305:B329">
    <cfRule type="duplicateValues" dxfId="2374" priority="2799"/>
    <cfRule type="duplicateValues" dxfId="2373" priority="2800"/>
  </conditionalFormatting>
  <conditionalFormatting sqref="B140:B303 B305:B329">
    <cfRule type="duplicateValues" dxfId="2372" priority="2798"/>
  </conditionalFormatting>
  <conditionalFormatting sqref="X140:X303 X305:X329">
    <cfRule type="duplicateValues" dxfId="2371" priority="2797"/>
  </conditionalFormatting>
  <conditionalFormatting sqref="V305:V329 V140:V303 T140:T303 T305:T329">
    <cfRule type="duplicateValues" dxfId="2370" priority="2796"/>
  </conditionalFormatting>
  <conditionalFormatting sqref="V140:V303 V305:V329">
    <cfRule type="duplicateValues" dxfId="2369" priority="2795"/>
  </conditionalFormatting>
  <conditionalFormatting sqref="T140:T303 T305:T329">
    <cfRule type="duplicateValues" dxfId="2368" priority="2794"/>
  </conditionalFormatting>
  <conditionalFormatting sqref="B3:B88">
    <cfRule type="duplicateValues" dxfId="2367" priority="2793"/>
  </conditionalFormatting>
  <conditionalFormatting sqref="X3:X73">
    <cfRule type="duplicateValues" dxfId="2366" priority="2792"/>
  </conditionalFormatting>
  <conditionalFormatting sqref="V3:V73">
    <cfRule type="duplicateValues" dxfId="2365" priority="2791"/>
  </conditionalFormatting>
  <conditionalFormatting sqref="T3:T73">
    <cfRule type="duplicateValues" dxfId="2364" priority="2790"/>
  </conditionalFormatting>
  <conditionalFormatting sqref="V3:V73 T3:T73">
    <cfRule type="duplicateValues" dxfId="2363" priority="2789"/>
  </conditionalFormatting>
  <conditionalFormatting sqref="B115:B127">
    <cfRule type="duplicateValues" dxfId="2362" priority="2788"/>
  </conditionalFormatting>
  <conditionalFormatting sqref="B128:B303 B305:B329">
    <cfRule type="duplicateValues" dxfId="2361" priority="2787"/>
  </conditionalFormatting>
  <conditionalFormatting sqref="B3:B303 B305:B329">
    <cfRule type="duplicateValues" dxfId="2360" priority="2786"/>
  </conditionalFormatting>
  <conditionalFormatting sqref="B187:B303 B305:B329">
    <cfRule type="duplicateValues" dxfId="2359" priority="2784"/>
    <cfRule type="duplicateValues" dxfId="2358" priority="2785"/>
  </conditionalFormatting>
  <conditionalFormatting sqref="B217">
    <cfRule type="duplicateValues" dxfId="2357" priority="2783"/>
  </conditionalFormatting>
  <conditionalFormatting sqref="AC217">
    <cfRule type="duplicateValues" dxfId="2356" priority="2782"/>
  </conditionalFormatting>
  <conditionalFormatting sqref="AC223 AC189">
    <cfRule type="duplicateValues" dxfId="2355" priority="2781"/>
  </conditionalFormatting>
  <conditionalFormatting sqref="AC189:AC190 AC193 AC217:AC303 AC305:AC329">
    <cfRule type="duplicateValues" dxfId="2354" priority="2780"/>
  </conditionalFormatting>
  <conditionalFormatting sqref="AC187:AC215 AC217:AC303 AC305:AC329">
    <cfRule type="duplicateValues" dxfId="2353" priority="2778"/>
    <cfRule type="duplicateValues" dxfId="2352" priority="2779"/>
  </conditionalFormatting>
  <conditionalFormatting sqref="AC216">
    <cfRule type="duplicateValues" dxfId="2351" priority="2777"/>
  </conditionalFormatting>
  <conditionalFormatting sqref="AC216">
    <cfRule type="duplicateValues" dxfId="2350" priority="2775"/>
    <cfRule type="duplicateValues" dxfId="2349" priority="2776"/>
  </conditionalFormatting>
  <conditionalFormatting sqref="AC187:AC188 AC194:AC215 AC191:AC192">
    <cfRule type="duplicateValues" dxfId="2348" priority="2774"/>
  </conditionalFormatting>
  <conditionalFormatting sqref="AC187:AC303 AC305:AC329">
    <cfRule type="duplicateValues" dxfId="2347" priority="2772"/>
    <cfRule type="duplicateValues" dxfId="2346" priority="2773"/>
  </conditionalFormatting>
  <conditionalFormatting sqref="B187:B303 B305:B329">
    <cfRule type="duplicateValues" dxfId="2345" priority="2771"/>
  </conditionalFormatting>
  <conditionalFormatting sqref="B189:B190 B193 B217:B303 B305:B329">
    <cfRule type="duplicateValues" dxfId="2344" priority="2770"/>
  </conditionalFormatting>
  <conditionalFormatting sqref="X189:X190 X193 X217:X303 X305:X329">
    <cfRule type="duplicateValues" dxfId="2343" priority="2769"/>
  </conditionalFormatting>
  <conditionalFormatting sqref="T189:T190 T193 T217:T303 T305:T329">
    <cfRule type="duplicateValues" dxfId="2342" priority="2768"/>
  </conditionalFormatting>
  <conditionalFormatting sqref="U189:U190 U193 U217:U303 U305:U329">
    <cfRule type="duplicateValues" dxfId="2341" priority="2767"/>
  </conditionalFormatting>
  <conditionalFormatting sqref="S189:S190 S193 S217:S303 S305:S329">
    <cfRule type="duplicateValues" dxfId="2340" priority="2766"/>
  </conditionalFormatting>
  <conditionalFormatting sqref="V216 T216">
    <cfRule type="duplicateValues" dxfId="2339" priority="2765"/>
  </conditionalFormatting>
  <conditionalFormatting sqref="B216">
    <cfRule type="duplicateValues" dxfId="2338" priority="2764"/>
  </conditionalFormatting>
  <conditionalFormatting sqref="B216">
    <cfRule type="duplicateValues" dxfId="2337" priority="2762"/>
    <cfRule type="duplicateValues" dxfId="2336" priority="2763"/>
  </conditionalFormatting>
  <conditionalFormatting sqref="V216">
    <cfRule type="duplicateValues" dxfId="2335" priority="2761"/>
  </conditionalFormatting>
  <conditionalFormatting sqref="T216">
    <cfRule type="duplicateValues" dxfId="2334" priority="2760"/>
  </conditionalFormatting>
  <conditionalFormatting sqref="X216">
    <cfRule type="duplicateValues" dxfId="2333" priority="2759"/>
  </conditionalFormatting>
  <conditionalFormatting sqref="B187:B215 B217:B303 B305:B329">
    <cfRule type="duplicateValues" dxfId="2332" priority="2757"/>
    <cfRule type="duplicateValues" dxfId="2331" priority="2758"/>
  </conditionalFormatting>
  <conditionalFormatting sqref="B187:B188 B194:B215 B191:B192">
    <cfRule type="duplicateValues" dxfId="2330" priority="2756"/>
  </conditionalFormatting>
  <conditionalFormatting sqref="X187:X188 X194:X215 X191:X192">
    <cfRule type="duplicateValues" dxfId="2329" priority="2755"/>
  </conditionalFormatting>
  <conditionalFormatting sqref="V187:V188 V194:V215 V191:V192">
    <cfRule type="duplicateValues" dxfId="2328" priority="2754"/>
  </conditionalFormatting>
  <conditionalFormatting sqref="T187:T188 T194:T215 T191:T192">
    <cfRule type="duplicateValues" dxfId="2327" priority="2753"/>
  </conditionalFormatting>
  <conditionalFormatting sqref="V191:V192 T194:T215 V194:V215 V187:V188 T187:T188 T191:T192">
    <cfRule type="duplicateValues" dxfId="2326" priority="2752"/>
  </conditionalFormatting>
  <conditionalFormatting sqref="B223 B189">
    <cfRule type="duplicateValues" dxfId="2325" priority="2751"/>
  </conditionalFormatting>
  <conditionalFormatting sqref="AC190 AC193 AC218:AC222 AC224:AC303 AC305:AC329">
    <cfRule type="duplicateValues" dxfId="2324" priority="2749"/>
    <cfRule type="duplicateValues" dxfId="2323" priority="2750"/>
  </conditionalFormatting>
  <conditionalFormatting sqref="AC190 AC193 AC218:AC222 AC224:AC303 AC305:AC329">
    <cfRule type="duplicateValues" dxfId="2322" priority="2748"/>
  </conditionalFormatting>
  <conditionalFormatting sqref="B190 B193 B218:B222 B224:B303 B305:B329">
    <cfRule type="duplicateValues" dxfId="2321" priority="2746"/>
    <cfRule type="duplicateValues" dxfId="2320" priority="2747"/>
  </conditionalFormatting>
  <conditionalFormatting sqref="B190 B193 B218:B222 B224:B303 B305:B329">
    <cfRule type="duplicateValues" dxfId="2319" priority="2745"/>
  </conditionalFormatting>
  <conditionalFormatting sqref="X190 X193 X218:X222 X224:X303 X305:X329">
    <cfRule type="duplicateValues" dxfId="2318" priority="2744"/>
  </conditionalFormatting>
  <conditionalFormatting sqref="V305:V329 T190 T218:T222 V190 V218:V222 V193 T193 V224:V303 T224:T303 T305:T329">
    <cfRule type="duplicateValues" dxfId="2317" priority="2743"/>
  </conditionalFormatting>
  <conditionalFormatting sqref="V190 V193 V218:V222 V224:V303 V305:V329">
    <cfRule type="duplicateValues" dxfId="2316" priority="2742"/>
  </conditionalFormatting>
  <conditionalFormatting sqref="T190 T193 T218:T222 T224:T303 T305:T329">
    <cfRule type="duplicateValues" dxfId="2315" priority="2741"/>
  </conditionalFormatting>
  <conditionalFormatting sqref="U240">
    <cfRule type="duplicateValues" dxfId="2314" priority="2740"/>
  </conditionalFormatting>
  <conditionalFormatting sqref="X305">
    <cfRule type="duplicateValues" dxfId="2313" priority="2739"/>
  </conditionalFormatting>
  <conditionalFormatting sqref="B230:B303 B305:B329">
    <cfRule type="duplicateValues" dxfId="2312" priority="2737"/>
    <cfRule type="duplicateValues" dxfId="2311" priority="2738"/>
  </conditionalFormatting>
  <conditionalFormatting sqref="B317">
    <cfRule type="duplicateValues" dxfId="2310" priority="2736"/>
  </conditionalFormatting>
  <conditionalFormatting sqref="AC317">
    <cfRule type="duplicateValues" dxfId="2309" priority="2735"/>
  </conditionalFormatting>
  <conditionalFormatting sqref="AC306">
    <cfRule type="duplicateValues" dxfId="2308" priority="2734"/>
  </conditionalFormatting>
  <conditionalFormatting sqref="AC305">
    <cfRule type="duplicateValues" dxfId="2307" priority="2733"/>
  </conditionalFormatting>
  <conditionalFormatting sqref="AC305">
    <cfRule type="duplicateValues" dxfId="2306" priority="2731"/>
    <cfRule type="duplicateValues" dxfId="2305" priority="2732"/>
  </conditionalFormatting>
  <conditionalFormatting sqref="AC230:AC303 AC305:AC329">
    <cfRule type="duplicateValues" dxfId="2304" priority="2729"/>
    <cfRule type="duplicateValues" dxfId="2303" priority="2730"/>
  </conditionalFormatting>
  <conditionalFormatting sqref="V325:V327 V235:V249">
    <cfRule type="duplicateValues" dxfId="2302" priority="2728"/>
  </conditionalFormatting>
  <conditionalFormatting sqref="T305 V305">
    <cfRule type="duplicateValues" dxfId="2301" priority="2727"/>
  </conditionalFormatting>
  <conditionalFormatting sqref="B305">
    <cfRule type="duplicateValues" dxfId="2300" priority="2726"/>
  </conditionalFormatting>
  <conditionalFormatting sqref="B305">
    <cfRule type="duplicateValues" dxfId="2299" priority="2724"/>
    <cfRule type="duplicateValues" dxfId="2298" priority="2725"/>
  </conditionalFormatting>
  <conditionalFormatting sqref="V305">
    <cfRule type="duplicateValues" dxfId="2297" priority="2723"/>
  </conditionalFormatting>
  <conditionalFormatting sqref="T305">
    <cfRule type="duplicateValues" dxfId="2296" priority="2722"/>
  </conditionalFormatting>
  <conditionalFormatting sqref="B306">
    <cfRule type="duplicateValues" dxfId="2295" priority="2721"/>
  </conditionalFormatting>
  <conditionalFormatting sqref="AC306:AC329 AC230:AC303">
    <cfRule type="duplicateValues" dxfId="2294" priority="2719"/>
    <cfRule type="duplicateValues" dxfId="2293" priority="2720"/>
  </conditionalFormatting>
  <conditionalFormatting sqref="B306:B329 B230:B303">
    <cfRule type="duplicateValues" dxfId="2292" priority="2717"/>
    <cfRule type="duplicateValues" dxfId="2291" priority="2718"/>
  </conditionalFormatting>
  <conditionalFormatting sqref="AC329 AC324 AC307:AC313 AC230">
    <cfRule type="duplicateValues" dxfId="2290" priority="2715"/>
    <cfRule type="duplicateValues" dxfId="2289" priority="2716"/>
  </conditionalFormatting>
  <conditionalFormatting sqref="AC329 AC324 AC307:AC313 AC230">
    <cfRule type="duplicateValues" dxfId="2288" priority="2714"/>
  </conditionalFormatting>
  <conditionalFormatting sqref="B329 B324 B307:B313 B230">
    <cfRule type="duplicateValues" dxfId="2287" priority="2712"/>
    <cfRule type="duplicateValues" dxfId="2286" priority="2713"/>
  </conditionalFormatting>
  <conditionalFormatting sqref="B329 B324 B307:B313 B230">
    <cfRule type="duplicateValues" dxfId="2285" priority="2711"/>
  </conditionalFormatting>
  <conditionalFormatting sqref="X329 X324 X307:X313 X230">
    <cfRule type="duplicateValues" dxfId="2284" priority="2710"/>
  </conditionalFormatting>
  <conditionalFormatting sqref="V329 V324 T230 V307:V313 T324 T307:T313 T329 V230">
    <cfRule type="duplicateValues" dxfId="2283" priority="2709"/>
  </conditionalFormatting>
  <conditionalFormatting sqref="V329 V324 V307:V313 V230">
    <cfRule type="duplicateValues" dxfId="2282" priority="2708"/>
  </conditionalFormatting>
  <conditionalFormatting sqref="T329 T324 T307:T313 T230">
    <cfRule type="duplicateValues" dxfId="2281" priority="2707"/>
  </conditionalFormatting>
  <conditionalFormatting sqref="AC329 AC324 AC306:AC313 AC317 AC230">
    <cfRule type="duplicateValues" dxfId="2280" priority="2706"/>
  </conditionalFormatting>
  <conditionalFormatting sqref="B329 B324 B306:B313 B317 B230">
    <cfRule type="duplicateValues" dxfId="2279" priority="2705"/>
  </conditionalFormatting>
  <conditionalFormatting sqref="X329 X324 X306:X313 X317 X230">
    <cfRule type="duplicateValues" dxfId="2278" priority="2704"/>
  </conditionalFormatting>
  <conditionalFormatting sqref="T329 T324 T306:T313 T317 T230">
    <cfRule type="duplicateValues" dxfId="2277" priority="2703"/>
  </conditionalFormatting>
  <conditionalFormatting sqref="U329 U324 U306:U313 U317 U230">
    <cfRule type="duplicateValues" dxfId="2276" priority="2702"/>
  </conditionalFormatting>
  <conditionalFormatting sqref="S329 S324 S306:S313 S317 S230">
    <cfRule type="duplicateValues" dxfId="2275" priority="2701"/>
  </conditionalFormatting>
  <conditionalFormatting sqref="AC325:AC328 AC314:AC316 AC318:AC323 AC231:AC303">
    <cfRule type="duplicateValues" dxfId="2274" priority="2700"/>
  </conditionalFormatting>
  <conditionalFormatting sqref="B325:B328 B314:B316 B318:B323 B231:B303">
    <cfRule type="duplicateValues" dxfId="2273" priority="2699"/>
  </conditionalFormatting>
  <conditionalFormatting sqref="X325:X328 X314:X316 X318:X323 X231:X303">
    <cfRule type="duplicateValues" dxfId="2272" priority="2698"/>
  </conditionalFormatting>
  <conditionalFormatting sqref="V328 V318:V323 V314:V316 V231:V234 V250:V303">
    <cfRule type="duplicateValues" dxfId="2271" priority="2697"/>
  </conditionalFormatting>
  <conditionalFormatting sqref="T325:T328 T314:T316 T318:T323 T231:T303">
    <cfRule type="duplicateValues" dxfId="2270" priority="2696"/>
  </conditionalFormatting>
  <conditionalFormatting sqref="T325:T328 T318:T323 V328 T231:T303 T314:T316 V318:V323 V314:V316 V231:V234 V250:V303">
    <cfRule type="duplicateValues" dxfId="2269" priority="2695"/>
  </conditionalFormatting>
  <conditionalFormatting sqref="X2:X548 X550:X576 U2:U617 X578:X617 U619:U683 U685:U699 X619:X699 U701:U731 X701:X1048576 U733:U1048576">
    <cfRule type="duplicateValues" dxfId="2268" priority="2694"/>
  </conditionalFormatting>
  <conditionalFormatting sqref="X1:X548 X550:X576 X578:X617 X619:X699 X701:X1048576">
    <cfRule type="duplicateValues" dxfId="2267" priority="2693"/>
  </conditionalFormatting>
  <conditionalFormatting sqref="V391:V392 V394 V396:V399 V401:V453 V456 V464 V468:V475 V477:V483 T2:T453 V496 V498 V511 V522 V536 V547 T528:T529 T539 T535:T536 T494:T503 T514 T516:T517 V565:V566 T565:T567 T573 V341:V351 V353:V389 V603 V612:V613 T615:T617 V635 T619:T633 V2:V339 V637 V643 T642:T650 T665 V665 V677 U684 V680 V690:V691 V687 T717:T719 V706:V707 T715 T708 T729 T742 T737:T738 T740 T747 T749:T751 T726:T727 T755 V739 V769 V772 T771:T772 T763 T774 V783:V1048576 T783:T1048576">
    <cfRule type="duplicateValues" dxfId="2266" priority="2692"/>
  </conditionalFormatting>
  <conditionalFormatting sqref="V391:V392 V394 V396:V399 V401:V453 V456 V464 V468:V475 V477:V483 V496 V498 V511 V522 V536 V547 V565:V566 V341:V351 V353:V389 V603 V612:V613 V635 V1:V339 V637 V643 V665 V677 V680 U684 V687 V690:V691 V706:V707 V739 V769 V772 V783:V1048576">
    <cfRule type="duplicateValues" dxfId="2265" priority="2691"/>
  </conditionalFormatting>
  <conditionalFormatting sqref="B2:B1048576">
    <cfRule type="duplicateValues" dxfId="2264" priority="2690"/>
  </conditionalFormatting>
  <conditionalFormatting sqref="B2:B1048576">
    <cfRule type="duplicateValues" dxfId="2263" priority="2688"/>
    <cfRule type="duplicateValues" dxfId="2262" priority="2689"/>
  </conditionalFormatting>
  <conditionalFormatting sqref="B1:B1048576">
    <cfRule type="duplicateValues" dxfId="2261" priority="2687"/>
  </conditionalFormatting>
  <conditionalFormatting sqref="AC402">
    <cfRule type="duplicateValues" dxfId="2260" priority="2685"/>
    <cfRule type="duplicateValues" dxfId="2259" priority="2686"/>
  </conditionalFormatting>
  <conditionalFormatting sqref="AC402">
    <cfRule type="duplicateValues" dxfId="2258" priority="2684"/>
  </conditionalFormatting>
  <conditionalFormatting sqref="B411:B461 B304">
    <cfRule type="duplicateValues" dxfId="2257" priority="2682"/>
    <cfRule type="duplicateValues" dxfId="2256" priority="2683"/>
  </conditionalFormatting>
  <conditionalFormatting sqref="X411:X461 U411:U461 U304 X304">
    <cfRule type="duplicateValues" dxfId="2255" priority="2681"/>
  </conditionalFormatting>
  <conditionalFormatting sqref="X411:X461 X304">
    <cfRule type="duplicateValues" dxfId="2254" priority="2680"/>
  </conditionalFormatting>
  <conditionalFormatting sqref="V456 T304 V304 V411:V453 T410:T453">
    <cfRule type="duplicateValues" dxfId="2253" priority="2679"/>
  </conditionalFormatting>
  <conditionalFormatting sqref="V304 V411:V453 V456">
    <cfRule type="duplicateValues" dxfId="2252" priority="2678"/>
  </conditionalFormatting>
  <conditionalFormatting sqref="B411:B461 B304">
    <cfRule type="duplicateValues" dxfId="2251" priority="2677"/>
  </conditionalFormatting>
  <conditionalFormatting sqref="B424:B461 B304">
    <cfRule type="duplicateValues" dxfId="2250" priority="2675"/>
    <cfRule type="duplicateValues" dxfId="2249" priority="2676"/>
  </conditionalFormatting>
  <conditionalFormatting sqref="X424:X461 U424:U461 U304 X304">
    <cfRule type="duplicateValues" dxfId="2248" priority="2674"/>
  </conditionalFormatting>
  <conditionalFormatting sqref="X424:X461 X304">
    <cfRule type="duplicateValues" dxfId="2247" priority="2673"/>
  </conditionalFormatting>
  <conditionalFormatting sqref="V304 V427 V431:V444 T304 T431:T453">
    <cfRule type="duplicateValues" dxfId="2246" priority="2672"/>
  </conditionalFormatting>
  <conditionalFormatting sqref="V304 V427 V431:V444">
    <cfRule type="duplicateValues" dxfId="2245" priority="2671"/>
  </conditionalFormatting>
  <conditionalFormatting sqref="B424:B461 B304">
    <cfRule type="duplicateValues" dxfId="2244" priority="2670"/>
  </conditionalFormatting>
  <conditionalFormatting sqref="B304">
    <cfRule type="duplicateValues" dxfId="2243" priority="2668"/>
    <cfRule type="duplicateValues" dxfId="2242" priority="2669"/>
  </conditionalFormatting>
  <conditionalFormatting sqref="AC304">
    <cfRule type="duplicateValues" dxfId="2241" priority="2666"/>
    <cfRule type="duplicateValues" dxfId="2240" priority="2667"/>
  </conditionalFormatting>
  <conditionalFormatting sqref="AC304">
    <cfRule type="duplicateValues" dxfId="2239" priority="2665"/>
  </conditionalFormatting>
  <conditionalFormatting sqref="B304">
    <cfRule type="duplicateValues" dxfId="2238" priority="2664"/>
  </conditionalFormatting>
  <conditionalFormatting sqref="X304">
    <cfRule type="duplicateValues" dxfId="2237" priority="2663"/>
  </conditionalFormatting>
  <conditionalFormatting sqref="V304">
    <cfRule type="duplicateValues" dxfId="2236" priority="2662"/>
  </conditionalFormatting>
  <conditionalFormatting sqref="X304 U304">
    <cfRule type="duplicateValues" dxfId="2235" priority="2661"/>
  </conditionalFormatting>
  <conditionalFormatting sqref="T339:T340 T343:T344 T346 T350:T353 T365:T366 T370:T371 T375:T376 T378 T380:T381 T387 T391 T398 T402 T407:T409">
    <cfRule type="duplicateValues" dxfId="2234" priority="2660"/>
  </conditionalFormatting>
  <conditionalFormatting sqref="T339:T340 T343:T344 T346 T350:T353 T365:T366 T370:T371 T375:T376 T378 T380:T381 T387 T391 T398 T402 T407:T409 T414:T417 T419 T421">
    <cfRule type="duplicateValues" dxfId="2233" priority="2659"/>
  </conditionalFormatting>
  <conditionalFormatting sqref="T331:T333 T335:T338 T341:T342 T345 T347:T349 T354:T364 T367:T369 T372:T374 T377 T382:T386 T388:T390 T392:T397 T399:T401 T403:T406">
    <cfRule type="duplicateValues" dxfId="2232" priority="2658"/>
  </conditionalFormatting>
  <conditionalFormatting sqref="T331:T333 T335:T338 T341:T342 T345 T347:T349 T354:T364 T367:T369 T372:T374 T377 T382:T386 T388:T390 T392:T397 T399:T401 T403:T406 T410:T413 T418 T420 T422:T423">
    <cfRule type="duplicateValues" dxfId="2231" priority="2657"/>
  </conditionalFormatting>
  <conditionalFormatting sqref="T350">
    <cfRule type="duplicateValues" dxfId="2230" priority="2656"/>
  </conditionalFormatting>
  <conditionalFormatting sqref="B454:B461">
    <cfRule type="duplicateValues" dxfId="2229" priority="2654"/>
    <cfRule type="duplicateValues" dxfId="2228" priority="2655"/>
  </conditionalFormatting>
  <conditionalFormatting sqref="X454:X461 U454:U461">
    <cfRule type="duplicateValues" dxfId="2227" priority="2653"/>
  </conditionalFormatting>
  <conditionalFormatting sqref="X454:X461">
    <cfRule type="duplicateValues" dxfId="2226" priority="2652"/>
  </conditionalFormatting>
  <conditionalFormatting sqref="V456">
    <cfRule type="duplicateValues" dxfId="2225" priority="2651"/>
  </conditionalFormatting>
  <conditionalFormatting sqref="B454:B461">
    <cfRule type="duplicateValues" dxfId="2224" priority="2649"/>
  </conditionalFormatting>
  <conditionalFormatting sqref="W463">
    <cfRule type="duplicateValues" dxfId="2223" priority="2648"/>
  </conditionalFormatting>
  <conditionalFormatting sqref="U191">
    <cfRule type="duplicateValues" dxfId="2222" priority="2646"/>
  </conditionalFormatting>
  <conditionalFormatting sqref="U197">
    <cfRule type="duplicateValues" dxfId="2221" priority="2645"/>
  </conditionalFormatting>
  <conditionalFormatting sqref="U200">
    <cfRule type="duplicateValues" dxfId="2220" priority="2644"/>
  </conditionalFormatting>
  <conditionalFormatting sqref="U212">
    <cfRule type="duplicateValues" dxfId="2219" priority="2643"/>
  </conditionalFormatting>
  <conditionalFormatting sqref="U304">
    <cfRule type="duplicateValues" dxfId="2218" priority="2642"/>
  </conditionalFormatting>
  <conditionalFormatting sqref="U332">
    <cfRule type="duplicateValues" dxfId="2217" priority="2641"/>
  </conditionalFormatting>
  <conditionalFormatting sqref="U337">
    <cfRule type="duplicateValues" dxfId="2216" priority="2640"/>
  </conditionalFormatting>
  <conditionalFormatting sqref="U339">
    <cfRule type="duplicateValues" dxfId="2215" priority="2639"/>
  </conditionalFormatting>
  <conditionalFormatting sqref="U341">
    <cfRule type="duplicateValues" dxfId="2214" priority="2638"/>
  </conditionalFormatting>
  <conditionalFormatting sqref="U345">
    <cfRule type="duplicateValues" dxfId="2213" priority="2637"/>
  </conditionalFormatting>
  <conditionalFormatting sqref="U349">
    <cfRule type="duplicateValues" dxfId="2212" priority="2636"/>
  </conditionalFormatting>
  <conditionalFormatting sqref="U358">
    <cfRule type="duplicateValues" dxfId="2211" priority="2635"/>
  </conditionalFormatting>
  <conditionalFormatting sqref="U359">
    <cfRule type="duplicateValues" dxfId="2210" priority="2634"/>
  </conditionalFormatting>
  <conditionalFormatting sqref="U365">
    <cfRule type="duplicateValues" dxfId="2209" priority="2633"/>
  </conditionalFormatting>
  <conditionalFormatting sqref="U368:U370">
    <cfRule type="duplicateValues" dxfId="2208" priority="2632"/>
  </conditionalFormatting>
  <conditionalFormatting sqref="U372:U373">
    <cfRule type="duplicateValues" dxfId="2207" priority="2631"/>
  </conditionalFormatting>
  <conditionalFormatting sqref="U377">
    <cfRule type="duplicateValues" dxfId="2206" priority="2630"/>
  </conditionalFormatting>
  <conditionalFormatting sqref="U380">
    <cfRule type="duplicateValues" dxfId="2205" priority="2629"/>
  </conditionalFormatting>
  <conditionalFormatting sqref="U383">
    <cfRule type="duplicateValues" dxfId="2204" priority="2628"/>
  </conditionalFormatting>
  <conditionalFormatting sqref="U392">
    <cfRule type="duplicateValues" dxfId="2203" priority="2627"/>
  </conditionalFormatting>
  <conditionalFormatting sqref="U394:U395">
    <cfRule type="duplicateValues" dxfId="2202" priority="2626"/>
  </conditionalFormatting>
  <conditionalFormatting sqref="U403">
    <cfRule type="duplicateValues" dxfId="2201" priority="2625"/>
  </conditionalFormatting>
  <conditionalFormatting sqref="U411">
    <cfRule type="duplicateValues" dxfId="2200" priority="2624"/>
  </conditionalFormatting>
  <conditionalFormatting sqref="U414">
    <cfRule type="duplicateValues" dxfId="2199" priority="2623"/>
  </conditionalFormatting>
  <conditionalFormatting sqref="U420">
    <cfRule type="duplicateValues" dxfId="2198" priority="2622"/>
  </conditionalFormatting>
  <conditionalFormatting sqref="U422">
    <cfRule type="duplicateValues" dxfId="2197" priority="2621"/>
  </conditionalFormatting>
  <conditionalFormatting sqref="U429">
    <cfRule type="duplicateValues" dxfId="2196" priority="2620"/>
  </conditionalFormatting>
  <conditionalFormatting sqref="U435">
    <cfRule type="duplicateValues" dxfId="2195" priority="2619"/>
  </conditionalFormatting>
  <conditionalFormatting sqref="U438">
    <cfRule type="duplicateValues" dxfId="2194" priority="2618"/>
  </conditionalFormatting>
  <conditionalFormatting sqref="U439">
    <cfRule type="duplicateValues" dxfId="2193" priority="2617"/>
  </conditionalFormatting>
  <conditionalFormatting sqref="U440">
    <cfRule type="duplicateValues" dxfId="2192" priority="2616"/>
  </conditionalFormatting>
  <conditionalFormatting sqref="U443">
    <cfRule type="duplicateValues" dxfId="2191" priority="2615"/>
  </conditionalFormatting>
  <conditionalFormatting sqref="U445">
    <cfRule type="duplicateValues" dxfId="2190" priority="2614"/>
  </conditionalFormatting>
  <conditionalFormatting sqref="U449">
    <cfRule type="duplicateValues" dxfId="2189" priority="2613"/>
  </conditionalFormatting>
  <conditionalFormatting sqref="U451">
    <cfRule type="duplicateValues" dxfId="2188" priority="2612"/>
  </conditionalFormatting>
  <conditionalFormatting sqref="U454:U455">
    <cfRule type="duplicateValues" dxfId="2187" priority="2611"/>
  </conditionalFormatting>
  <conditionalFormatting sqref="U459:U460">
    <cfRule type="duplicateValues" dxfId="2186" priority="2610"/>
  </conditionalFormatting>
  <conditionalFormatting sqref="U464">
    <cfRule type="duplicateValues" dxfId="2185" priority="2609"/>
  </conditionalFormatting>
  <conditionalFormatting sqref="U466">
    <cfRule type="duplicateValues" dxfId="2184" priority="2608"/>
  </conditionalFormatting>
  <conditionalFormatting sqref="U467">
    <cfRule type="duplicateValues" dxfId="2183" priority="2607"/>
  </conditionalFormatting>
  <conditionalFormatting sqref="U468">
    <cfRule type="duplicateValues" dxfId="2182" priority="2606"/>
  </conditionalFormatting>
  <conditionalFormatting sqref="U470">
    <cfRule type="duplicateValues" dxfId="2181" priority="2605"/>
  </conditionalFormatting>
  <conditionalFormatting sqref="U473">
    <cfRule type="duplicateValues" dxfId="2180" priority="2604"/>
  </conditionalFormatting>
  <conditionalFormatting sqref="U475">
    <cfRule type="duplicateValues" dxfId="2179" priority="2603"/>
  </conditionalFormatting>
  <conditionalFormatting sqref="U476">
    <cfRule type="duplicateValues" dxfId="2178" priority="2602"/>
  </conditionalFormatting>
  <conditionalFormatting sqref="U480">
    <cfRule type="duplicateValues" dxfId="2177" priority="2601"/>
  </conditionalFormatting>
  <conditionalFormatting sqref="U488">
    <cfRule type="duplicateValues" dxfId="2176" priority="2600"/>
  </conditionalFormatting>
  <conditionalFormatting sqref="U492">
    <cfRule type="duplicateValues" dxfId="2175" priority="2599"/>
  </conditionalFormatting>
  <conditionalFormatting sqref="U493">
    <cfRule type="duplicateValues" dxfId="2174" priority="2598"/>
  </conditionalFormatting>
  <conditionalFormatting sqref="X1">
    <cfRule type="duplicateValues" dxfId="2173" priority="2597"/>
  </conditionalFormatting>
  <conditionalFormatting sqref="U266">
    <cfRule type="duplicateValues" dxfId="2172" priority="2595"/>
  </conditionalFormatting>
  <conditionalFormatting sqref="U351">
    <cfRule type="duplicateValues" dxfId="2171" priority="2592"/>
  </conditionalFormatting>
  <conditionalFormatting sqref="U495">
    <cfRule type="duplicateValues" dxfId="2170" priority="2591"/>
  </conditionalFormatting>
  <conditionalFormatting sqref="U503">
    <cfRule type="duplicateValues" dxfId="2169" priority="2590"/>
  </conditionalFormatting>
  <conditionalFormatting sqref="U504">
    <cfRule type="duplicateValues" dxfId="2168" priority="2589"/>
  </conditionalFormatting>
  <conditionalFormatting sqref="U505">
    <cfRule type="duplicateValues" dxfId="2167" priority="2588"/>
  </conditionalFormatting>
  <conditionalFormatting sqref="U506:U507">
    <cfRule type="duplicateValues" dxfId="2166" priority="2587"/>
  </conditionalFormatting>
  <conditionalFormatting sqref="U508">
    <cfRule type="duplicateValues" dxfId="2165" priority="2586"/>
  </conditionalFormatting>
  <conditionalFormatting sqref="U509">
    <cfRule type="duplicateValues" dxfId="2164" priority="2585"/>
  </conditionalFormatting>
  <conditionalFormatting sqref="U510:U512">
    <cfRule type="duplicateValues" dxfId="2163" priority="2584"/>
  </conditionalFormatting>
  <conditionalFormatting sqref="U513">
    <cfRule type="duplicateValues" dxfId="2162" priority="2583"/>
  </conditionalFormatting>
  <conditionalFormatting sqref="U514">
    <cfRule type="duplicateValues" dxfId="2161" priority="2582"/>
  </conditionalFormatting>
  <conditionalFormatting sqref="U515">
    <cfRule type="duplicateValues" dxfId="2160" priority="2581"/>
  </conditionalFormatting>
  <conditionalFormatting sqref="U516">
    <cfRule type="duplicateValues" dxfId="2159" priority="2580"/>
  </conditionalFormatting>
  <conditionalFormatting sqref="U517">
    <cfRule type="duplicateValues" dxfId="2158" priority="2579"/>
  </conditionalFormatting>
  <conditionalFormatting sqref="U518">
    <cfRule type="duplicateValues" dxfId="2157" priority="2578"/>
  </conditionalFormatting>
  <conditionalFormatting sqref="U519:U521">
    <cfRule type="duplicateValues" dxfId="2156" priority="2577"/>
  </conditionalFormatting>
  <conditionalFormatting sqref="U522">
    <cfRule type="duplicateValues" dxfId="2155" priority="2576"/>
  </conditionalFormatting>
  <conditionalFormatting sqref="U523:U524">
    <cfRule type="duplicateValues" dxfId="2154" priority="2575"/>
  </conditionalFormatting>
  <conditionalFormatting sqref="U523">
    <cfRule type="duplicateValues" dxfId="2153" priority="2574"/>
  </conditionalFormatting>
  <conditionalFormatting sqref="U525">
    <cfRule type="duplicateValues" dxfId="2152" priority="2573"/>
  </conditionalFormatting>
  <conditionalFormatting sqref="U526:U530">
    <cfRule type="duplicateValues" dxfId="2151" priority="2572"/>
  </conditionalFormatting>
  <conditionalFormatting sqref="U531:U532">
    <cfRule type="duplicateValues" dxfId="2150" priority="2571"/>
  </conditionalFormatting>
  <conditionalFormatting sqref="U531">
    <cfRule type="duplicateValues" dxfId="2149" priority="2570"/>
  </conditionalFormatting>
  <conditionalFormatting sqref="U533">
    <cfRule type="duplicateValues" dxfId="2148" priority="2568"/>
  </conditionalFormatting>
  <conditionalFormatting sqref="U534">
    <cfRule type="duplicateValues" dxfId="2147" priority="2567"/>
  </conditionalFormatting>
  <conditionalFormatting sqref="U535:U536">
    <cfRule type="duplicateValues" dxfId="2146" priority="2566"/>
  </conditionalFormatting>
  <conditionalFormatting sqref="U537:U539">
    <cfRule type="duplicateValues" dxfId="2145" priority="2565"/>
  </conditionalFormatting>
  <conditionalFormatting sqref="U540:U541">
    <cfRule type="duplicateValues" dxfId="2144" priority="2564"/>
  </conditionalFormatting>
  <conditionalFormatting sqref="U542:U545">
    <cfRule type="duplicateValues" dxfId="2143" priority="2563"/>
  </conditionalFormatting>
  <conditionalFormatting sqref="U543">
    <cfRule type="duplicateValues" dxfId="2142" priority="2562"/>
  </conditionalFormatting>
  <conditionalFormatting sqref="U545">
    <cfRule type="duplicateValues" dxfId="2141" priority="2559"/>
  </conditionalFormatting>
  <conditionalFormatting sqref="U546">
    <cfRule type="duplicateValues" dxfId="2140" priority="2556"/>
  </conditionalFormatting>
  <conditionalFormatting sqref="U547:U557">
    <cfRule type="duplicateValues" dxfId="2139" priority="2552"/>
  </conditionalFormatting>
  <conditionalFormatting sqref="U549:U557">
    <cfRule type="duplicateValues" dxfId="2138" priority="2548"/>
  </conditionalFormatting>
  <conditionalFormatting sqref="S536">
    <cfRule type="duplicateValues" dxfId="2137" priority="2544"/>
  </conditionalFormatting>
  <conditionalFormatting sqref="S333 S335:S337 S341:S342 S345 S374 S384:S385 S392 S400 S410:S413 S418 S420 S422:S426 S433 S437 S443:S444 S446:S447 S461 S466 S472:S473 S482 S486 S488:S489 S493 S495 S500 S503 S517 S528 S535">
    <cfRule type="duplicateValues" dxfId="2136" priority="2541"/>
  </conditionalFormatting>
  <conditionalFormatting sqref="S334">
    <cfRule type="duplicateValues" dxfId="2135" priority="2540"/>
  </conditionalFormatting>
  <conditionalFormatting sqref="S339:S340 S343:S344 S346 S351:S353 S365:S366 S370:S371 S375:S376 S378:S381 S387 S391 S398 S402 S407:S409 S414:S417 S419 S421">
    <cfRule type="duplicateValues" dxfId="2134" priority="2538"/>
  </conditionalFormatting>
  <conditionalFormatting sqref="S430:S432 S474 S478 S481 S485 S496:S497 S499 S514 S516">
    <cfRule type="duplicateValues" dxfId="2133" priority="2536"/>
  </conditionalFormatting>
  <conditionalFormatting sqref="U558:U561">
    <cfRule type="duplicateValues" dxfId="2132" priority="2534"/>
  </conditionalFormatting>
  <conditionalFormatting sqref="U558">
    <cfRule type="duplicateValues" dxfId="2131" priority="2526"/>
  </conditionalFormatting>
  <conditionalFormatting sqref="U562">
    <cfRule type="duplicateValues" dxfId="2130" priority="2518"/>
  </conditionalFormatting>
  <conditionalFormatting sqref="U563">
    <cfRule type="duplicateValues" dxfId="2129" priority="2510"/>
  </conditionalFormatting>
  <conditionalFormatting sqref="U564">
    <cfRule type="duplicateValues" dxfId="2128" priority="2462"/>
  </conditionalFormatting>
  <conditionalFormatting sqref="U565">
    <cfRule type="duplicateValues" dxfId="2127" priority="2438"/>
  </conditionalFormatting>
  <conditionalFormatting sqref="U566:U567">
    <cfRule type="duplicateValues" dxfId="2126" priority="2437"/>
  </conditionalFormatting>
  <conditionalFormatting sqref="U566">
    <cfRule type="duplicateValues" dxfId="2125" priority="2436"/>
  </conditionalFormatting>
  <conditionalFormatting sqref="U568:U570">
    <cfRule type="duplicateValues" dxfId="2124" priority="2435"/>
  </conditionalFormatting>
  <conditionalFormatting sqref="U570">
    <cfRule type="duplicateValues" dxfId="2123" priority="2434"/>
  </conditionalFormatting>
  <conditionalFormatting sqref="U571:U572">
    <cfRule type="duplicateValues" dxfId="2122" priority="2432"/>
  </conditionalFormatting>
  <conditionalFormatting sqref="U573:U577">
    <cfRule type="duplicateValues" dxfId="2121" priority="2429"/>
  </conditionalFormatting>
  <conditionalFormatting sqref="U578:U579">
    <cfRule type="duplicateValues" dxfId="2120" priority="2426"/>
  </conditionalFormatting>
  <conditionalFormatting sqref="U580:U581">
    <cfRule type="duplicateValues" dxfId="2119" priority="2423"/>
  </conditionalFormatting>
  <conditionalFormatting sqref="U582:U585">
    <cfRule type="duplicateValues" dxfId="2118" priority="2420"/>
  </conditionalFormatting>
  <conditionalFormatting sqref="U586:U588">
    <cfRule type="duplicateValues" dxfId="2117" priority="2417"/>
  </conditionalFormatting>
  <conditionalFormatting sqref="U589">
    <cfRule type="duplicateValues" dxfId="2116" priority="2414"/>
  </conditionalFormatting>
  <conditionalFormatting sqref="U590:U597">
    <cfRule type="duplicateValues" dxfId="2115" priority="2411"/>
  </conditionalFormatting>
  <conditionalFormatting sqref="U598">
    <cfRule type="duplicateValues" dxfId="2114" priority="2408"/>
  </conditionalFormatting>
  <conditionalFormatting sqref="U599:U600">
    <cfRule type="duplicateValues" dxfId="2113" priority="2405"/>
  </conditionalFormatting>
  <conditionalFormatting sqref="U601:U603">
    <cfRule type="duplicateValues" dxfId="2112" priority="2402"/>
  </conditionalFormatting>
  <conditionalFormatting sqref="U604">
    <cfRule type="duplicateValues" dxfId="2111" priority="2399"/>
  </conditionalFormatting>
  <conditionalFormatting sqref="U605">
    <cfRule type="duplicateValues" dxfId="2110" priority="2396"/>
  </conditionalFormatting>
  <conditionalFormatting sqref="U606">
    <cfRule type="duplicateValues" dxfId="2109" priority="2393"/>
  </conditionalFormatting>
  <conditionalFormatting sqref="U607">
    <cfRule type="duplicateValues" dxfId="2108" priority="2390"/>
  </conditionalFormatting>
  <conditionalFormatting sqref="U608">
    <cfRule type="duplicateValues" dxfId="2107" priority="2387"/>
  </conditionalFormatting>
  <conditionalFormatting sqref="U609:U613">
    <cfRule type="duplicateValues" dxfId="2106" priority="2384"/>
  </conditionalFormatting>
  <conditionalFormatting sqref="U611">
    <cfRule type="duplicateValues" dxfId="2105" priority="2381"/>
  </conditionalFormatting>
  <conditionalFormatting sqref="U614">
    <cfRule type="duplicateValues" dxfId="2104" priority="2378"/>
  </conditionalFormatting>
  <conditionalFormatting sqref="U615:U617 U619:U627">
    <cfRule type="duplicateValues" dxfId="2103" priority="2375"/>
  </conditionalFormatting>
  <conditionalFormatting sqref="U628">
    <cfRule type="duplicateValues" dxfId="2102" priority="2372"/>
  </conditionalFormatting>
  <conditionalFormatting sqref="U629:U633">
    <cfRule type="duplicateValues" dxfId="2101" priority="2371"/>
  </conditionalFormatting>
  <conditionalFormatting sqref="U634:U635">
    <cfRule type="duplicateValues" dxfId="2100" priority="2370"/>
  </conditionalFormatting>
  <conditionalFormatting sqref="U636">
    <cfRule type="duplicateValues" dxfId="2099" priority="2369"/>
  </conditionalFormatting>
  <conditionalFormatting sqref="S615:S617">
    <cfRule type="duplicateValues" dxfId="2098" priority="2368"/>
  </conditionalFormatting>
  <conditionalFormatting sqref="T615:T617">
    <cfRule type="duplicateValues" dxfId="2097" priority="2367"/>
  </conditionalFormatting>
  <conditionalFormatting sqref="S619:S633">
    <cfRule type="duplicateValues" dxfId="2096" priority="2366"/>
  </conditionalFormatting>
  <conditionalFormatting sqref="T619:T633">
    <cfRule type="duplicateValues" dxfId="2095" priority="2365"/>
  </conditionalFormatting>
  <conditionalFormatting sqref="U637">
    <cfRule type="duplicateValues" dxfId="2094" priority="2364"/>
  </conditionalFormatting>
  <conditionalFormatting sqref="U638:U640">
    <cfRule type="duplicateValues" dxfId="2093" priority="2363"/>
  </conditionalFormatting>
  <conditionalFormatting sqref="U641">
    <cfRule type="duplicateValues" dxfId="2092" priority="2362"/>
  </conditionalFormatting>
  <conditionalFormatting sqref="U642">
    <cfRule type="duplicateValues" dxfId="2091" priority="2361"/>
  </conditionalFormatting>
  <conditionalFormatting sqref="U643">
    <cfRule type="duplicateValues" dxfId="2090" priority="2360"/>
  </conditionalFormatting>
  <conditionalFormatting sqref="U644:U648">
    <cfRule type="duplicateValues" dxfId="2089" priority="2359"/>
  </conditionalFormatting>
  <conditionalFormatting sqref="U649">
    <cfRule type="duplicateValues" dxfId="2088" priority="2358"/>
  </conditionalFormatting>
  <conditionalFormatting sqref="U650">
    <cfRule type="duplicateValues" dxfId="2087" priority="2357"/>
  </conditionalFormatting>
  <conditionalFormatting sqref="U651:U658">
    <cfRule type="duplicateValues" dxfId="2086" priority="2355"/>
  </conditionalFormatting>
  <conditionalFormatting sqref="U659:U665">
    <cfRule type="duplicateValues" dxfId="2085" priority="2353"/>
  </conditionalFormatting>
  <conditionalFormatting sqref="U666:U670">
    <cfRule type="duplicateValues" dxfId="2084" priority="2351"/>
  </conditionalFormatting>
  <conditionalFormatting sqref="U671">
    <cfRule type="duplicateValues" dxfId="2083" priority="2349"/>
  </conditionalFormatting>
  <conditionalFormatting sqref="U672">
    <cfRule type="duplicateValues" dxfId="2082" priority="2347"/>
  </conditionalFormatting>
  <conditionalFormatting sqref="U670">
    <cfRule type="duplicateValues" dxfId="2081" priority="2345"/>
  </conditionalFormatting>
  <conditionalFormatting sqref="U673">
    <cfRule type="duplicateValues" dxfId="2080" priority="2343"/>
  </conditionalFormatting>
  <conditionalFormatting sqref="U674:U676">
    <cfRule type="duplicateValues" dxfId="2079" priority="2341"/>
  </conditionalFormatting>
  <conditionalFormatting sqref="U674">
    <cfRule type="duplicateValues" dxfId="2078" priority="2339"/>
  </conditionalFormatting>
  <conditionalFormatting sqref="U677:U679">
    <cfRule type="duplicateValues" dxfId="2077" priority="2335"/>
  </conditionalFormatting>
  <conditionalFormatting sqref="U677">
    <cfRule type="duplicateValues" dxfId="2076" priority="2333"/>
  </conditionalFormatting>
  <conditionalFormatting sqref="U680">
    <cfRule type="duplicateValues" dxfId="2075" priority="2327"/>
  </conditionalFormatting>
  <conditionalFormatting sqref="U681:U682">
    <cfRule type="duplicateValues" dxfId="2074" priority="2325"/>
  </conditionalFormatting>
  <conditionalFormatting sqref="U683">
    <cfRule type="duplicateValues" dxfId="2073" priority="2323"/>
  </conditionalFormatting>
  <conditionalFormatting sqref="U685">
    <cfRule type="duplicateValues" dxfId="2072" priority="2321"/>
  </conditionalFormatting>
  <conditionalFormatting sqref="U686">
    <cfRule type="duplicateValues" dxfId="2071" priority="2319"/>
  </conditionalFormatting>
  <conditionalFormatting sqref="U687">
    <cfRule type="duplicateValues" dxfId="2070" priority="2318"/>
  </conditionalFormatting>
  <conditionalFormatting sqref="U688:U689">
    <cfRule type="duplicateValues" dxfId="2069" priority="2317"/>
  </conditionalFormatting>
  <conditionalFormatting sqref="U689">
    <cfRule type="duplicateValues" dxfId="2068" priority="2316"/>
  </conditionalFormatting>
  <conditionalFormatting sqref="U690:U695">
    <cfRule type="duplicateValues" dxfId="2067" priority="2314"/>
  </conditionalFormatting>
  <conditionalFormatting sqref="U696:U699 U701">
    <cfRule type="duplicateValues" dxfId="2066" priority="2311"/>
  </conditionalFormatting>
  <conditionalFormatting sqref="U702">
    <cfRule type="duplicateValues" dxfId="2065" priority="2308"/>
  </conditionalFormatting>
  <conditionalFormatting sqref="U696">
    <cfRule type="duplicateValues" dxfId="2064" priority="2305"/>
  </conditionalFormatting>
  <conditionalFormatting sqref="U703:U707">
    <cfRule type="duplicateValues" dxfId="2063" priority="2302"/>
  </conditionalFormatting>
  <conditionalFormatting sqref="U698">
    <cfRule type="duplicateValues" dxfId="2062" priority="2299"/>
  </conditionalFormatting>
  <conditionalFormatting sqref="U699">
    <cfRule type="duplicateValues" dxfId="2061" priority="2296"/>
  </conditionalFormatting>
  <conditionalFormatting sqref="U708:U713">
    <cfRule type="duplicateValues" dxfId="2060" priority="2293"/>
  </conditionalFormatting>
  <conditionalFormatting sqref="U714:U717">
    <cfRule type="duplicateValues" dxfId="2059" priority="2290"/>
  </conditionalFormatting>
  <conditionalFormatting sqref="U715">
    <cfRule type="duplicateValues" dxfId="2058" priority="2287"/>
  </conditionalFormatting>
  <conditionalFormatting sqref="U718:U720">
    <cfRule type="duplicateValues" dxfId="2057" priority="2281"/>
  </conditionalFormatting>
  <conditionalFormatting sqref="U720">
    <cfRule type="duplicateValues" dxfId="2056" priority="2278"/>
  </conditionalFormatting>
  <conditionalFormatting sqref="U721:U724">
    <cfRule type="duplicateValues" dxfId="2055" priority="2269"/>
  </conditionalFormatting>
  <conditionalFormatting sqref="U725">
    <cfRule type="duplicateValues" dxfId="2054" priority="2257"/>
  </conditionalFormatting>
  <conditionalFormatting sqref="U721">
    <cfRule type="duplicateValues" dxfId="2053" priority="2245"/>
  </conditionalFormatting>
  <conditionalFormatting sqref="U726:U731">
    <cfRule type="duplicateValues" dxfId="2052" priority="2233"/>
  </conditionalFormatting>
  <conditionalFormatting sqref="U728">
    <cfRule type="duplicateValues" dxfId="2051" priority="2221"/>
  </conditionalFormatting>
  <conditionalFormatting sqref="U730">
    <cfRule type="duplicateValues" dxfId="2050" priority="2197"/>
  </conditionalFormatting>
  <conditionalFormatting sqref="U731">
    <cfRule type="duplicateValues" dxfId="2049" priority="2173"/>
  </conditionalFormatting>
  <conditionalFormatting sqref="U733 U739">
    <cfRule type="duplicateValues" dxfId="2048" priority="2149"/>
  </conditionalFormatting>
  <conditionalFormatting sqref="U739">
    <cfRule type="duplicateValues" dxfId="2047" priority="2113"/>
  </conditionalFormatting>
  <conditionalFormatting sqref="U739">
    <cfRule type="duplicateValues" dxfId="2046" priority="2112"/>
  </conditionalFormatting>
  <conditionalFormatting sqref="U739">
    <cfRule type="duplicateValues" dxfId="2045" priority="2111"/>
  </conditionalFormatting>
  <conditionalFormatting sqref="U739">
    <cfRule type="duplicateValues" dxfId="2044" priority="2110"/>
  </conditionalFormatting>
  <conditionalFormatting sqref="U739">
    <cfRule type="duplicateValues" dxfId="2043" priority="2109"/>
  </conditionalFormatting>
  <conditionalFormatting sqref="U739">
    <cfRule type="duplicateValues" dxfId="2042" priority="2108"/>
  </conditionalFormatting>
  <conditionalFormatting sqref="U739">
    <cfRule type="duplicateValues" dxfId="2041" priority="2107"/>
  </conditionalFormatting>
  <conditionalFormatting sqref="U739">
    <cfRule type="duplicateValues" dxfId="2040" priority="2106"/>
  </conditionalFormatting>
  <conditionalFormatting sqref="U739">
    <cfRule type="duplicateValues" dxfId="2039" priority="2105"/>
  </conditionalFormatting>
  <conditionalFormatting sqref="U739">
    <cfRule type="duplicateValues" dxfId="2038" priority="2104"/>
  </conditionalFormatting>
  <conditionalFormatting sqref="U739">
    <cfRule type="duplicateValues" dxfId="2037" priority="2103"/>
  </conditionalFormatting>
  <conditionalFormatting sqref="U739">
    <cfRule type="duplicateValues" dxfId="2036" priority="2102"/>
  </conditionalFormatting>
  <conditionalFormatting sqref="U739">
    <cfRule type="duplicateValues" dxfId="2035" priority="2101"/>
  </conditionalFormatting>
  <conditionalFormatting sqref="U739">
    <cfRule type="duplicateValues" dxfId="2034" priority="2100"/>
  </conditionalFormatting>
  <conditionalFormatting sqref="U739">
    <cfRule type="duplicateValues" dxfId="2033" priority="2099"/>
  </conditionalFormatting>
  <conditionalFormatting sqref="U739">
    <cfRule type="duplicateValues" dxfId="2032" priority="2098"/>
  </conditionalFormatting>
  <conditionalFormatting sqref="U739">
    <cfRule type="duplicateValues" dxfId="2031" priority="2097"/>
  </conditionalFormatting>
  <conditionalFormatting sqref="U739">
    <cfRule type="duplicateValues" dxfId="2030" priority="2096"/>
  </conditionalFormatting>
  <conditionalFormatting sqref="U739">
    <cfRule type="duplicateValues" dxfId="2029" priority="2095"/>
  </conditionalFormatting>
  <conditionalFormatting sqref="U739">
    <cfRule type="duplicateValues" dxfId="2028" priority="2094"/>
  </conditionalFormatting>
  <conditionalFormatting sqref="U739">
    <cfRule type="duplicateValues" dxfId="2027" priority="2093"/>
  </conditionalFormatting>
  <conditionalFormatting sqref="U739">
    <cfRule type="duplicateValues" dxfId="2026" priority="2092"/>
  </conditionalFormatting>
  <conditionalFormatting sqref="U739">
    <cfRule type="duplicateValues" dxfId="2025" priority="2091"/>
  </conditionalFormatting>
  <conditionalFormatting sqref="U739">
    <cfRule type="duplicateValues" dxfId="2024" priority="2090"/>
  </conditionalFormatting>
  <conditionalFormatting sqref="U739">
    <cfRule type="duplicateValues" dxfId="2023" priority="2089"/>
  </conditionalFormatting>
  <conditionalFormatting sqref="U739">
    <cfRule type="duplicateValues" dxfId="2022" priority="2088"/>
  </conditionalFormatting>
  <conditionalFormatting sqref="U739">
    <cfRule type="duplicateValues" dxfId="2021" priority="2087"/>
  </conditionalFormatting>
  <conditionalFormatting sqref="U739">
    <cfRule type="duplicateValues" dxfId="2020" priority="2086"/>
  </conditionalFormatting>
  <conditionalFormatting sqref="U739">
    <cfRule type="duplicateValues" dxfId="2019" priority="2085"/>
  </conditionalFormatting>
  <conditionalFormatting sqref="U739">
    <cfRule type="duplicateValues" dxfId="2018" priority="2084"/>
  </conditionalFormatting>
  <conditionalFormatting sqref="U739">
    <cfRule type="duplicateValues" dxfId="2017" priority="2083"/>
  </conditionalFormatting>
  <conditionalFormatting sqref="U739">
    <cfRule type="duplicateValues" dxfId="2016" priority="2082"/>
  </conditionalFormatting>
  <conditionalFormatting sqref="U739">
    <cfRule type="duplicateValues" dxfId="2015" priority="2081"/>
  </conditionalFormatting>
  <conditionalFormatting sqref="U739">
    <cfRule type="duplicateValues" dxfId="2014" priority="2080"/>
  </conditionalFormatting>
  <conditionalFormatting sqref="U739">
    <cfRule type="duplicateValues" dxfId="2013" priority="2079"/>
  </conditionalFormatting>
  <conditionalFormatting sqref="U739">
    <cfRule type="duplicateValues" dxfId="2012" priority="2078"/>
  </conditionalFormatting>
  <conditionalFormatting sqref="U733">
    <cfRule type="duplicateValues" dxfId="2011" priority="2077"/>
  </conditionalFormatting>
  <conditionalFormatting sqref="U734:U738 U740:U743">
    <cfRule type="duplicateValues" dxfId="2010" priority="2041"/>
  </conditionalFormatting>
  <conditionalFormatting sqref="U744">
    <cfRule type="duplicateValues" dxfId="2009" priority="1969"/>
  </conditionalFormatting>
  <conditionalFormatting sqref="U744">
    <cfRule type="duplicateValues" dxfId="2008" priority="1968"/>
  </conditionalFormatting>
  <conditionalFormatting sqref="U744">
    <cfRule type="duplicateValues" dxfId="2007" priority="1967"/>
  </conditionalFormatting>
  <conditionalFormatting sqref="U744">
    <cfRule type="duplicateValues" dxfId="2006" priority="1966"/>
  </conditionalFormatting>
  <conditionalFormatting sqref="U744">
    <cfRule type="duplicateValues" dxfId="2005" priority="1965"/>
  </conditionalFormatting>
  <conditionalFormatting sqref="U744">
    <cfRule type="duplicateValues" dxfId="2004" priority="1964"/>
  </conditionalFormatting>
  <conditionalFormatting sqref="U744">
    <cfRule type="duplicateValues" dxfId="2003" priority="1963"/>
  </conditionalFormatting>
  <conditionalFormatting sqref="U744">
    <cfRule type="duplicateValues" dxfId="2002" priority="1962"/>
  </conditionalFormatting>
  <conditionalFormatting sqref="U744">
    <cfRule type="duplicateValues" dxfId="2001" priority="1961"/>
  </conditionalFormatting>
  <conditionalFormatting sqref="U744">
    <cfRule type="duplicateValues" dxfId="2000" priority="1960"/>
  </conditionalFormatting>
  <conditionalFormatting sqref="U744">
    <cfRule type="duplicateValues" dxfId="1999" priority="1959"/>
  </conditionalFormatting>
  <conditionalFormatting sqref="U744">
    <cfRule type="duplicateValues" dxfId="1998" priority="1958"/>
  </conditionalFormatting>
  <conditionalFormatting sqref="U744">
    <cfRule type="duplicateValues" dxfId="1997" priority="1957"/>
  </conditionalFormatting>
  <conditionalFormatting sqref="U744">
    <cfRule type="duplicateValues" dxfId="1996" priority="1956"/>
  </conditionalFormatting>
  <conditionalFormatting sqref="U744">
    <cfRule type="duplicateValues" dxfId="1995" priority="1955"/>
  </conditionalFormatting>
  <conditionalFormatting sqref="U744">
    <cfRule type="duplicateValues" dxfId="1994" priority="1954"/>
  </conditionalFormatting>
  <conditionalFormatting sqref="U744">
    <cfRule type="duplicateValues" dxfId="1993" priority="1953"/>
  </conditionalFormatting>
  <conditionalFormatting sqref="U744">
    <cfRule type="duplicateValues" dxfId="1992" priority="1952"/>
  </conditionalFormatting>
  <conditionalFormatting sqref="U744">
    <cfRule type="duplicateValues" dxfId="1991" priority="1951"/>
  </conditionalFormatting>
  <conditionalFormatting sqref="U744">
    <cfRule type="duplicateValues" dxfId="1990" priority="1950"/>
  </conditionalFormatting>
  <conditionalFormatting sqref="U744">
    <cfRule type="duplicateValues" dxfId="1989" priority="1949"/>
  </conditionalFormatting>
  <conditionalFormatting sqref="U744">
    <cfRule type="duplicateValues" dxfId="1988" priority="1948"/>
  </conditionalFormatting>
  <conditionalFormatting sqref="U744">
    <cfRule type="duplicateValues" dxfId="1987" priority="1947"/>
  </conditionalFormatting>
  <conditionalFormatting sqref="U744">
    <cfRule type="duplicateValues" dxfId="1986" priority="1946"/>
  </conditionalFormatting>
  <conditionalFormatting sqref="U744">
    <cfRule type="duplicateValues" dxfId="1985" priority="1945"/>
  </conditionalFormatting>
  <conditionalFormatting sqref="U744">
    <cfRule type="duplicateValues" dxfId="1984" priority="1944"/>
  </conditionalFormatting>
  <conditionalFormatting sqref="U744">
    <cfRule type="duplicateValues" dxfId="1983" priority="1943"/>
  </conditionalFormatting>
  <conditionalFormatting sqref="U744">
    <cfRule type="duplicateValues" dxfId="1982" priority="1942"/>
  </conditionalFormatting>
  <conditionalFormatting sqref="U744">
    <cfRule type="duplicateValues" dxfId="1981" priority="1941"/>
  </conditionalFormatting>
  <conditionalFormatting sqref="U744">
    <cfRule type="duplicateValues" dxfId="1980" priority="1940"/>
  </conditionalFormatting>
  <conditionalFormatting sqref="U744">
    <cfRule type="duplicateValues" dxfId="1979" priority="1939"/>
  </conditionalFormatting>
  <conditionalFormatting sqref="U744">
    <cfRule type="duplicateValues" dxfId="1978" priority="1938"/>
  </conditionalFormatting>
  <conditionalFormatting sqref="U744">
    <cfRule type="duplicateValues" dxfId="1977" priority="1937"/>
  </conditionalFormatting>
  <conditionalFormatting sqref="U744">
    <cfRule type="duplicateValues" dxfId="1976" priority="1936"/>
  </conditionalFormatting>
  <conditionalFormatting sqref="U744">
    <cfRule type="duplicateValues" dxfId="1975" priority="1935"/>
  </conditionalFormatting>
  <conditionalFormatting sqref="U744">
    <cfRule type="duplicateValues" dxfId="1974" priority="1934"/>
  </conditionalFormatting>
  <conditionalFormatting sqref="U744">
    <cfRule type="duplicateValues" dxfId="1973" priority="1933"/>
  </conditionalFormatting>
  <conditionalFormatting sqref="U744">
    <cfRule type="duplicateValues" dxfId="1972" priority="1932"/>
  </conditionalFormatting>
  <conditionalFormatting sqref="U745:U746">
    <cfRule type="duplicateValues" dxfId="1971" priority="1931"/>
  </conditionalFormatting>
  <conditionalFormatting sqref="U745:U746">
    <cfRule type="duplicateValues" dxfId="1970" priority="1930"/>
  </conditionalFormatting>
  <conditionalFormatting sqref="U745:U746">
    <cfRule type="duplicateValues" dxfId="1969" priority="1929"/>
  </conditionalFormatting>
  <conditionalFormatting sqref="U745:U746">
    <cfRule type="duplicateValues" dxfId="1968" priority="1928"/>
  </conditionalFormatting>
  <conditionalFormatting sqref="U745:U746">
    <cfRule type="duplicateValues" dxfId="1967" priority="1927"/>
  </conditionalFormatting>
  <conditionalFormatting sqref="U745:U746">
    <cfRule type="duplicateValues" dxfId="1966" priority="1926"/>
  </conditionalFormatting>
  <conditionalFormatting sqref="U745:U746">
    <cfRule type="duplicateValues" dxfId="1965" priority="1925"/>
  </conditionalFormatting>
  <conditionalFormatting sqref="U745:U746">
    <cfRule type="duplicateValues" dxfId="1964" priority="1924"/>
  </conditionalFormatting>
  <conditionalFormatting sqref="U745:U746">
    <cfRule type="duplicateValues" dxfId="1963" priority="1923"/>
  </conditionalFormatting>
  <conditionalFormatting sqref="U745:U746">
    <cfRule type="duplicateValues" dxfId="1962" priority="1922"/>
  </conditionalFormatting>
  <conditionalFormatting sqref="U745:U746">
    <cfRule type="duplicateValues" dxfId="1961" priority="1921"/>
  </conditionalFormatting>
  <conditionalFormatting sqref="U745:U746">
    <cfRule type="duplicateValues" dxfId="1960" priority="1920"/>
  </conditionalFormatting>
  <conditionalFormatting sqref="U745:U746">
    <cfRule type="duplicateValues" dxfId="1959" priority="1919"/>
  </conditionalFormatting>
  <conditionalFormatting sqref="U745:U746">
    <cfRule type="duplicateValues" dxfId="1958" priority="1918"/>
  </conditionalFormatting>
  <conditionalFormatting sqref="U745:U746">
    <cfRule type="duplicateValues" dxfId="1957" priority="1917"/>
  </conditionalFormatting>
  <conditionalFormatting sqref="U745:U746">
    <cfRule type="duplicateValues" dxfId="1956" priority="1916"/>
  </conditionalFormatting>
  <conditionalFormatting sqref="U745:U746">
    <cfRule type="duplicateValues" dxfId="1955" priority="1915"/>
  </conditionalFormatting>
  <conditionalFormatting sqref="U745:U746">
    <cfRule type="duplicateValues" dxfId="1954" priority="1914"/>
  </conditionalFormatting>
  <conditionalFormatting sqref="U745:U746">
    <cfRule type="duplicateValues" dxfId="1953" priority="1913"/>
  </conditionalFormatting>
  <conditionalFormatting sqref="U745:U746">
    <cfRule type="duplicateValues" dxfId="1952" priority="1912"/>
  </conditionalFormatting>
  <conditionalFormatting sqref="U745:U746">
    <cfRule type="duplicateValues" dxfId="1951" priority="1911"/>
  </conditionalFormatting>
  <conditionalFormatting sqref="U745:U746">
    <cfRule type="duplicateValues" dxfId="1950" priority="1910"/>
  </conditionalFormatting>
  <conditionalFormatting sqref="U745:U746">
    <cfRule type="duplicateValues" dxfId="1949" priority="1909"/>
  </conditionalFormatting>
  <conditionalFormatting sqref="U745:U746">
    <cfRule type="duplicateValues" dxfId="1948" priority="1908"/>
  </conditionalFormatting>
  <conditionalFormatting sqref="U745:U746">
    <cfRule type="duplicateValues" dxfId="1947" priority="1907"/>
  </conditionalFormatting>
  <conditionalFormatting sqref="U745:U746">
    <cfRule type="duplicateValues" dxfId="1946" priority="1906"/>
  </conditionalFormatting>
  <conditionalFormatting sqref="U745:U746">
    <cfRule type="duplicateValues" dxfId="1945" priority="1905"/>
  </conditionalFormatting>
  <conditionalFormatting sqref="U745:U746">
    <cfRule type="duplicateValues" dxfId="1944" priority="1904"/>
  </conditionalFormatting>
  <conditionalFormatting sqref="U745:U746">
    <cfRule type="duplicateValues" dxfId="1943" priority="1903"/>
  </conditionalFormatting>
  <conditionalFormatting sqref="U745:U746">
    <cfRule type="duplicateValues" dxfId="1942" priority="1902"/>
  </conditionalFormatting>
  <conditionalFormatting sqref="U745:U746">
    <cfRule type="duplicateValues" dxfId="1941" priority="1901"/>
  </conditionalFormatting>
  <conditionalFormatting sqref="U745:U746">
    <cfRule type="duplicateValues" dxfId="1940" priority="1900"/>
  </conditionalFormatting>
  <conditionalFormatting sqref="U745:U746">
    <cfRule type="duplicateValues" dxfId="1939" priority="1899"/>
  </conditionalFormatting>
  <conditionalFormatting sqref="U745:U746">
    <cfRule type="duplicateValues" dxfId="1938" priority="1898"/>
  </conditionalFormatting>
  <conditionalFormatting sqref="U745:U746">
    <cfRule type="duplicateValues" dxfId="1937" priority="1897"/>
  </conditionalFormatting>
  <conditionalFormatting sqref="U745:U746">
    <cfRule type="duplicateValues" dxfId="1936" priority="1896"/>
  </conditionalFormatting>
  <conditionalFormatting sqref="U745:U746">
    <cfRule type="duplicateValues" dxfId="1935" priority="1895"/>
  </conditionalFormatting>
  <conditionalFormatting sqref="U745:U746">
    <cfRule type="duplicateValues" dxfId="1934" priority="1894"/>
  </conditionalFormatting>
  <conditionalFormatting sqref="U747">
    <cfRule type="duplicateValues" dxfId="1933" priority="1893"/>
  </conditionalFormatting>
  <conditionalFormatting sqref="U747">
    <cfRule type="duplicateValues" dxfId="1932" priority="1892"/>
  </conditionalFormatting>
  <conditionalFormatting sqref="U747">
    <cfRule type="duplicateValues" dxfId="1931" priority="1891"/>
  </conditionalFormatting>
  <conditionalFormatting sqref="U747">
    <cfRule type="duplicateValues" dxfId="1930" priority="1890"/>
  </conditionalFormatting>
  <conditionalFormatting sqref="U747">
    <cfRule type="duplicateValues" dxfId="1929" priority="1889"/>
  </conditionalFormatting>
  <conditionalFormatting sqref="U747">
    <cfRule type="duplicateValues" dxfId="1928" priority="1888"/>
  </conditionalFormatting>
  <conditionalFormatting sqref="U747">
    <cfRule type="duplicateValues" dxfId="1927" priority="1887"/>
  </conditionalFormatting>
  <conditionalFormatting sqref="U747">
    <cfRule type="duplicateValues" dxfId="1926" priority="1886"/>
  </conditionalFormatting>
  <conditionalFormatting sqref="U747">
    <cfRule type="duplicateValues" dxfId="1925" priority="1885"/>
  </conditionalFormatting>
  <conditionalFormatting sqref="U747">
    <cfRule type="duplicateValues" dxfId="1924" priority="1884"/>
  </conditionalFormatting>
  <conditionalFormatting sqref="U747">
    <cfRule type="duplicateValues" dxfId="1923" priority="1883"/>
  </conditionalFormatting>
  <conditionalFormatting sqref="U747">
    <cfRule type="duplicateValues" dxfId="1922" priority="1882"/>
  </conditionalFormatting>
  <conditionalFormatting sqref="U747">
    <cfRule type="duplicateValues" dxfId="1921" priority="1881"/>
  </conditionalFormatting>
  <conditionalFormatting sqref="U747">
    <cfRule type="duplicateValues" dxfId="1920" priority="1880"/>
  </conditionalFormatting>
  <conditionalFormatting sqref="U747">
    <cfRule type="duplicateValues" dxfId="1919" priority="1879"/>
  </conditionalFormatting>
  <conditionalFormatting sqref="U747">
    <cfRule type="duplicateValues" dxfId="1918" priority="1878"/>
  </conditionalFormatting>
  <conditionalFormatting sqref="U747">
    <cfRule type="duplicateValues" dxfId="1917" priority="1877"/>
  </conditionalFormatting>
  <conditionalFormatting sqref="U747">
    <cfRule type="duplicateValues" dxfId="1916" priority="1876"/>
  </conditionalFormatting>
  <conditionalFormatting sqref="U747">
    <cfRule type="duplicateValues" dxfId="1915" priority="1875"/>
  </conditionalFormatting>
  <conditionalFormatting sqref="U747">
    <cfRule type="duplicateValues" dxfId="1914" priority="1874"/>
  </conditionalFormatting>
  <conditionalFormatting sqref="U747">
    <cfRule type="duplicateValues" dxfId="1913" priority="1873"/>
  </conditionalFormatting>
  <conditionalFormatting sqref="U747">
    <cfRule type="duplicateValues" dxfId="1912" priority="1872"/>
  </conditionalFormatting>
  <conditionalFormatting sqref="U747">
    <cfRule type="duplicateValues" dxfId="1911" priority="1871"/>
  </conditionalFormatting>
  <conditionalFormatting sqref="U747">
    <cfRule type="duplicateValues" dxfId="1910" priority="1870"/>
  </conditionalFormatting>
  <conditionalFormatting sqref="U747">
    <cfRule type="duplicateValues" dxfId="1909" priority="1869"/>
  </conditionalFormatting>
  <conditionalFormatting sqref="U747">
    <cfRule type="duplicateValues" dxfId="1908" priority="1868"/>
  </conditionalFormatting>
  <conditionalFormatting sqref="U747">
    <cfRule type="duplicateValues" dxfId="1907" priority="1867"/>
  </conditionalFormatting>
  <conditionalFormatting sqref="U747">
    <cfRule type="duplicateValues" dxfId="1906" priority="1866"/>
  </conditionalFormatting>
  <conditionalFormatting sqref="U747">
    <cfRule type="duplicateValues" dxfId="1905" priority="1865"/>
  </conditionalFormatting>
  <conditionalFormatting sqref="U747">
    <cfRule type="duplicateValues" dxfId="1904" priority="1864"/>
  </conditionalFormatting>
  <conditionalFormatting sqref="U747">
    <cfRule type="duplicateValues" dxfId="1903" priority="1863"/>
  </conditionalFormatting>
  <conditionalFormatting sqref="U747">
    <cfRule type="duplicateValues" dxfId="1902" priority="1862"/>
  </conditionalFormatting>
  <conditionalFormatting sqref="U747">
    <cfRule type="duplicateValues" dxfId="1901" priority="1861"/>
  </conditionalFormatting>
  <conditionalFormatting sqref="U747">
    <cfRule type="duplicateValues" dxfId="1900" priority="1860"/>
  </conditionalFormatting>
  <conditionalFormatting sqref="U747">
    <cfRule type="duplicateValues" dxfId="1899" priority="1859"/>
  </conditionalFormatting>
  <conditionalFormatting sqref="U747">
    <cfRule type="duplicateValues" dxfId="1898" priority="1858"/>
  </conditionalFormatting>
  <conditionalFormatting sqref="U747">
    <cfRule type="duplicateValues" dxfId="1897" priority="1857"/>
  </conditionalFormatting>
  <conditionalFormatting sqref="U747">
    <cfRule type="duplicateValues" dxfId="1896" priority="1856"/>
  </conditionalFormatting>
  <conditionalFormatting sqref="U748:U754">
    <cfRule type="duplicateValues" dxfId="1895" priority="1855"/>
  </conditionalFormatting>
  <conditionalFormatting sqref="U748:U754">
    <cfRule type="duplicateValues" dxfId="1894" priority="1854"/>
  </conditionalFormatting>
  <conditionalFormatting sqref="U748:U754">
    <cfRule type="duplicateValues" dxfId="1893" priority="1853"/>
  </conditionalFormatting>
  <conditionalFormatting sqref="U748:U754">
    <cfRule type="duplicateValues" dxfId="1892" priority="1852"/>
  </conditionalFormatting>
  <conditionalFormatting sqref="U748:U754">
    <cfRule type="duplicateValues" dxfId="1891" priority="1851"/>
  </conditionalFormatting>
  <conditionalFormatting sqref="U748:U754">
    <cfRule type="duplicateValues" dxfId="1890" priority="1850"/>
  </conditionalFormatting>
  <conditionalFormatting sqref="U748:U754">
    <cfRule type="duplicateValues" dxfId="1889" priority="1849"/>
  </conditionalFormatting>
  <conditionalFormatting sqref="U748:U754">
    <cfRule type="duplicateValues" dxfId="1888" priority="1848"/>
  </conditionalFormatting>
  <conditionalFormatting sqref="U748:U754">
    <cfRule type="duplicateValues" dxfId="1887" priority="1847"/>
  </conditionalFormatting>
  <conditionalFormatting sqref="U748:U754">
    <cfRule type="duplicateValues" dxfId="1886" priority="1846"/>
  </conditionalFormatting>
  <conditionalFormatting sqref="U748:U754">
    <cfRule type="duplicateValues" dxfId="1885" priority="1845"/>
  </conditionalFormatting>
  <conditionalFormatting sqref="U748:U754">
    <cfRule type="duplicateValues" dxfId="1884" priority="1844"/>
  </conditionalFormatting>
  <conditionalFormatting sqref="U748:U754">
    <cfRule type="duplicateValues" dxfId="1883" priority="1843"/>
  </conditionalFormatting>
  <conditionalFormatting sqref="U748:U754">
    <cfRule type="duplicateValues" dxfId="1882" priority="1842"/>
  </conditionalFormatting>
  <conditionalFormatting sqref="U748:U754">
    <cfRule type="duplicateValues" dxfId="1881" priority="1841"/>
  </conditionalFormatting>
  <conditionalFormatting sqref="U748:U754">
    <cfRule type="duplicateValues" dxfId="1880" priority="1840"/>
  </conditionalFormatting>
  <conditionalFormatting sqref="U748:U754">
    <cfRule type="duplicateValues" dxfId="1879" priority="1839"/>
  </conditionalFormatting>
  <conditionalFormatting sqref="U748:U754">
    <cfRule type="duplicateValues" dxfId="1878" priority="1838"/>
  </conditionalFormatting>
  <conditionalFormatting sqref="U748:U754">
    <cfRule type="duplicateValues" dxfId="1877" priority="1837"/>
  </conditionalFormatting>
  <conditionalFormatting sqref="U748:U754">
    <cfRule type="duplicateValues" dxfId="1876" priority="1836"/>
  </conditionalFormatting>
  <conditionalFormatting sqref="U748:U754">
    <cfRule type="duplicateValues" dxfId="1875" priority="1835"/>
  </conditionalFormatting>
  <conditionalFormatting sqref="U748:U754">
    <cfRule type="duplicateValues" dxfId="1874" priority="1834"/>
  </conditionalFormatting>
  <conditionalFormatting sqref="U748:U754">
    <cfRule type="duplicateValues" dxfId="1873" priority="1833"/>
  </conditionalFormatting>
  <conditionalFormatting sqref="U748:U754">
    <cfRule type="duplicateValues" dxfId="1872" priority="1832"/>
  </conditionalFormatting>
  <conditionalFormatting sqref="U748:U754">
    <cfRule type="duplicateValues" dxfId="1871" priority="1831"/>
  </conditionalFormatting>
  <conditionalFormatting sqref="U748:U754">
    <cfRule type="duplicateValues" dxfId="1870" priority="1830"/>
  </conditionalFormatting>
  <conditionalFormatting sqref="U748:U754">
    <cfRule type="duplicateValues" dxfId="1869" priority="1829"/>
  </conditionalFormatting>
  <conditionalFormatting sqref="U748:U754">
    <cfRule type="duplicateValues" dxfId="1868" priority="1828"/>
  </conditionalFormatting>
  <conditionalFormatting sqref="U748:U754">
    <cfRule type="duplicateValues" dxfId="1867" priority="1827"/>
  </conditionalFormatting>
  <conditionalFormatting sqref="U748:U754">
    <cfRule type="duplicateValues" dxfId="1866" priority="1826"/>
  </conditionalFormatting>
  <conditionalFormatting sqref="U748:U754">
    <cfRule type="duplicateValues" dxfId="1865" priority="1825"/>
  </conditionalFormatting>
  <conditionalFormatting sqref="U748:U754">
    <cfRule type="duplicateValues" dxfId="1864" priority="1824"/>
  </conditionalFormatting>
  <conditionalFormatting sqref="U748:U754">
    <cfRule type="duplicateValues" dxfId="1863" priority="1823"/>
  </conditionalFormatting>
  <conditionalFormatting sqref="U748:U754">
    <cfRule type="duplicateValues" dxfId="1862" priority="1822"/>
  </conditionalFormatting>
  <conditionalFormatting sqref="U748:U754">
    <cfRule type="duplicateValues" dxfId="1861" priority="1821"/>
  </conditionalFormatting>
  <conditionalFormatting sqref="U748:U754">
    <cfRule type="duplicateValues" dxfId="1860" priority="1820"/>
  </conditionalFormatting>
  <conditionalFormatting sqref="U748:U754">
    <cfRule type="duplicateValues" dxfId="1859" priority="1819"/>
  </conditionalFormatting>
  <conditionalFormatting sqref="U748:U754">
    <cfRule type="duplicateValues" dxfId="1858" priority="1818"/>
  </conditionalFormatting>
  <conditionalFormatting sqref="U753">
    <cfRule type="duplicateValues" dxfId="1857" priority="1817"/>
  </conditionalFormatting>
  <conditionalFormatting sqref="U753">
    <cfRule type="duplicateValues" dxfId="1856" priority="1816"/>
  </conditionalFormatting>
  <conditionalFormatting sqref="U753">
    <cfRule type="duplicateValues" dxfId="1855" priority="1815"/>
  </conditionalFormatting>
  <conditionalFormatting sqref="U753">
    <cfRule type="duplicateValues" dxfId="1854" priority="1814"/>
  </conditionalFormatting>
  <conditionalFormatting sqref="U753">
    <cfRule type="duplicateValues" dxfId="1853" priority="1813"/>
  </conditionalFormatting>
  <conditionalFormatting sqref="U753">
    <cfRule type="duplicateValues" dxfId="1852" priority="1812"/>
  </conditionalFormatting>
  <conditionalFormatting sqref="U753">
    <cfRule type="duplicateValues" dxfId="1851" priority="1811"/>
  </conditionalFormatting>
  <conditionalFormatting sqref="U753">
    <cfRule type="duplicateValues" dxfId="1850" priority="1810"/>
  </conditionalFormatting>
  <conditionalFormatting sqref="U753">
    <cfRule type="duplicateValues" dxfId="1849" priority="1809"/>
  </conditionalFormatting>
  <conditionalFormatting sqref="U753">
    <cfRule type="duplicateValues" dxfId="1848" priority="1808"/>
  </conditionalFormatting>
  <conditionalFormatting sqref="U753">
    <cfRule type="duplicateValues" dxfId="1847" priority="1807"/>
  </conditionalFormatting>
  <conditionalFormatting sqref="U753">
    <cfRule type="duplicateValues" dxfId="1846" priority="1806"/>
  </conditionalFormatting>
  <conditionalFormatting sqref="U753">
    <cfRule type="duplicateValues" dxfId="1845" priority="1805"/>
  </conditionalFormatting>
  <conditionalFormatting sqref="U753">
    <cfRule type="duplicateValues" dxfId="1844" priority="1804"/>
  </conditionalFormatting>
  <conditionalFormatting sqref="U753">
    <cfRule type="duplicateValues" dxfId="1843" priority="1803"/>
  </conditionalFormatting>
  <conditionalFormatting sqref="U753">
    <cfRule type="duplicateValues" dxfId="1842" priority="1802"/>
  </conditionalFormatting>
  <conditionalFormatting sqref="U753">
    <cfRule type="duplicateValues" dxfId="1841" priority="1801"/>
  </conditionalFormatting>
  <conditionalFormatting sqref="U753">
    <cfRule type="duplicateValues" dxfId="1840" priority="1800"/>
  </conditionalFormatting>
  <conditionalFormatting sqref="U753">
    <cfRule type="duplicateValues" dxfId="1839" priority="1799"/>
  </conditionalFormatting>
  <conditionalFormatting sqref="U753">
    <cfRule type="duplicateValues" dxfId="1838" priority="1798"/>
  </conditionalFormatting>
  <conditionalFormatting sqref="U753">
    <cfRule type="duplicateValues" dxfId="1837" priority="1797"/>
  </conditionalFormatting>
  <conditionalFormatting sqref="U753">
    <cfRule type="duplicateValues" dxfId="1836" priority="1796"/>
  </conditionalFormatting>
  <conditionalFormatting sqref="U753">
    <cfRule type="duplicateValues" dxfId="1835" priority="1795"/>
  </conditionalFormatting>
  <conditionalFormatting sqref="U753">
    <cfRule type="duplicateValues" dxfId="1834" priority="1794"/>
  </conditionalFormatting>
  <conditionalFormatting sqref="U753">
    <cfRule type="duplicateValues" dxfId="1833" priority="1793"/>
  </conditionalFormatting>
  <conditionalFormatting sqref="U753">
    <cfRule type="duplicateValues" dxfId="1832" priority="1792"/>
  </conditionalFormatting>
  <conditionalFormatting sqref="U753">
    <cfRule type="duplicateValues" dxfId="1831" priority="1791"/>
  </conditionalFormatting>
  <conditionalFormatting sqref="U753">
    <cfRule type="duplicateValues" dxfId="1830" priority="1790"/>
  </conditionalFormatting>
  <conditionalFormatting sqref="U753">
    <cfRule type="duplicateValues" dxfId="1829" priority="1789"/>
  </conditionalFormatting>
  <conditionalFormatting sqref="U753">
    <cfRule type="duplicateValues" dxfId="1828" priority="1788"/>
  </conditionalFormatting>
  <conditionalFormatting sqref="U753">
    <cfRule type="duplicateValues" dxfId="1827" priority="1787"/>
  </conditionalFormatting>
  <conditionalFormatting sqref="U753">
    <cfRule type="duplicateValues" dxfId="1826" priority="1786"/>
  </conditionalFormatting>
  <conditionalFormatting sqref="U753">
    <cfRule type="duplicateValues" dxfId="1825" priority="1785"/>
  </conditionalFormatting>
  <conditionalFormatting sqref="U753">
    <cfRule type="duplicateValues" dxfId="1824" priority="1784"/>
  </conditionalFormatting>
  <conditionalFormatting sqref="U753">
    <cfRule type="duplicateValues" dxfId="1823" priority="1783"/>
  </conditionalFormatting>
  <conditionalFormatting sqref="U753">
    <cfRule type="duplicateValues" dxfId="1822" priority="1782"/>
  </conditionalFormatting>
  <conditionalFormatting sqref="U753">
    <cfRule type="duplicateValues" dxfId="1821" priority="1781"/>
  </conditionalFormatting>
  <conditionalFormatting sqref="U755">
    <cfRule type="duplicateValues" dxfId="1820" priority="1780"/>
  </conditionalFormatting>
  <conditionalFormatting sqref="U755">
    <cfRule type="duplicateValues" dxfId="1819" priority="1779"/>
  </conditionalFormatting>
  <conditionalFormatting sqref="U755">
    <cfRule type="duplicateValues" dxfId="1818" priority="1778"/>
  </conditionalFormatting>
  <conditionalFormatting sqref="U755">
    <cfRule type="duplicateValues" dxfId="1817" priority="1777"/>
  </conditionalFormatting>
  <conditionalFormatting sqref="U755">
    <cfRule type="duplicateValues" dxfId="1816" priority="1776"/>
  </conditionalFormatting>
  <conditionalFormatting sqref="U755">
    <cfRule type="duplicateValues" dxfId="1815" priority="1775"/>
  </conditionalFormatting>
  <conditionalFormatting sqref="U755">
    <cfRule type="duplicateValues" dxfId="1814" priority="1774"/>
  </conditionalFormatting>
  <conditionalFormatting sqref="U755">
    <cfRule type="duplicateValues" dxfId="1813" priority="1773"/>
  </conditionalFormatting>
  <conditionalFormatting sqref="U755">
    <cfRule type="duplicateValues" dxfId="1812" priority="1772"/>
  </conditionalFormatting>
  <conditionalFormatting sqref="U755">
    <cfRule type="duplicateValues" dxfId="1811" priority="1771"/>
  </conditionalFormatting>
  <conditionalFormatting sqref="U755">
    <cfRule type="duplicateValues" dxfId="1810" priority="1770"/>
  </conditionalFormatting>
  <conditionalFormatting sqref="U755">
    <cfRule type="duplicateValues" dxfId="1809" priority="1769"/>
  </conditionalFormatting>
  <conditionalFormatting sqref="U755">
    <cfRule type="duplicateValues" dxfId="1808" priority="1768"/>
  </conditionalFormatting>
  <conditionalFormatting sqref="U755">
    <cfRule type="duplicateValues" dxfId="1807" priority="1767"/>
  </conditionalFormatting>
  <conditionalFormatting sqref="U755">
    <cfRule type="duplicateValues" dxfId="1806" priority="1766"/>
  </conditionalFormatting>
  <conditionalFormatting sqref="U755">
    <cfRule type="duplicateValues" dxfId="1805" priority="1765"/>
  </conditionalFormatting>
  <conditionalFormatting sqref="U755">
    <cfRule type="duplicateValues" dxfId="1804" priority="1764"/>
  </conditionalFormatting>
  <conditionalFormatting sqref="U755">
    <cfRule type="duplicateValues" dxfId="1803" priority="1763"/>
  </conditionalFormatting>
  <conditionalFormatting sqref="U755">
    <cfRule type="duplicateValues" dxfId="1802" priority="1762"/>
  </conditionalFormatting>
  <conditionalFormatting sqref="U755">
    <cfRule type="duplicateValues" dxfId="1801" priority="1761"/>
  </conditionalFormatting>
  <conditionalFormatting sqref="U755">
    <cfRule type="duplicateValues" dxfId="1800" priority="1760"/>
  </conditionalFormatting>
  <conditionalFormatting sqref="U755">
    <cfRule type="duplicateValues" dxfId="1799" priority="1759"/>
  </conditionalFormatting>
  <conditionalFormatting sqref="U755">
    <cfRule type="duplicateValues" dxfId="1798" priority="1758"/>
  </conditionalFormatting>
  <conditionalFormatting sqref="U755">
    <cfRule type="duplicateValues" dxfId="1797" priority="1757"/>
  </conditionalFormatting>
  <conditionalFormatting sqref="U755">
    <cfRule type="duplicateValues" dxfId="1796" priority="1756"/>
  </conditionalFormatting>
  <conditionalFormatting sqref="U755">
    <cfRule type="duplicateValues" dxfId="1795" priority="1755"/>
  </conditionalFormatting>
  <conditionalFormatting sqref="U755">
    <cfRule type="duplicateValues" dxfId="1794" priority="1754"/>
  </conditionalFormatting>
  <conditionalFormatting sqref="U755">
    <cfRule type="duplicateValues" dxfId="1793" priority="1753"/>
  </conditionalFormatting>
  <conditionalFormatting sqref="U755">
    <cfRule type="duplicateValues" dxfId="1792" priority="1752"/>
  </conditionalFormatting>
  <conditionalFormatting sqref="U755">
    <cfRule type="duplicateValues" dxfId="1791" priority="1751"/>
  </conditionalFormatting>
  <conditionalFormatting sqref="U755">
    <cfRule type="duplicateValues" dxfId="1790" priority="1750"/>
  </conditionalFormatting>
  <conditionalFormatting sqref="U755">
    <cfRule type="duplicateValues" dxfId="1789" priority="1749"/>
  </conditionalFormatting>
  <conditionalFormatting sqref="U755">
    <cfRule type="duplicateValues" dxfId="1788" priority="1748"/>
  </conditionalFormatting>
  <conditionalFormatting sqref="U755">
    <cfRule type="duplicateValues" dxfId="1787" priority="1747"/>
  </conditionalFormatting>
  <conditionalFormatting sqref="U755">
    <cfRule type="duplicateValues" dxfId="1786" priority="1746"/>
  </conditionalFormatting>
  <conditionalFormatting sqref="U755">
    <cfRule type="duplicateValues" dxfId="1785" priority="1745"/>
  </conditionalFormatting>
  <conditionalFormatting sqref="U755">
    <cfRule type="duplicateValues" dxfId="1784" priority="1744"/>
  </conditionalFormatting>
  <conditionalFormatting sqref="U755">
    <cfRule type="duplicateValues" dxfId="1783" priority="1743"/>
  </conditionalFormatting>
  <conditionalFormatting sqref="U732">
    <cfRule type="duplicateValues" dxfId="1782" priority="1742"/>
  </conditionalFormatting>
  <conditionalFormatting sqref="U732">
    <cfRule type="duplicateValues" dxfId="1781" priority="1741"/>
  </conditionalFormatting>
  <conditionalFormatting sqref="U732">
    <cfRule type="duplicateValues" dxfId="1780" priority="1740"/>
  </conditionalFormatting>
  <conditionalFormatting sqref="U732">
    <cfRule type="duplicateValues" dxfId="1779" priority="1739"/>
  </conditionalFormatting>
  <conditionalFormatting sqref="U732">
    <cfRule type="duplicateValues" dxfId="1778" priority="1738"/>
  </conditionalFormatting>
  <conditionalFormatting sqref="U732">
    <cfRule type="duplicateValues" dxfId="1777" priority="1737"/>
  </conditionalFormatting>
  <conditionalFormatting sqref="U756">
    <cfRule type="duplicateValues" dxfId="1776" priority="1736"/>
  </conditionalFormatting>
  <conditionalFormatting sqref="U756">
    <cfRule type="duplicateValues" dxfId="1775" priority="1735"/>
  </conditionalFormatting>
  <conditionalFormatting sqref="U756">
    <cfRule type="duplicateValues" dxfId="1774" priority="1734"/>
  </conditionalFormatting>
  <conditionalFormatting sqref="U756">
    <cfRule type="duplicateValues" dxfId="1773" priority="1733"/>
  </conditionalFormatting>
  <conditionalFormatting sqref="U756">
    <cfRule type="duplicateValues" dxfId="1772" priority="1732"/>
  </conditionalFormatting>
  <conditionalFormatting sqref="U756">
    <cfRule type="duplicateValues" dxfId="1771" priority="1731"/>
  </conditionalFormatting>
  <conditionalFormatting sqref="U756">
    <cfRule type="duplicateValues" dxfId="1770" priority="1730"/>
  </conditionalFormatting>
  <conditionalFormatting sqref="U756">
    <cfRule type="duplicateValues" dxfId="1769" priority="1729"/>
  </conditionalFormatting>
  <conditionalFormatting sqref="U756">
    <cfRule type="duplicateValues" dxfId="1768" priority="1728"/>
  </conditionalFormatting>
  <conditionalFormatting sqref="U756">
    <cfRule type="duplicateValues" dxfId="1767" priority="1727"/>
  </conditionalFormatting>
  <conditionalFormatting sqref="U756">
    <cfRule type="duplicateValues" dxfId="1766" priority="1726"/>
  </conditionalFormatting>
  <conditionalFormatting sqref="U756">
    <cfRule type="duplicateValues" dxfId="1765" priority="1725"/>
  </conditionalFormatting>
  <conditionalFormatting sqref="U756">
    <cfRule type="duplicateValues" dxfId="1764" priority="1724"/>
  </conditionalFormatting>
  <conditionalFormatting sqref="U756">
    <cfRule type="duplicateValues" dxfId="1763" priority="1723"/>
  </conditionalFormatting>
  <conditionalFormatting sqref="U756">
    <cfRule type="duplicateValues" dxfId="1762" priority="1722"/>
  </conditionalFormatting>
  <conditionalFormatting sqref="U756">
    <cfRule type="duplicateValues" dxfId="1761" priority="1721"/>
  </conditionalFormatting>
  <conditionalFormatting sqref="U756">
    <cfRule type="duplicateValues" dxfId="1760" priority="1720"/>
  </conditionalFormatting>
  <conditionalFormatting sqref="U756">
    <cfRule type="duplicateValues" dxfId="1759" priority="1719"/>
  </conditionalFormatting>
  <conditionalFormatting sqref="U756">
    <cfRule type="duplicateValues" dxfId="1758" priority="1718"/>
  </conditionalFormatting>
  <conditionalFormatting sqref="U756">
    <cfRule type="duplicateValues" dxfId="1757" priority="1717"/>
  </conditionalFormatting>
  <conditionalFormatting sqref="U756">
    <cfRule type="duplicateValues" dxfId="1756" priority="1716"/>
  </conditionalFormatting>
  <conditionalFormatting sqref="U756">
    <cfRule type="duplicateValues" dxfId="1755" priority="1715"/>
  </conditionalFormatting>
  <conditionalFormatting sqref="U756">
    <cfRule type="duplicateValues" dxfId="1754" priority="1714"/>
  </conditionalFormatting>
  <conditionalFormatting sqref="U756">
    <cfRule type="duplicateValues" dxfId="1753" priority="1713"/>
  </conditionalFormatting>
  <conditionalFormatting sqref="U756">
    <cfRule type="duplicateValues" dxfId="1752" priority="1712"/>
  </conditionalFormatting>
  <conditionalFormatting sqref="U756">
    <cfRule type="duplicateValues" dxfId="1751" priority="1711"/>
  </conditionalFormatting>
  <conditionalFormatting sqref="U756">
    <cfRule type="duplicateValues" dxfId="1750" priority="1710"/>
  </conditionalFormatting>
  <conditionalFormatting sqref="U756">
    <cfRule type="duplicateValues" dxfId="1749" priority="1709"/>
  </conditionalFormatting>
  <conditionalFormatting sqref="U756">
    <cfRule type="duplicateValues" dxfId="1748" priority="1708"/>
  </conditionalFormatting>
  <conditionalFormatting sqref="U756">
    <cfRule type="duplicateValues" dxfId="1747" priority="1707"/>
  </conditionalFormatting>
  <conditionalFormatting sqref="U756">
    <cfRule type="duplicateValues" dxfId="1746" priority="1706"/>
  </conditionalFormatting>
  <conditionalFormatting sqref="U756">
    <cfRule type="duplicateValues" dxfId="1745" priority="1705"/>
  </conditionalFormatting>
  <conditionalFormatting sqref="U756">
    <cfRule type="duplicateValues" dxfId="1744" priority="1704"/>
  </conditionalFormatting>
  <conditionalFormatting sqref="U756">
    <cfRule type="duplicateValues" dxfId="1743" priority="1703"/>
  </conditionalFormatting>
  <conditionalFormatting sqref="U756">
    <cfRule type="duplicateValues" dxfId="1742" priority="1702"/>
  </conditionalFormatting>
  <conditionalFormatting sqref="U756">
    <cfRule type="duplicateValues" dxfId="1741" priority="1701"/>
  </conditionalFormatting>
  <conditionalFormatting sqref="U756">
    <cfRule type="duplicateValues" dxfId="1740" priority="1700"/>
  </conditionalFormatting>
  <conditionalFormatting sqref="U756">
    <cfRule type="duplicateValues" dxfId="1739" priority="1699"/>
  </conditionalFormatting>
  <conditionalFormatting sqref="U732">
    <cfRule type="duplicateValues" dxfId="1738" priority="1698"/>
  </conditionalFormatting>
  <conditionalFormatting sqref="U732">
    <cfRule type="duplicateValues" dxfId="1737" priority="1697"/>
  </conditionalFormatting>
  <conditionalFormatting sqref="U732">
    <cfRule type="duplicateValues" dxfId="1736" priority="1696"/>
  </conditionalFormatting>
  <conditionalFormatting sqref="U757">
    <cfRule type="duplicateValues" dxfId="1735" priority="1695"/>
  </conditionalFormatting>
  <conditionalFormatting sqref="U757">
    <cfRule type="duplicateValues" dxfId="1734" priority="1694"/>
  </conditionalFormatting>
  <conditionalFormatting sqref="U757">
    <cfRule type="duplicateValues" dxfId="1733" priority="1693"/>
  </conditionalFormatting>
  <conditionalFormatting sqref="U757">
    <cfRule type="duplicateValues" dxfId="1732" priority="1692"/>
  </conditionalFormatting>
  <conditionalFormatting sqref="U757">
    <cfRule type="duplicateValues" dxfId="1731" priority="1691"/>
  </conditionalFormatting>
  <conditionalFormatting sqref="U757">
    <cfRule type="duplicateValues" dxfId="1730" priority="1690"/>
  </conditionalFormatting>
  <conditionalFormatting sqref="U757">
    <cfRule type="duplicateValues" dxfId="1729" priority="1689"/>
  </conditionalFormatting>
  <conditionalFormatting sqref="U757">
    <cfRule type="duplicateValues" dxfId="1728" priority="1688"/>
  </conditionalFormatting>
  <conditionalFormatting sqref="U757">
    <cfRule type="duplicateValues" dxfId="1727" priority="1687"/>
  </conditionalFormatting>
  <conditionalFormatting sqref="U757">
    <cfRule type="duplicateValues" dxfId="1726" priority="1686"/>
  </conditionalFormatting>
  <conditionalFormatting sqref="U757">
    <cfRule type="duplicateValues" dxfId="1725" priority="1685"/>
  </conditionalFormatting>
  <conditionalFormatting sqref="U757">
    <cfRule type="duplicateValues" dxfId="1724" priority="1684"/>
  </conditionalFormatting>
  <conditionalFormatting sqref="U757">
    <cfRule type="duplicateValues" dxfId="1723" priority="1683"/>
  </conditionalFormatting>
  <conditionalFormatting sqref="U757">
    <cfRule type="duplicateValues" dxfId="1722" priority="1682"/>
  </conditionalFormatting>
  <conditionalFormatting sqref="U757">
    <cfRule type="duplicateValues" dxfId="1721" priority="1681"/>
  </conditionalFormatting>
  <conditionalFormatting sqref="U757">
    <cfRule type="duplicateValues" dxfId="1720" priority="1680"/>
  </conditionalFormatting>
  <conditionalFormatting sqref="U757">
    <cfRule type="duplicateValues" dxfId="1719" priority="1679"/>
  </conditionalFormatting>
  <conditionalFormatting sqref="U757">
    <cfRule type="duplicateValues" dxfId="1718" priority="1678"/>
  </conditionalFormatting>
  <conditionalFormatting sqref="U757">
    <cfRule type="duplicateValues" dxfId="1717" priority="1677"/>
  </conditionalFormatting>
  <conditionalFormatting sqref="U757">
    <cfRule type="duplicateValues" dxfId="1716" priority="1676"/>
  </conditionalFormatting>
  <conditionalFormatting sqref="U757">
    <cfRule type="duplicateValues" dxfId="1715" priority="1675"/>
  </conditionalFormatting>
  <conditionalFormatting sqref="U757">
    <cfRule type="duplicateValues" dxfId="1714" priority="1674"/>
  </conditionalFormatting>
  <conditionalFormatting sqref="U757">
    <cfRule type="duplicateValues" dxfId="1713" priority="1673"/>
  </conditionalFormatting>
  <conditionalFormatting sqref="U757">
    <cfRule type="duplicateValues" dxfId="1712" priority="1672"/>
  </conditionalFormatting>
  <conditionalFormatting sqref="U757">
    <cfRule type="duplicateValues" dxfId="1711" priority="1671"/>
  </conditionalFormatting>
  <conditionalFormatting sqref="U757">
    <cfRule type="duplicateValues" dxfId="1710" priority="1670"/>
  </conditionalFormatting>
  <conditionalFormatting sqref="U757">
    <cfRule type="duplicateValues" dxfId="1709" priority="1669"/>
  </conditionalFormatting>
  <conditionalFormatting sqref="U757">
    <cfRule type="duplicateValues" dxfId="1708" priority="1668"/>
  </conditionalFormatting>
  <conditionalFormatting sqref="U757">
    <cfRule type="duplicateValues" dxfId="1707" priority="1667"/>
  </conditionalFormatting>
  <conditionalFormatting sqref="U757">
    <cfRule type="duplicateValues" dxfId="1706" priority="1666"/>
  </conditionalFormatting>
  <conditionalFormatting sqref="U757">
    <cfRule type="duplicateValues" dxfId="1705" priority="1665"/>
  </conditionalFormatting>
  <conditionalFormatting sqref="U757">
    <cfRule type="duplicateValues" dxfId="1704" priority="1664"/>
  </conditionalFormatting>
  <conditionalFormatting sqref="U757">
    <cfRule type="duplicateValues" dxfId="1703" priority="1663"/>
  </conditionalFormatting>
  <conditionalFormatting sqref="U757">
    <cfRule type="duplicateValues" dxfId="1702" priority="1662"/>
  </conditionalFormatting>
  <conditionalFormatting sqref="U757">
    <cfRule type="duplicateValues" dxfId="1701" priority="1661"/>
  </conditionalFormatting>
  <conditionalFormatting sqref="U757">
    <cfRule type="duplicateValues" dxfId="1700" priority="1660"/>
  </conditionalFormatting>
  <conditionalFormatting sqref="U757">
    <cfRule type="duplicateValues" dxfId="1699" priority="1659"/>
  </conditionalFormatting>
  <conditionalFormatting sqref="U757">
    <cfRule type="duplicateValues" dxfId="1698" priority="1658"/>
  </conditionalFormatting>
  <conditionalFormatting sqref="U757">
    <cfRule type="duplicateValues" dxfId="1697" priority="1657"/>
  </conditionalFormatting>
  <conditionalFormatting sqref="U757">
    <cfRule type="duplicateValues" dxfId="1696" priority="1656"/>
  </conditionalFormatting>
  <conditionalFormatting sqref="U757">
    <cfRule type="duplicateValues" dxfId="1695" priority="1655"/>
  </conditionalFormatting>
  <conditionalFormatting sqref="U757">
    <cfRule type="duplicateValues" dxfId="1694" priority="1654"/>
  </conditionalFormatting>
  <conditionalFormatting sqref="U757">
    <cfRule type="duplicateValues" dxfId="1693" priority="1653"/>
  </conditionalFormatting>
  <conditionalFormatting sqref="U757">
    <cfRule type="duplicateValues" dxfId="1692" priority="1652"/>
  </conditionalFormatting>
  <conditionalFormatting sqref="U757">
    <cfRule type="duplicateValues" dxfId="1691" priority="1651"/>
  </conditionalFormatting>
  <conditionalFormatting sqref="U757">
    <cfRule type="duplicateValues" dxfId="1690" priority="1650"/>
  </conditionalFormatting>
  <conditionalFormatting sqref="U757">
    <cfRule type="duplicateValues" dxfId="1689" priority="1649"/>
  </conditionalFormatting>
  <conditionalFormatting sqref="U757">
    <cfRule type="duplicateValues" dxfId="1688" priority="1648"/>
  </conditionalFormatting>
  <conditionalFormatting sqref="U757">
    <cfRule type="duplicateValues" dxfId="1687" priority="1647"/>
  </conditionalFormatting>
  <conditionalFormatting sqref="U757">
    <cfRule type="duplicateValues" dxfId="1686" priority="1646"/>
  </conditionalFormatting>
  <conditionalFormatting sqref="U757">
    <cfRule type="duplicateValues" dxfId="1685" priority="1645"/>
  </conditionalFormatting>
  <conditionalFormatting sqref="U757">
    <cfRule type="duplicateValues" dxfId="1684" priority="1644"/>
  </conditionalFormatting>
  <conditionalFormatting sqref="U757">
    <cfRule type="duplicateValues" dxfId="1683" priority="1643"/>
  </conditionalFormatting>
  <conditionalFormatting sqref="U757">
    <cfRule type="duplicateValues" dxfId="1682" priority="1642"/>
  </conditionalFormatting>
  <conditionalFormatting sqref="U757">
    <cfRule type="duplicateValues" dxfId="1681" priority="1641"/>
  </conditionalFormatting>
  <conditionalFormatting sqref="U757">
    <cfRule type="duplicateValues" dxfId="1680" priority="1640"/>
  </conditionalFormatting>
  <conditionalFormatting sqref="U757">
    <cfRule type="duplicateValues" dxfId="1679" priority="1639"/>
  </conditionalFormatting>
  <conditionalFormatting sqref="U757">
    <cfRule type="duplicateValues" dxfId="1678" priority="1638"/>
  </conditionalFormatting>
  <conditionalFormatting sqref="U757">
    <cfRule type="duplicateValues" dxfId="1677" priority="1637"/>
  </conditionalFormatting>
  <conditionalFormatting sqref="U757">
    <cfRule type="duplicateValues" dxfId="1676" priority="1636"/>
  </conditionalFormatting>
  <conditionalFormatting sqref="U757">
    <cfRule type="duplicateValues" dxfId="1675" priority="1635"/>
  </conditionalFormatting>
  <conditionalFormatting sqref="U757">
    <cfRule type="duplicateValues" dxfId="1674" priority="1634"/>
  </conditionalFormatting>
  <conditionalFormatting sqref="U757">
    <cfRule type="duplicateValues" dxfId="1673" priority="1633"/>
  </conditionalFormatting>
  <conditionalFormatting sqref="U757">
    <cfRule type="duplicateValues" dxfId="1672" priority="1632"/>
  </conditionalFormatting>
  <conditionalFormatting sqref="U757">
    <cfRule type="duplicateValues" dxfId="1671" priority="1631"/>
  </conditionalFormatting>
  <conditionalFormatting sqref="U757">
    <cfRule type="duplicateValues" dxfId="1670" priority="1630"/>
  </conditionalFormatting>
  <conditionalFormatting sqref="U757">
    <cfRule type="duplicateValues" dxfId="1669" priority="1629"/>
  </conditionalFormatting>
  <conditionalFormatting sqref="U757">
    <cfRule type="duplicateValues" dxfId="1668" priority="1628"/>
  </conditionalFormatting>
  <conditionalFormatting sqref="U757">
    <cfRule type="duplicateValues" dxfId="1667" priority="1627"/>
  </conditionalFormatting>
  <conditionalFormatting sqref="U757">
    <cfRule type="duplicateValues" dxfId="1666" priority="1626"/>
  </conditionalFormatting>
  <conditionalFormatting sqref="U757">
    <cfRule type="duplicateValues" dxfId="1665" priority="1625"/>
  </conditionalFormatting>
  <conditionalFormatting sqref="U757">
    <cfRule type="duplicateValues" dxfId="1664" priority="1624"/>
  </conditionalFormatting>
  <conditionalFormatting sqref="U757">
    <cfRule type="duplicateValues" dxfId="1663" priority="1623"/>
  </conditionalFormatting>
  <conditionalFormatting sqref="U757">
    <cfRule type="duplicateValues" dxfId="1662" priority="1622"/>
  </conditionalFormatting>
  <conditionalFormatting sqref="U757">
    <cfRule type="duplicateValues" dxfId="1661" priority="1621"/>
  </conditionalFormatting>
  <conditionalFormatting sqref="U757">
    <cfRule type="duplicateValues" dxfId="1660" priority="1620"/>
  </conditionalFormatting>
  <conditionalFormatting sqref="U757">
    <cfRule type="duplicateValues" dxfId="1659" priority="1619"/>
  </conditionalFormatting>
  <conditionalFormatting sqref="U757">
    <cfRule type="duplicateValues" dxfId="1658" priority="1618"/>
  </conditionalFormatting>
  <conditionalFormatting sqref="U757">
    <cfRule type="duplicateValues" dxfId="1657" priority="1617"/>
  </conditionalFormatting>
  <conditionalFormatting sqref="U757">
    <cfRule type="duplicateValues" dxfId="1656" priority="1616"/>
  </conditionalFormatting>
  <conditionalFormatting sqref="U757">
    <cfRule type="duplicateValues" dxfId="1655" priority="1615"/>
  </conditionalFormatting>
  <conditionalFormatting sqref="U757">
    <cfRule type="duplicateValues" dxfId="1654" priority="1614"/>
  </conditionalFormatting>
  <conditionalFormatting sqref="U757">
    <cfRule type="duplicateValues" dxfId="1653" priority="1613"/>
  </conditionalFormatting>
  <conditionalFormatting sqref="U757">
    <cfRule type="duplicateValues" dxfId="1652" priority="1612"/>
  </conditionalFormatting>
  <conditionalFormatting sqref="U757">
    <cfRule type="duplicateValues" dxfId="1651" priority="1611"/>
  </conditionalFormatting>
  <conditionalFormatting sqref="U757">
    <cfRule type="duplicateValues" dxfId="1650" priority="1610"/>
  </conditionalFormatting>
  <conditionalFormatting sqref="U757">
    <cfRule type="duplicateValues" dxfId="1649" priority="1609"/>
  </conditionalFormatting>
  <conditionalFormatting sqref="U757">
    <cfRule type="duplicateValues" dxfId="1648" priority="1608"/>
  </conditionalFormatting>
  <conditionalFormatting sqref="U757">
    <cfRule type="duplicateValues" dxfId="1647" priority="1607"/>
  </conditionalFormatting>
  <conditionalFormatting sqref="U757">
    <cfRule type="duplicateValues" dxfId="1646" priority="1606"/>
  </conditionalFormatting>
  <conditionalFormatting sqref="U757">
    <cfRule type="duplicateValues" dxfId="1645" priority="1605"/>
  </conditionalFormatting>
  <conditionalFormatting sqref="U757">
    <cfRule type="duplicateValues" dxfId="1644" priority="1604"/>
  </conditionalFormatting>
  <conditionalFormatting sqref="U757">
    <cfRule type="duplicateValues" dxfId="1643" priority="1603"/>
  </conditionalFormatting>
  <conditionalFormatting sqref="U757">
    <cfRule type="duplicateValues" dxfId="1642" priority="1602"/>
  </conditionalFormatting>
  <conditionalFormatting sqref="U757">
    <cfRule type="duplicateValues" dxfId="1641" priority="1601"/>
  </conditionalFormatting>
  <conditionalFormatting sqref="U757">
    <cfRule type="duplicateValues" dxfId="1640" priority="1600"/>
  </conditionalFormatting>
  <conditionalFormatting sqref="U757">
    <cfRule type="duplicateValues" dxfId="1639" priority="1599"/>
  </conditionalFormatting>
  <conditionalFormatting sqref="U757">
    <cfRule type="duplicateValues" dxfId="1638" priority="1598"/>
  </conditionalFormatting>
  <conditionalFormatting sqref="U757">
    <cfRule type="duplicateValues" dxfId="1637" priority="1597"/>
  </conditionalFormatting>
  <conditionalFormatting sqref="U757">
    <cfRule type="duplicateValues" dxfId="1636" priority="1596"/>
  </conditionalFormatting>
  <conditionalFormatting sqref="U757">
    <cfRule type="duplicateValues" dxfId="1635" priority="1595"/>
  </conditionalFormatting>
  <conditionalFormatting sqref="U757">
    <cfRule type="duplicateValues" dxfId="1634" priority="1594"/>
  </conditionalFormatting>
  <conditionalFormatting sqref="U757">
    <cfRule type="duplicateValues" dxfId="1633" priority="1593"/>
  </conditionalFormatting>
  <conditionalFormatting sqref="U757">
    <cfRule type="duplicateValues" dxfId="1632" priority="1592"/>
  </conditionalFormatting>
  <conditionalFormatting sqref="U757">
    <cfRule type="duplicateValues" dxfId="1631" priority="1591"/>
  </conditionalFormatting>
  <conditionalFormatting sqref="U757">
    <cfRule type="duplicateValues" dxfId="1630" priority="1590"/>
  </conditionalFormatting>
  <conditionalFormatting sqref="U757">
    <cfRule type="duplicateValues" dxfId="1629" priority="1589"/>
  </conditionalFormatting>
  <conditionalFormatting sqref="U757">
    <cfRule type="duplicateValues" dxfId="1628" priority="1588"/>
  </conditionalFormatting>
  <conditionalFormatting sqref="U757">
    <cfRule type="duplicateValues" dxfId="1627" priority="1587"/>
  </conditionalFormatting>
  <conditionalFormatting sqref="U757">
    <cfRule type="duplicateValues" dxfId="1626" priority="1586"/>
  </conditionalFormatting>
  <conditionalFormatting sqref="U757">
    <cfRule type="duplicateValues" dxfId="1625" priority="1585"/>
  </conditionalFormatting>
  <conditionalFormatting sqref="U757">
    <cfRule type="duplicateValues" dxfId="1624" priority="1584"/>
  </conditionalFormatting>
  <conditionalFormatting sqref="U757">
    <cfRule type="duplicateValues" dxfId="1623" priority="1583"/>
  </conditionalFormatting>
  <conditionalFormatting sqref="U758:U759">
    <cfRule type="duplicateValues" dxfId="1622" priority="1582"/>
  </conditionalFormatting>
  <conditionalFormatting sqref="U758:U759">
    <cfRule type="duplicateValues" dxfId="1621" priority="1581"/>
  </conditionalFormatting>
  <conditionalFormatting sqref="U758:U759">
    <cfRule type="duplicateValues" dxfId="1620" priority="1580"/>
  </conditionalFormatting>
  <conditionalFormatting sqref="U758:U759">
    <cfRule type="duplicateValues" dxfId="1619" priority="1579"/>
  </conditionalFormatting>
  <conditionalFormatting sqref="U758:U759">
    <cfRule type="duplicateValues" dxfId="1618" priority="1578"/>
  </conditionalFormatting>
  <conditionalFormatting sqref="U758:U759">
    <cfRule type="duplicateValues" dxfId="1617" priority="1577"/>
  </conditionalFormatting>
  <conditionalFormatting sqref="U758:U759">
    <cfRule type="duplicateValues" dxfId="1616" priority="1576"/>
  </conditionalFormatting>
  <conditionalFormatting sqref="U758:U759">
    <cfRule type="duplicateValues" dxfId="1615" priority="1575"/>
  </conditionalFormatting>
  <conditionalFormatting sqref="U758:U759">
    <cfRule type="duplicateValues" dxfId="1614" priority="1574"/>
  </conditionalFormatting>
  <conditionalFormatting sqref="U758:U759">
    <cfRule type="duplicateValues" dxfId="1613" priority="1573"/>
  </conditionalFormatting>
  <conditionalFormatting sqref="U758:U759">
    <cfRule type="duplicateValues" dxfId="1612" priority="1572"/>
  </conditionalFormatting>
  <conditionalFormatting sqref="U758:U759">
    <cfRule type="duplicateValues" dxfId="1611" priority="1571"/>
  </conditionalFormatting>
  <conditionalFormatting sqref="U758:U759">
    <cfRule type="duplicateValues" dxfId="1610" priority="1570"/>
  </conditionalFormatting>
  <conditionalFormatting sqref="U758:U759">
    <cfRule type="duplicateValues" dxfId="1609" priority="1569"/>
  </conditionalFormatting>
  <conditionalFormatting sqref="U758:U759">
    <cfRule type="duplicateValues" dxfId="1608" priority="1568"/>
  </conditionalFormatting>
  <conditionalFormatting sqref="U758:U759">
    <cfRule type="duplicateValues" dxfId="1607" priority="1567"/>
  </conditionalFormatting>
  <conditionalFormatting sqref="U758:U759">
    <cfRule type="duplicateValues" dxfId="1606" priority="1566"/>
  </conditionalFormatting>
  <conditionalFormatting sqref="U758:U759">
    <cfRule type="duplicateValues" dxfId="1605" priority="1565"/>
  </conditionalFormatting>
  <conditionalFormatting sqref="U758:U759">
    <cfRule type="duplicateValues" dxfId="1604" priority="1564"/>
  </conditionalFormatting>
  <conditionalFormatting sqref="U758:U759">
    <cfRule type="duplicateValues" dxfId="1603" priority="1563"/>
  </conditionalFormatting>
  <conditionalFormatting sqref="U758:U759">
    <cfRule type="duplicateValues" dxfId="1602" priority="1562"/>
  </conditionalFormatting>
  <conditionalFormatting sqref="U758:U759">
    <cfRule type="duplicateValues" dxfId="1601" priority="1561"/>
  </conditionalFormatting>
  <conditionalFormatting sqref="U758:U759">
    <cfRule type="duplicateValues" dxfId="1600" priority="1560"/>
  </conditionalFormatting>
  <conditionalFormatting sqref="U758:U759">
    <cfRule type="duplicateValues" dxfId="1599" priority="1559"/>
  </conditionalFormatting>
  <conditionalFormatting sqref="U758:U759">
    <cfRule type="duplicateValues" dxfId="1598" priority="1558"/>
  </conditionalFormatting>
  <conditionalFormatting sqref="U758:U759">
    <cfRule type="duplicateValues" dxfId="1597" priority="1557"/>
  </conditionalFormatting>
  <conditionalFormatting sqref="U758:U759">
    <cfRule type="duplicateValues" dxfId="1596" priority="1556"/>
  </conditionalFormatting>
  <conditionalFormatting sqref="U758:U759">
    <cfRule type="duplicateValues" dxfId="1595" priority="1555"/>
  </conditionalFormatting>
  <conditionalFormatting sqref="U758:U759">
    <cfRule type="duplicateValues" dxfId="1594" priority="1554"/>
  </conditionalFormatting>
  <conditionalFormatting sqref="U758:U759">
    <cfRule type="duplicateValues" dxfId="1593" priority="1553"/>
  </conditionalFormatting>
  <conditionalFormatting sqref="U758:U759">
    <cfRule type="duplicateValues" dxfId="1592" priority="1552"/>
  </conditionalFormatting>
  <conditionalFormatting sqref="U758:U759">
    <cfRule type="duplicateValues" dxfId="1591" priority="1551"/>
  </conditionalFormatting>
  <conditionalFormatting sqref="U758:U759">
    <cfRule type="duplicateValues" dxfId="1590" priority="1550"/>
  </conditionalFormatting>
  <conditionalFormatting sqref="U758:U759">
    <cfRule type="duplicateValues" dxfId="1589" priority="1549"/>
  </conditionalFormatting>
  <conditionalFormatting sqref="U758:U759">
    <cfRule type="duplicateValues" dxfId="1588" priority="1548"/>
  </conditionalFormatting>
  <conditionalFormatting sqref="U758:U759">
    <cfRule type="duplicateValues" dxfId="1587" priority="1547"/>
  </conditionalFormatting>
  <conditionalFormatting sqref="U758:U759">
    <cfRule type="duplicateValues" dxfId="1586" priority="1546"/>
  </conditionalFormatting>
  <conditionalFormatting sqref="U758:U759">
    <cfRule type="duplicateValues" dxfId="1585" priority="1545"/>
  </conditionalFormatting>
  <conditionalFormatting sqref="U758:U759">
    <cfRule type="duplicateValues" dxfId="1584" priority="1544"/>
  </conditionalFormatting>
  <conditionalFormatting sqref="U758:U759">
    <cfRule type="duplicateValues" dxfId="1583" priority="1543"/>
  </conditionalFormatting>
  <conditionalFormatting sqref="U758:U759">
    <cfRule type="duplicateValues" dxfId="1582" priority="1542"/>
  </conditionalFormatting>
  <conditionalFormatting sqref="U758:U759">
    <cfRule type="duplicateValues" dxfId="1581" priority="1541"/>
  </conditionalFormatting>
  <conditionalFormatting sqref="U758:U759">
    <cfRule type="duplicateValues" dxfId="1580" priority="1540"/>
  </conditionalFormatting>
  <conditionalFormatting sqref="U758:U759">
    <cfRule type="duplicateValues" dxfId="1579" priority="1539"/>
  </conditionalFormatting>
  <conditionalFormatting sqref="U758:U759">
    <cfRule type="duplicateValues" dxfId="1578" priority="1538"/>
  </conditionalFormatting>
  <conditionalFormatting sqref="U758:U759">
    <cfRule type="duplicateValues" dxfId="1577" priority="1537"/>
  </conditionalFormatting>
  <conditionalFormatting sqref="U758:U759">
    <cfRule type="duplicateValues" dxfId="1576" priority="1536"/>
  </conditionalFormatting>
  <conditionalFormatting sqref="U758:U759">
    <cfRule type="duplicateValues" dxfId="1575" priority="1535"/>
  </conditionalFormatting>
  <conditionalFormatting sqref="U758:U759">
    <cfRule type="duplicateValues" dxfId="1574" priority="1534"/>
  </conditionalFormatting>
  <conditionalFormatting sqref="U758:U759">
    <cfRule type="duplicateValues" dxfId="1573" priority="1533"/>
  </conditionalFormatting>
  <conditionalFormatting sqref="U758:U759">
    <cfRule type="duplicateValues" dxfId="1572" priority="1532"/>
  </conditionalFormatting>
  <conditionalFormatting sqref="U758:U759">
    <cfRule type="duplicateValues" dxfId="1571" priority="1531"/>
  </conditionalFormatting>
  <conditionalFormatting sqref="U758:U759">
    <cfRule type="duplicateValues" dxfId="1570" priority="1530"/>
  </conditionalFormatting>
  <conditionalFormatting sqref="U758:U759">
    <cfRule type="duplicateValues" dxfId="1569" priority="1529"/>
  </conditionalFormatting>
  <conditionalFormatting sqref="U758:U759">
    <cfRule type="duplicateValues" dxfId="1568" priority="1528"/>
  </conditionalFormatting>
  <conditionalFormatting sqref="U758:U759">
    <cfRule type="duplicateValues" dxfId="1567" priority="1527"/>
  </conditionalFormatting>
  <conditionalFormatting sqref="U758:U759">
    <cfRule type="duplicateValues" dxfId="1566" priority="1526"/>
  </conditionalFormatting>
  <conditionalFormatting sqref="U758:U759">
    <cfRule type="duplicateValues" dxfId="1565" priority="1525"/>
  </conditionalFormatting>
  <conditionalFormatting sqref="U758:U759">
    <cfRule type="duplicateValues" dxfId="1564" priority="1524"/>
  </conditionalFormatting>
  <conditionalFormatting sqref="U758:U759">
    <cfRule type="duplicateValues" dxfId="1563" priority="1523"/>
  </conditionalFormatting>
  <conditionalFormatting sqref="U758:U759">
    <cfRule type="duplicateValues" dxfId="1562" priority="1522"/>
  </conditionalFormatting>
  <conditionalFormatting sqref="U758:U759">
    <cfRule type="duplicateValues" dxfId="1561" priority="1521"/>
  </conditionalFormatting>
  <conditionalFormatting sqref="U758:U759">
    <cfRule type="duplicateValues" dxfId="1560" priority="1520"/>
  </conditionalFormatting>
  <conditionalFormatting sqref="U758:U759">
    <cfRule type="duplicateValues" dxfId="1559" priority="1519"/>
  </conditionalFormatting>
  <conditionalFormatting sqref="U758:U759">
    <cfRule type="duplicateValues" dxfId="1558" priority="1518"/>
  </conditionalFormatting>
  <conditionalFormatting sqref="U758:U759">
    <cfRule type="duplicateValues" dxfId="1557" priority="1517"/>
  </conditionalFormatting>
  <conditionalFormatting sqref="U758:U759">
    <cfRule type="duplicateValues" dxfId="1556" priority="1516"/>
  </conditionalFormatting>
  <conditionalFormatting sqref="U758:U759">
    <cfRule type="duplicateValues" dxfId="1555" priority="1515"/>
  </conditionalFormatting>
  <conditionalFormatting sqref="U758:U759">
    <cfRule type="duplicateValues" dxfId="1554" priority="1514"/>
  </conditionalFormatting>
  <conditionalFormatting sqref="U758:U759">
    <cfRule type="duplicateValues" dxfId="1553" priority="1513"/>
  </conditionalFormatting>
  <conditionalFormatting sqref="U758:U759">
    <cfRule type="duplicateValues" dxfId="1552" priority="1512"/>
  </conditionalFormatting>
  <conditionalFormatting sqref="U758:U759">
    <cfRule type="duplicateValues" dxfId="1551" priority="1511"/>
  </conditionalFormatting>
  <conditionalFormatting sqref="U758:U759">
    <cfRule type="duplicateValues" dxfId="1550" priority="1510"/>
  </conditionalFormatting>
  <conditionalFormatting sqref="U758:U759">
    <cfRule type="duplicateValues" dxfId="1549" priority="1509"/>
  </conditionalFormatting>
  <conditionalFormatting sqref="U758:U759">
    <cfRule type="duplicateValues" dxfId="1548" priority="1508"/>
  </conditionalFormatting>
  <conditionalFormatting sqref="U758:U759">
    <cfRule type="duplicateValues" dxfId="1547" priority="1507"/>
  </conditionalFormatting>
  <conditionalFormatting sqref="U758:U759">
    <cfRule type="duplicateValues" dxfId="1546" priority="1506"/>
  </conditionalFormatting>
  <conditionalFormatting sqref="U758:U759">
    <cfRule type="duplicateValues" dxfId="1545" priority="1505"/>
  </conditionalFormatting>
  <conditionalFormatting sqref="U758:U759">
    <cfRule type="duplicateValues" dxfId="1544" priority="1504"/>
  </conditionalFormatting>
  <conditionalFormatting sqref="U758:U759">
    <cfRule type="duplicateValues" dxfId="1543" priority="1503"/>
  </conditionalFormatting>
  <conditionalFormatting sqref="U758:U759">
    <cfRule type="duplicateValues" dxfId="1542" priority="1502"/>
  </conditionalFormatting>
  <conditionalFormatting sqref="U758:U759">
    <cfRule type="duplicateValues" dxfId="1541" priority="1501"/>
  </conditionalFormatting>
  <conditionalFormatting sqref="U758:U759">
    <cfRule type="duplicateValues" dxfId="1540" priority="1500"/>
  </conditionalFormatting>
  <conditionalFormatting sqref="U758:U759">
    <cfRule type="duplicateValues" dxfId="1539" priority="1499"/>
  </conditionalFormatting>
  <conditionalFormatting sqref="U758:U759">
    <cfRule type="duplicateValues" dxfId="1538" priority="1498"/>
  </conditionalFormatting>
  <conditionalFormatting sqref="U758:U759">
    <cfRule type="duplicateValues" dxfId="1537" priority="1497"/>
  </conditionalFormatting>
  <conditionalFormatting sqref="U758:U759">
    <cfRule type="duplicateValues" dxfId="1536" priority="1496"/>
  </conditionalFormatting>
  <conditionalFormatting sqref="U758:U759">
    <cfRule type="duplicateValues" dxfId="1535" priority="1495"/>
  </conditionalFormatting>
  <conditionalFormatting sqref="U758:U759">
    <cfRule type="duplicateValues" dxfId="1534" priority="1494"/>
  </conditionalFormatting>
  <conditionalFormatting sqref="U758:U759">
    <cfRule type="duplicateValues" dxfId="1533" priority="1493"/>
  </conditionalFormatting>
  <conditionalFormatting sqref="U758:U759">
    <cfRule type="duplicateValues" dxfId="1532" priority="1492"/>
  </conditionalFormatting>
  <conditionalFormatting sqref="U758:U759">
    <cfRule type="duplicateValues" dxfId="1531" priority="1491"/>
  </conditionalFormatting>
  <conditionalFormatting sqref="U758:U759">
    <cfRule type="duplicateValues" dxfId="1530" priority="1490"/>
  </conditionalFormatting>
  <conditionalFormatting sqref="U758:U759">
    <cfRule type="duplicateValues" dxfId="1529" priority="1489"/>
  </conditionalFormatting>
  <conditionalFormatting sqref="U758:U759">
    <cfRule type="duplicateValues" dxfId="1528" priority="1488"/>
  </conditionalFormatting>
  <conditionalFormatting sqref="U758:U759">
    <cfRule type="duplicateValues" dxfId="1527" priority="1487"/>
  </conditionalFormatting>
  <conditionalFormatting sqref="U758:U759">
    <cfRule type="duplicateValues" dxfId="1526" priority="1486"/>
  </conditionalFormatting>
  <conditionalFormatting sqref="U758:U759">
    <cfRule type="duplicateValues" dxfId="1525" priority="1485"/>
  </conditionalFormatting>
  <conditionalFormatting sqref="U758:U759">
    <cfRule type="duplicateValues" dxfId="1524" priority="1484"/>
  </conditionalFormatting>
  <conditionalFormatting sqref="U758:U759">
    <cfRule type="duplicateValues" dxfId="1523" priority="1483"/>
  </conditionalFormatting>
  <conditionalFormatting sqref="U758:U759">
    <cfRule type="duplicateValues" dxfId="1522" priority="1482"/>
  </conditionalFormatting>
  <conditionalFormatting sqref="U758:U759">
    <cfRule type="duplicateValues" dxfId="1521" priority="1481"/>
  </conditionalFormatting>
  <conditionalFormatting sqref="U758:U759">
    <cfRule type="duplicateValues" dxfId="1520" priority="1480"/>
  </conditionalFormatting>
  <conditionalFormatting sqref="U758:U759">
    <cfRule type="duplicateValues" dxfId="1519" priority="1479"/>
  </conditionalFormatting>
  <conditionalFormatting sqref="U758:U759">
    <cfRule type="duplicateValues" dxfId="1518" priority="1478"/>
  </conditionalFormatting>
  <conditionalFormatting sqref="U758:U759">
    <cfRule type="duplicateValues" dxfId="1517" priority="1477"/>
  </conditionalFormatting>
  <conditionalFormatting sqref="U758:U759">
    <cfRule type="duplicateValues" dxfId="1516" priority="1476"/>
  </conditionalFormatting>
  <conditionalFormatting sqref="U758:U759">
    <cfRule type="duplicateValues" dxfId="1515" priority="1475"/>
  </conditionalFormatting>
  <conditionalFormatting sqref="U758:U759">
    <cfRule type="duplicateValues" dxfId="1514" priority="1474"/>
  </conditionalFormatting>
  <conditionalFormatting sqref="U758:U759">
    <cfRule type="duplicateValues" dxfId="1513" priority="1473"/>
  </conditionalFormatting>
  <conditionalFormatting sqref="U758:U759">
    <cfRule type="duplicateValues" dxfId="1512" priority="1472"/>
  </conditionalFormatting>
  <conditionalFormatting sqref="U758:U759">
    <cfRule type="duplicateValues" dxfId="1511" priority="1471"/>
  </conditionalFormatting>
  <conditionalFormatting sqref="U758:U759">
    <cfRule type="duplicateValues" dxfId="1510" priority="1470"/>
  </conditionalFormatting>
  <conditionalFormatting sqref="U760:U762">
    <cfRule type="duplicateValues" dxfId="1509" priority="1469"/>
  </conditionalFormatting>
  <conditionalFormatting sqref="U760:U762">
    <cfRule type="duplicateValues" dxfId="1508" priority="1468"/>
  </conditionalFormatting>
  <conditionalFormatting sqref="U760:U762">
    <cfRule type="duplicateValues" dxfId="1507" priority="1467"/>
  </conditionalFormatting>
  <conditionalFormatting sqref="U760:U762">
    <cfRule type="duplicateValues" dxfId="1506" priority="1466"/>
  </conditionalFormatting>
  <conditionalFormatting sqref="U760:U762">
    <cfRule type="duplicateValues" dxfId="1505" priority="1465"/>
  </conditionalFormatting>
  <conditionalFormatting sqref="U760:U762">
    <cfRule type="duplicateValues" dxfId="1504" priority="1464"/>
  </conditionalFormatting>
  <conditionalFormatting sqref="U760:U762">
    <cfRule type="duplicateValues" dxfId="1503" priority="1463"/>
  </conditionalFormatting>
  <conditionalFormatting sqref="U760:U762">
    <cfRule type="duplicateValues" dxfId="1502" priority="1462"/>
  </conditionalFormatting>
  <conditionalFormatting sqref="U760:U762">
    <cfRule type="duplicateValues" dxfId="1501" priority="1461"/>
  </conditionalFormatting>
  <conditionalFormatting sqref="U760:U762">
    <cfRule type="duplicateValues" dxfId="1500" priority="1460"/>
  </conditionalFormatting>
  <conditionalFormatting sqref="U760:U762">
    <cfRule type="duplicateValues" dxfId="1499" priority="1459"/>
  </conditionalFormatting>
  <conditionalFormatting sqref="U760:U762">
    <cfRule type="duplicateValues" dxfId="1498" priority="1458"/>
  </conditionalFormatting>
  <conditionalFormatting sqref="U760:U762">
    <cfRule type="duplicateValues" dxfId="1497" priority="1457"/>
  </conditionalFormatting>
  <conditionalFormatting sqref="U760:U762">
    <cfRule type="duplicateValues" dxfId="1496" priority="1456"/>
  </conditionalFormatting>
  <conditionalFormatting sqref="U760:U762">
    <cfRule type="duplicateValues" dxfId="1495" priority="1455"/>
  </conditionalFormatting>
  <conditionalFormatting sqref="U760:U762">
    <cfRule type="duplicateValues" dxfId="1494" priority="1454"/>
  </conditionalFormatting>
  <conditionalFormatting sqref="U760:U762">
    <cfRule type="duplicateValues" dxfId="1493" priority="1453"/>
  </conditionalFormatting>
  <conditionalFormatting sqref="U760:U762">
    <cfRule type="duplicateValues" dxfId="1492" priority="1452"/>
  </conditionalFormatting>
  <conditionalFormatting sqref="U760:U762">
    <cfRule type="duplicateValues" dxfId="1491" priority="1451"/>
  </conditionalFormatting>
  <conditionalFormatting sqref="U760:U762">
    <cfRule type="duplicateValues" dxfId="1490" priority="1450"/>
  </conditionalFormatting>
  <conditionalFormatting sqref="U760:U762">
    <cfRule type="duplicateValues" dxfId="1489" priority="1449"/>
  </conditionalFormatting>
  <conditionalFormatting sqref="U760:U762">
    <cfRule type="duplicateValues" dxfId="1488" priority="1448"/>
  </conditionalFormatting>
  <conditionalFormatting sqref="U760:U762">
    <cfRule type="duplicateValues" dxfId="1487" priority="1447"/>
  </conditionalFormatting>
  <conditionalFormatting sqref="U760:U762">
    <cfRule type="duplicateValues" dxfId="1486" priority="1446"/>
  </conditionalFormatting>
  <conditionalFormatting sqref="U760:U762">
    <cfRule type="duplicateValues" dxfId="1485" priority="1445"/>
  </conditionalFormatting>
  <conditionalFormatting sqref="U760:U762">
    <cfRule type="duplicateValues" dxfId="1484" priority="1444"/>
  </conditionalFormatting>
  <conditionalFormatting sqref="U760:U762">
    <cfRule type="duplicateValues" dxfId="1483" priority="1443"/>
  </conditionalFormatting>
  <conditionalFormatting sqref="U760:U762">
    <cfRule type="duplicateValues" dxfId="1482" priority="1442"/>
  </conditionalFormatting>
  <conditionalFormatting sqref="U760:U762">
    <cfRule type="duplicateValues" dxfId="1481" priority="1441"/>
  </conditionalFormatting>
  <conditionalFormatting sqref="U760:U762">
    <cfRule type="duplicateValues" dxfId="1480" priority="1440"/>
  </conditionalFormatting>
  <conditionalFormatting sqref="U760:U762">
    <cfRule type="duplicateValues" dxfId="1479" priority="1439"/>
  </conditionalFormatting>
  <conditionalFormatting sqref="U760:U762">
    <cfRule type="duplicateValues" dxfId="1478" priority="1438"/>
  </conditionalFormatting>
  <conditionalFormatting sqref="U760:U762">
    <cfRule type="duplicateValues" dxfId="1477" priority="1437"/>
  </conditionalFormatting>
  <conditionalFormatting sqref="U760:U762">
    <cfRule type="duplicateValues" dxfId="1476" priority="1436"/>
  </conditionalFormatting>
  <conditionalFormatting sqref="U760:U762">
    <cfRule type="duplicateValues" dxfId="1475" priority="1435"/>
  </conditionalFormatting>
  <conditionalFormatting sqref="U760:U762">
    <cfRule type="duplicateValues" dxfId="1474" priority="1434"/>
  </conditionalFormatting>
  <conditionalFormatting sqref="U760:U762">
    <cfRule type="duplicateValues" dxfId="1473" priority="1433"/>
  </conditionalFormatting>
  <conditionalFormatting sqref="U760:U762">
    <cfRule type="duplicateValues" dxfId="1472" priority="1432"/>
  </conditionalFormatting>
  <conditionalFormatting sqref="U760:U762">
    <cfRule type="duplicateValues" dxfId="1471" priority="1431"/>
  </conditionalFormatting>
  <conditionalFormatting sqref="U760:U762">
    <cfRule type="duplicateValues" dxfId="1470" priority="1430"/>
  </conditionalFormatting>
  <conditionalFormatting sqref="U760:U762">
    <cfRule type="duplicateValues" dxfId="1469" priority="1429"/>
  </conditionalFormatting>
  <conditionalFormatting sqref="U760:U762">
    <cfRule type="duplicateValues" dxfId="1468" priority="1428"/>
  </conditionalFormatting>
  <conditionalFormatting sqref="U760:U762">
    <cfRule type="duplicateValues" dxfId="1467" priority="1427"/>
  </conditionalFormatting>
  <conditionalFormatting sqref="U760:U762">
    <cfRule type="duplicateValues" dxfId="1466" priority="1426"/>
  </conditionalFormatting>
  <conditionalFormatting sqref="U760:U762">
    <cfRule type="duplicateValues" dxfId="1465" priority="1425"/>
  </conditionalFormatting>
  <conditionalFormatting sqref="U760:U762">
    <cfRule type="duplicateValues" dxfId="1464" priority="1424"/>
  </conditionalFormatting>
  <conditionalFormatting sqref="U760:U762">
    <cfRule type="duplicateValues" dxfId="1463" priority="1423"/>
  </conditionalFormatting>
  <conditionalFormatting sqref="U760:U762">
    <cfRule type="duplicateValues" dxfId="1462" priority="1422"/>
  </conditionalFormatting>
  <conditionalFormatting sqref="U760:U762">
    <cfRule type="duplicateValues" dxfId="1461" priority="1421"/>
  </conditionalFormatting>
  <conditionalFormatting sqref="U760:U762">
    <cfRule type="duplicateValues" dxfId="1460" priority="1420"/>
  </conditionalFormatting>
  <conditionalFormatting sqref="U760:U762">
    <cfRule type="duplicateValues" dxfId="1459" priority="1419"/>
  </conditionalFormatting>
  <conditionalFormatting sqref="U760:U762">
    <cfRule type="duplicateValues" dxfId="1458" priority="1418"/>
  </conditionalFormatting>
  <conditionalFormatting sqref="U760:U762">
    <cfRule type="duplicateValues" dxfId="1457" priority="1417"/>
  </conditionalFormatting>
  <conditionalFormatting sqref="U760:U762">
    <cfRule type="duplicateValues" dxfId="1456" priority="1416"/>
  </conditionalFormatting>
  <conditionalFormatting sqref="U760:U762">
    <cfRule type="duplicateValues" dxfId="1455" priority="1415"/>
  </conditionalFormatting>
  <conditionalFormatting sqref="U760:U762">
    <cfRule type="duplicateValues" dxfId="1454" priority="1414"/>
  </conditionalFormatting>
  <conditionalFormatting sqref="U760:U762">
    <cfRule type="duplicateValues" dxfId="1453" priority="1413"/>
  </conditionalFormatting>
  <conditionalFormatting sqref="U760:U762">
    <cfRule type="duplicateValues" dxfId="1452" priority="1412"/>
  </conditionalFormatting>
  <conditionalFormatting sqref="U760:U762">
    <cfRule type="duplicateValues" dxfId="1451" priority="1411"/>
  </conditionalFormatting>
  <conditionalFormatting sqref="U760:U762">
    <cfRule type="duplicateValues" dxfId="1450" priority="1410"/>
  </conditionalFormatting>
  <conditionalFormatting sqref="U760:U762">
    <cfRule type="duplicateValues" dxfId="1449" priority="1409"/>
  </conditionalFormatting>
  <conditionalFormatting sqref="U760:U762">
    <cfRule type="duplicateValues" dxfId="1448" priority="1408"/>
  </conditionalFormatting>
  <conditionalFormatting sqref="U760:U762">
    <cfRule type="duplicateValues" dxfId="1447" priority="1407"/>
  </conditionalFormatting>
  <conditionalFormatting sqref="U760:U762">
    <cfRule type="duplicateValues" dxfId="1446" priority="1406"/>
  </conditionalFormatting>
  <conditionalFormatting sqref="U760:U762">
    <cfRule type="duplicateValues" dxfId="1445" priority="1405"/>
  </conditionalFormatting>
  <conditionalFormatting sqref="U760:U762">
    <cfRule type="duplicateValues" dxfId="1444" priority="1404"/>
  </conditionalFormatting>
  <conditionalFormatting sqref="U760:U762">
    <cfRule type="duplicateValues" dxfId="1443" priority="1403"/>
  </conditionalFormatting>
  <conditionalFormatting sqref="U760:U762">
    <cfRule type="duplicateValues" dxfId="1442" priority="1402"/>
  </conditionalFormatting>
  <conditionalFormatting sqref="U760:U762">
    <cfRule type="duplicateValues" dxfId="1441" priority="1401"/>
  </conditionalFormatting>
  <conditionalFormatting sqref="U760:U762">
    <cfRule type="duplicateValues" dxfId="1440" priority="1400"/>
  </conditionalFormatting>
  <conditionalFormatting sqref="U760:U762">
    <cfRule type="duplicateValues" dxfId="1439" priority="1399"/>
  </conditionalFormatting>
  <conditionalFormatting sqref="U760:U762">
    <cfRule type="duplicateValues" dxfId="1438" priority="1398"/>
  </conditionalFormatting>
  <conditionalFormatting sqref="U760:U762">
    <cfRule type="duplicateValues" dxfId="1437" priority="1397"/>
  </conditionalFormatting>
  <conditionalFormatting sqref="U760:U762">
    <cfRule type="duplicateValues" dxfId="1436" priority="1396"/>
  </conditionalFormatting>
  <conditionalFormatting sqref="U760:U762">
    <cfRule type="duplicateValues" dxfId="1435" priority="1395"/>
  </conditionalFormatting>
  <conditionalFormatting sqref="U760:U762">
    <cfRule type="duplicateValues" dxfId="1434" priority="1394"/>
  </conditionalFormatting>
  <conditionalFormatting sqref="U760:U762">
    <cfRule type="duplicateValues" dxfId="1433" priority="1393"/>
  </conditionalFormatting>
  <conditionalFormatting sqref="U760:U762">
    <cfRule type="duplicateValues" dxfId="1432" priority="1392"/>
  </conditionalFormatting>
  <conditionalFormatting sqref="U760:U762">
    <cfRule type="duplicateValues" dxfId="1431" priority="1391"/>
  </conditionalFormatting>
  <conditionalFormatting sqref="U760:U762">
    <cfRule type="duplicateValues" dxfId="1430" priority="1390"/>
  </conditionalFormatting>
  <conditionalFormatting sqref="U760:U762">
    <cfRule type="duplicateValues" dxfId="1429" priority="1389"/>
  </conditionalFormatting>
  <conditionalFormatting sqref="U760:U762">
    <cfRule type="duplicateValues" dxfId="1428" priority="1388"/>
  </conditionalFormatting>
  <conditionalFormatting sqref="U760:U762">
    <cfRule type="duplicateValues" dxfId="1427" priority="1387"/>
  </conditionalFormatting>
  <conditionalFormatting sqref="U760:U762">
    <cfRule type="duplicateValues" dxfId="1426" priority="1386"/>
  </conditionalFormatting>
  <conditionalFormatting sqref="U760:U762">
    <cfRule type="duplicateValues" dxfId="1425" priority="1385"/>
  </conditionalFormatting>
  <conditionalFormatting sqref="U760:U762">
    <cfRule type="duplicateValues" dxfId="1424" priority="1384"/>
  </conditionalFormatting>
  <conditionalFormatting sqref="U760:U762">
    <cfRule type="duplicateValues" dxfId="1423" priority="1383"/>
  </conditionalFormatting>
  <conditionalFormatting sqref="U760:U762">
    <cfRule type="duplicateValues" dxfId="1422" priority="1382"/>
  </conditionalFormatting>
  <conditionalFormatting sqref="U760:U762">
    <cfRule type="duplicateValues" dxfId="1421" priority="1381"/>
  </conditionalFormatting>
  <conditionalFormatting sqref="U760:U762">
    <cfRule type="duplicateValues" dxfId="1420" priority="1380"/>
  </conditionalFormatting>
  <conditionalFormatting sqref="U760:U762">
    <cfRule type="duplicateValues" dxfId="1419" priority="1379"/>
  </conditionalFormatting>
  <conditionalFormatting sqref="U760:U762">
    <cfRule type="duplicateValues" dxfId="1418" priority="1378"/>
  </conditionalFormatting>
  <conditionalFormatting sqref="U760:U762">
    <cfRule type="duplicateValues" dxfId="1417" priority="1377"/>
  </conditionalFormatting>
  <conditionalFormatting sqref="U760:U762">
    <cfRule type="duplicateValues" dxfId="1416" priority="1376"/>
  </conditionalFormatting>
  <conditionalFormatting sqref="U760:U762">
    <cfRule type="duplicateValues" dxfId="1415" priority="1375"/>
  </conditionalFormatting>
  <conditionalFormatting sqref="U760:U762">
    <cfRule type="duplicateValues" dxfId="1414" priority="1374"/>
  </conditionalFormatting>
  <conditionalFormatting sqref="U760:U762">
    <cfRule type="duplicateValues" dxfId="1413" priority="1373"/>
  </conditionalFormatting>
  <conditionalFormatting sqref="U760:U762">
    <cfRule type="duplicateValues" dxfId="1412" priority="1372"/>
  </conditionalFormatting>
  <conditionalFormatting sqref="U760:U762">
    <cfRule type="duplicateValues" dxfId="1411" priority="1371"/>
  </conditionalFormatting>
  <conditionalFormatting sqref="U760:U762">
    <cfRule type="duplicateValues" dxfId="1410" priority="1370"/>
  </conditionalFormatting>
  <conditionalFormatting sqref="U760:U762">
    <cfRule type="duplicateValues" dxfId="1409" priority="1369"/>
  </conditionalFormatting>
  <conditionalFormatting sqref="U760:U762">
    <cfRule type="duplicateValues" dxfId="1408" priority="1368"/>
  </conditionalFormatting>
  <conditionalFormatting sqref="U760:U762">
    <cfRule type="duplicateValues" dxfId="1407" priority="1367"/>
  </conditionalFormatting>
  <conditionalFormatting sqref="U760:U762">
    <cfRule type="duplicateValues" dxfId="1406" priority="1366"/>
  </conditionalFormatting>
  <conditionalFormatting sqref="U760:U762">
    <cfRule type="duplicateValues" dxfId="1405" priority="1365"/>
  </conditionalFormatting>
  <conditionalFormatting sqref="U760:U762">
    <cfRule type="duplicateValues" dxfId="1404" priority="1364"/>
  </conditionalFormatting>
  <conditionalFormatting sqref="U760:U762">
    <cfRule type="duplicateValues" dxfId="1403" priority="1363"/>
  </conditionalFormatting>
  <conditionalFormatting sqref="U760:U762">
    <cfRule type="duplicateValues" dxfId="1402" priority="1362"/>
  </conditionalFormatting>
  <conditionalFormatting sqref="U760:U762">
    <cfRule type="duplicateValues" dxfId="1401" priority="1361"/>
  </conditionalFormatting>
  <conditionalFormatting sqref="U760:U762">
    <cfRule type="duplicateValues" dxfId="1400" priority="1360"/>
  </conditionalFormatting>
  <conditionalFormatting sqref="U760:U762">
    <cfRule type="duplicateValues" dxfId="1399" priority="1359"/>
  </conditionalFormatting>
  <conditionalFormatting sqref="U760:U762">
    <cfRule type="duplicateValues" dxfId="1398" priority="1358"/>
  </conditionalFormatting>
  <conditionalFormatting sqref="U760:U762">
    <cfRule type="duplicateValues" dxfId="1397" priority="1357"/>
  </conditionalFormatting>
  <conditionalFormatting sqref="U763:U767">
    <cfRule type="duplicateValues" dxfId="1396" priority="1356"/>
  </conditionalFormatting>
  <conditionalFormatting sqref="U763:U767">
    <cfRule type="duplicateValues" dxfId="1395" priority="1355"/>
  </conditionalFormatting>
  <conditionalFormatting sqref="U763:U767">
    <cfRule type="duplicateValues" dxfId="1394" priority="1354"/>
  </conditionalFormatting>
  <conditionalFormatting sqref="U763:U767">
    <cfRule type="duplicateValues" dxfId="1393" priority="1353"/>
  </conditionalFormatting>
  <conditionalFormatting sqref="U763:U767">
    <cfRule type="duplicateValues" dxfId="1392" priority="1352"/>
  </conditionalFormatting>
  <conditionalFormatting sqref="U763:U767">
    <cfRule type="duplicateValues" dxfId="1391" priority="1351"/>
  </conditionalFormatting>
  <conditionalFormatting sqref="U763:U767">
    <cfRule type="duplicateValues" dxfId="1390" priority="1350"/>
  </conditionalFormatting>
  <conditionalFormatting sqref="U763:U767">
    <cfRule type="duplicateValues" dxfId="1389" priority="1349"/>
  </conditionalFormatting>
  <conditionalFormatting sqref="U763:U767">
    <cfRule type="duplicateValues" dxfId="1388" priority="1348"/>
  </conditionalFormatting>
  <conditionalFormatting sqref="U763:U767">
    <cfRule type="duplicateValues" dxfId="1387" priority="1347"/>
  </conditionalFormatting>
  <conditionalFormatting sqref="U763:U767">
    <cfRule type="duplicateValues" dxfId="1386" priority="1346"/>
  </conditionalFormatting>
  <conditionalFormatting sqref="U763:U767">
    <cfRule type="duplicateValues" dxfId="1385" priority="1345"/>
  </conditionalFormatting>
  <conditionalFormatting sqref="U763:U767">
    <cfRule type="duplicateValues" dxfId="1384" priority="1344"/>
  </conditionalFormatting>
  <conditionalFormatting sqref="U763:U767">
    <cfRule type="duplicateValues" dxfId="1383" priority="1343"/>
  </conditionalFormatting>
  <conditionalFormatting sqref="U763:U767">
    <cfRule type="duplicateValues" dxfId="1382" priority="1342"/>
  </conditionalFormatting>
  <conditionalFormatting sqref="U763:U767">
    <cfRule type="duplicateValues" dxfId="1381" priority="1341"/>
  </conditionalFormatting>
  <conditionalFormatting sqref="U763:U767">
    <cfRule type="duplicateValues" dxfId="1380" priority="1340"/>
  </conditionalFormatting>
  <conditionalFormatting sqref="U763:U767">
    <cfRule type="duplicateValues" dxfId="1379" priority="1339"/>
  </conditionalFormatting>
  <conditionalFormatting sqref="U763:U767">
    <cfRule type="duplicateValues" dxfId="1378" priority="1338"/>
  </conditionalFormatting>
  <conditionalFormatting sqref="U763:U767">
    <cfRule type="duplicateValues" dxfId="1377" priority="1337"/>
  </conditionalFormatting>
  <conditionalFormatting sqref="U763:U767">
    <cfRule type="duplicateValues" dxfId="1376" priority="1336"/>
  </conditionalFormatting>
  <conditionalFormatting sqref="U763:U767">
    <cfRule type="duplicateValues" dxfId="1375" priority="1335"/>
  </conditionalFormatting>
  <conditionalFormatting sqref="U763:U767">
    <cfRule type="duplicateValues" dxfId="1374" priority="1334"/>
  </conditionalFormatting>
  <conditionalFormatting sqref="U763:U767">
    <cfRule type="duplicateValues" dxfId="1373" priority="1333"/>
  </conditionalFormatting>
  <conditionalFormatting sqref="U763:U767">
    <cfRule type="duplicateValues" dxfId="1372" priority="1332"/>
  </conditionalFormatting>
  <conditionalFormatting sqref="U763:U767">
    <cfRule type="duplicateValues" dxfId="1371" priority="1331"/>
  </conditionalFormatting>
  <conditionalFormatting sqref="U763:U767">
    <cfRule type="duplicateValues" dxfId="1370" priority="1330"/>
  </conditionalFormatting>
  <conditionalFormatting sqref="U763:U767">
    <cfRule type="duplicateValues" dxfId="1369" priority="1329"/>
  </conditionalFormatting>
  <conditionalFormatting sqref="U763:U767">
    <cfRule type="duplicateValues" dxfId="1368" priority="1328"/>
  </conditionalFormatting>
  <conditionalFormatting sqref="U763:U767">
    <cfRule type="duplicateValues" dxfId="1367" priority="1327"/>
  </conditionalFormatting>
  <conditionalFormatting sqref="U763:U767">
    <cfRule type="duplicateValues" dxfId="1366" priority="1326"/>
  </conditionalFormatting>
  <conditionalFormatting sqref="U763:U767">
    <cfRule type="duplicateValues" dxfId="1365" priority="1325"/>
  </conditionalFormatting>
  <conditionalFormatting sqref="U763:U767">
    <cfRule type="duplicateValues" dxfId="1364" priority="1324"/>
  </conditionalFormatting>
  <conditionalFormatting sqref="U763:U767">
    <cfRule type="duplicateValues" dxfId="1363" priority="1323"/>
  </conditionalFormatting>
  <conditionalFormatting sqref="U763:U767">
    <cfRule type="duplicateValues" dxfId="1362" priority="1322"/>
  </conditionalFormatting>
  <conditionalFormatting sqref="U763:U767">
    <cfRule type="duplicateValues" dxfId="1361" priority="1321"/>
  </conditionalFormatting>
  <conditionalFormatting sqref="U763:U767">
    <cfRule type="duplicateValues" dxfId="1360" priority="1320"/>
  </conditionalFormatting>
  <conditionalFormatting sqref="U763:U767">
    <cfRule type="duplicateValues" dxfId="1359" priority="1319"/>
  </conditionalFormatting>
  <conditionalFormatting sqref="U763:U767">
    <cfRule type="duplicateValues" dxfId="1358" priority="1318"/>
  </conditionalFormatting>
  <conditionalFormatting sqref="U763:U767">
    <cfRule type="duplicateValues" dxfId="1357" priority="1317"/>
  </conditionalFormatting>
  <conditionalFormatting sqref="U763:U767">
    <cfRule type="duplicateValues" dxfId="1356" priority="1316"/>
  </conditionalFormatting>
  <conditionalFormatting sqref="U763:U767">
    <cfRule type="duplicateValues" dxfId="1355" priority="1315"/>
  </conditionalFormatting>
  <conditionalFormatting sqref="U763:U767">
    <cfRule type="duplicateValues" dxfId="1354" priority="1314"/>
  </conditionalFormatting>
  <conditionalFormatting sqref="U763:U767">
    <cfRule type="duplicateValues" dxfId="1353" priority="1313"/>
  </conditionalFormatting>
  <conditionalFormatting sqref="U763:U767">
    <cfRule type="duplicateValues" dxfId="1352" priority="1312"/>
  </conditionalFormatting>
  <conditionalFormatting sqref="U763:U767">
    <cfRule type="duplicateValues" dxfId="1351" priority="1311"/>
  </conditionalFormatting>
  <conditionalFormatting sqref="U763:U767">
    <cfRule type="duplicateValues" dxfId="1350" priority="1310"/>
  </conditionalFormatting>
  <conditionalFormatting sqref="U763:U767">
    <cfRule type="duplicateValues" dxfId="1349" priority="1309"/>
  </conditionalFormatting>
  <conditionalFormatting sqref="U763:U767">
    <cfRule type="duplicateValues" dxfId="1348" priority="1308"/>
  </conditionalFormatting>
  <conditionalFormatting sqref="U763:U767">
    <cfRule type="duplicateValues" dxfId="1347" priority="1307"/>
  </conditionalFormatting>
  <conditionalFormatting sqref="U763:U767">
    <cfRule type="duplicateValues" dxfId="1346" priority="1306"/>
  </conditionalFormatting>
  <conditionalFormatting sqref="U763:U767">
    <cfRule type="duplicateValues" dxfId="1345" priority="1305"/>
  </conditionalFormatting>
  <conditionalFormatting sqref="U763:U767">
    <cfRule type="duplicateValues" dxfId="1344" priority="1304"/>
  </conditionalFormatting>
  <conditionalFormatting sqref="U763:U767">
    <cfRule type="duplicateValues" dxfId="1343" priority="1303"/>
  </conditionalFormatting>
  <conditionalFormatting sqref="U763:U767">
    <cfRule type="duplicateValues" dxfId="1342" priority="1302"/>
  </conditionalFormatting>
  <conditionalFormatting sqref="U763:U767">
    <cfRule type="duplicateValues" dxfId="1341" priority="1301"/>
  </conditionalFormatting>
  <conditionalFormatting sqref="U763:U767">
    <cfRule type="duplicateValues" dxfId="1340" priority="1300"/>
  </conditionalFormatting>
  <conditionalFormatting sqref="U763:U767">
    <cfRule type="duplicateValues" dxfId="1339" priority="1299"/>
  </conditionalFormatting>
  <conditionalFormatting sqref="U763:U767">
    <cfRule type="duplicateValues" dxfId="1338" priority="1298"/>
  </conditionalFormatting>
  <conditionalFormatting sqref="U763:U767">
    <cfRule type="duplicateValues" dxfId="1337" priority="1297"/>
  </conditionalFormatting>
  <conditionalFormatting sqref="U763:U767">
    <cfRule type="duplicateValues" dxfId="1336" priority="1296"/>
  </conditionalFormatting>
  <conditionalFormatting sqref="U763:U767">
    <cfRule type="duplicateValues" dxfId="1335" priority="1295"/>
  </conditionalFormatting>
  <conditionalFormatting sqref="U763:U767">
    <cfRule type="duplicateValues" dxfId="1334" priority="1294"/>
  </conditionalFormatting>
  <conditionalFormatting sqref="U763:U767">
    <cfRule type="duplicateValues" dxfId="1333" priority="1293"/>
  </conditionalFormatting>
  <conditionalFormatting sqref="U763:U767">
    <cfRule type="duplicateValues" dxfId="1332" priority="1292"/>
  </conditionalFormatting>
  <conditionalFormatting sqref="U763:U767">
    <cfRule type="duplicateValues" dxfId="1331" priority="1291"/>
  </conditionalFormatting>
  <conditionalFormatting sqref="U763:U767">
    <cfRule type="duplicateValues" dxfId="1330" priority="1290"/>
  </conditionalFormatting>
  <conditionalFormatting sqref="U763:U767">
    <cfRule type="duplicateValues" dxfId="1329" priority="1289"/>
  </conditionalFormatting>
  <conditionalFormatting sqref="U763:U767">
    <cfRule type="duplicateValues" dxfId="1328" priority="1288"/>
  </conditionalFormatting>
  <conditionalFormatting sqref="U763:U767">
    <cfRule type="duplicateValues" dxfId="1327" priority="1287"/>
  </conditionalFormatting>
  <conditionalFormatting sqref="U763:U767">
    <cfRule type="duplicateValues" dxfId="1326" priority="1286"/>
  </conditionalFormatting>
  <conditionalFormatting sqref="U763:U767">
    <cfRule type="duplicateValues" dxfId="1325" priority="1285"/>
  </conditionalFormatting>
  <conditionalFormatting sqref="U763:U767">
    <cfRule type="duplicateValues" dxfId="1324" priority="1284"/>
  </conditionalFormatting>
  <conditionalFormatting sqref="U763:U767">
    <cfRule type="duplicateValues" dxfId="1323" priority="1283"/>
  </conditionalFormatting>
  <conditionalFormatting sqref="U763:U767">
    <cfRule type="duplicateValues" dxfId="1322" priority="1282"/>
  </conditionalFormatting>
  <conditionalFormatting sqref="U763:U767">
    <cfRule type="duplicateValues" dxfId="1321" priority="1281"/>
  </conditionalFormatting>
  <conditionalFormatting sqref="U763:U767">
    <cfRule type="duplicateValues" dxfId="1320" priority="1280"/>
  </conditionalFormatting>
  <conditionalFormatting sqref="U763:U767">
    <cfRule type="duplicateValues" dxfId="1319" priority="1279"/>
  </conditionalFormatting>
  <conditionalFormatting sqref="U763:U767">
    <cfRule type="duplicateValues" dxfId="1318" priority="1278"/>
  </conditionalFormatting>
  <conditionalFormatting sqref="U763:U767">
    <cfRule type="duplicateValues" dxfId="1317" priority="1277"/>
  </conditionalFormatting>
  <conditionalFormatting sqref="U763:U767">
    <cfRule type="duplicateValues" dxfId="1316" priority="1276"/>
  </conditionalFormatting>
  <conditionalFormatting sqref="U763:U767">
    <cfRule type="duplicateValues" dxfId="1315" priority="1275"/>
  </conditionalFormatting>
  <conditionalFormatting sqref="U763:U767">
    <cfRule type="duplicateValues" dxfId="1314" priority="1274"/>
  </conditionalFormatting>
  <conditionalFormatting sqref="U763:U767">
    <cfRule type="duplicateValues" dxfId="1313" priority="1273"/>
  </conditionalFormatting>
  <conditionalFormatting sqref="U763:U767">
    <cfRule type="duplicateValues" dxfId="1312" priority="1272"/>
  </conditionalFormatting>
  <conditionalFormatting sqref="U763:U767">
    <cfRule type="duplicateValues" dxfId="1311" priority="1271"/>
  </conditionalFormatting>
  <conditionalFormatting sqref="U763:U767">
    <cfRule type="duplicateValues" dxfId="1310" priority="1270"/>
  </conditionalFormatting>
  <conditionalFormatting sqref="U763:U767">
    <cfRule type="duplicateValues" dxfId="1309" priority="1269"/>
  </conditionalFormatting>
  <conditionalFormatting sqref="U763:U767">
    <cfRule type="duplicateValues" dxfId="1308" priority="1268"/>
  </conditionalFormatting>
  <conditionalFormatting sqref="U763:U767">
    <cfRule type="duplicateValues" dxfId="1307" priority="1267"/>
  </conditionalFormatting>
  <conditionalFormatting sqref="U763:U767">
    <cfRule type="duplicateValues" dxfId="1306" priority="1266"/>
  </conditionalFormatting>
  <conditionalFormatting sqref="U763:U767">
    <cfRule type="duplicateValues" dxfId="1305" priority="1265"/>
  </conditionalFormatting>
  <conditionalFormatting sqref="U763:U767">
    <cfRule type="duplicateValues" dxfId="1304" priority="1264"/>
  </conditionalFormatting>
  <conditionalFormatting sqref="U763:U767">
    <cfRule type="duplicateValues" dxfId="1303" priority="1263"/>
  </conditionalFormatting>
  <conditionalFormatting sqref="U763:U767">
    <cfRule type="duplicateValues" dxfId="1302" priority="1262"/>
  </conditionalFormatting>
  <conditionalFormatting sqref="U763:U767">
    <cfRule type="duplicateValues" dxfId="1301" priority="1261"/>
  </conditionalFormatting>
  <conditionalFormatting sqref="U763:U767">
    <cfRule type="duplicateValues" dxfId="1300" priority="1260"/>
  </conditionalFormatting>
  <conditionalFormatting sqref="U763:U767">
    <cfRule type="duplicateValues" dxfId="1299" priority="1259"/>
  </conditionalFormatting>
  <conditionalFormatting sqref="U763:U767">
    <cfRule type="duplicateValues" dxfId="1298" priority="1258"/>
  </conditionalFormatting>
  <conditionalFormatting sqref="U763:U767">
    <cfRule type="duplicateValues" dxfId="1297" priority="1257"/>
  </conditionalFormatting>
  <conditionalFormatting sqref="U763:U767">
    <cfRule type="duplicateValues" dxfId="1296" priority="1256"/>
  </conditionalFormatting>
  <conditionalFormatting sqref="U763:U767">
    <cfRule type="duplicateValues" dxfId="1295" priority="1255"/>
  </conditionalFormatting>
  <conditionalFormatting sqref="U763:U767">
    <cfRule type="duplicateValues" dxfId="1294" priority="1254"/>
  </conditionalFormatting>
  <conditionalFormatting sqref="U763:U767">
    <cfRule type="duplicateValues" dxfId="1293" priority="1253"/>
  </conditionalFormatting>
  <conditionalFormatting sqref="U763:U767">
    <cfRule type="duplicateValues" dxfId="1292" priority="1252"/>
  </conditionalFormatting>
  <conditionalFormatting sqref="U763:U767">
    <cfRule type="duplicateValues" dxfId="1291" priority="1251"/>
  </conditionalFormatting>
  <conditionalFormatting sqref="U763:U767">
    <cfRule type="duplicateValues" dxfId="1290" priority="1250"/>
  </conditionalFormatting>
  <conditionalFormatting sqref="U763:U767">
    <cfRule type="duplicateValues" dxfId="1289" priority="1249"/>
  </conditionalFormatting>
  <conditionalFormatting sqref="U763:U767">
    <cfRule type="duplicateValues" dxfId="1288" priority="1248"/>
  </conditionalFormatting>
  <conditionalFormatting sqref="U763:U767">
    <cfRule type="duplicateValues" dxfId="1287" priority="1247"/>
  </conditionalFormatting>
  <conditionalFormatting sqref="U763:U767">
    <cfRule type="duplicateValues" dxfId="1286" priority="1246"/>
  </conditionalFormatting>
  <conditionalFormatting sqref="U763:U767">
    <cfRule type="duplicateValues" dxfId="1285" priority="1245"/>
  </conditionalFormatting>
  <conditionalFormatting sqref="U763:U767">
    <cfRule type="duplicateValues" dxfId="1284" priority="1244"/>
  </conditionalFormatting>
  <conditionalFormatting sqref="U768">
    <cfRule type="duplicateValues" dxfId="1283" priority="1243"/>
  </conditionalFormatting>
  <conditionalFormatting sqref="U768">
    <cfRule type="duplicateValues" dxfId="1282" priority="1242"/>
  </conditionalFormatting>
  <conditionalFormatting sqref="U768">
    <cfRule type="duplicateValues" dxfId="1281" priority="1241"/>
  </conditionalFormatting>
  <conditionalFormatting sqref="U768">
    <cfRule type="duplicateValues" dxfId="1280" priority="1240"/>
  </conditionalFormatting>
  <conditionalFormatting sqref="U768">
    <cfRule type="duplicateValues" dxfId="1279" priority="1239"/>
  </conditionalFormatting>
  <conditionalFormatting sqref="U768">
    <cfRule type="duplicateValues" dxfId="1278" priority="1238"/>
  </conditionalFormatting>
  <conditionalFormatting sqref="U768">
    <cfRule type="duplicateValues" dxfId="1277" priority="1237"/>
  </conditionalFormatting>
  <conditionalFormatting sqref="U768">
    <cfRule type="duplicateValues" dxfId="1276" priority="1236"/>
  </conditionalFormatting>
  <conditionalFormatting sqref="U768">
    <cfRule type="duplicateValues" dxfId="1275" priority="1235"/>
  </conditionalFormatting>
  <conditionalFormatting sqref="U768">
    <cfRule type="duplicateValues" dxfId="1274" priority="1234"/>
  </conditionalFormatting>
  <conditionalFormatting sqref="U768">
    <cfRule type="duplicateValues" dxfId="1273" priority="1233"/>
  </conditionalFormatting>
  <conditionalFormatting sqref="U768">
    <cfRule type="duplicateValues" dxfId="1272" priority="1232"/>
  </conditionalFormatting>
  <conditionalFormatting sqref="U768">
    <cfRule type="duplicateValues" dxfId="1271" priority="1231"/>
  </conditionalFormatting>
  <conditionalFormatting sqref="U768">
    <cfRule type="duplicateValues" dxfId="1270" priority="1230"/>
  </conditionalFormatting>
  <conditionalFormatting sqref="U768">
    <cfRule type="duplicateValues" dxfId="1269" priority="1229"/>
  </conditionalFormatting>
  <conditionalFormatting sqref="U768">
    <cfRule type="duplicateValues" dxfId="1268" priority="1228"/>
  </conditionalFormatting>
  <conditionalFormatting sqref="U768">
    <cfRule type="duplicateValues" dxfId="1267" priority="1227"/>
  </conditionalFormatting>
  <conditionalFormatting sqref="U768">
    <cfRule type="duplicateValues" dxfId="1266" priority="1226"/>
  </conditionalFormatting>
  <conditionalFormatting sqref="U768">
    <cfRule type="duplicateValues" dxfId="1265" priority="1225"/>
  </conditionalFormatting>
  <conditionalFormatting sqref="U768">
    <cfRule type="duplicateValues" dxfId="1264" priority="1224"/>
  </conditionalFormatting>
  <conditionalFormatting sqref="U768">
    <cfRule type="duplicateValues" dxfId="1263" priority="1223"/>
  </conditionalFormatting>
  <conditionalFormatting sqref="U768">
    <cfRule type="duplicateValues" dxfId="1262" priority="1222"/>
  </conditionalFormatting>
  <conditionalFormatting sqref="U768">
    <cfRule type="duplicateValues" dxfId="1261" priority="1221"/>
  </conditionalFormatting>
  <conditionalFormatting sqref="U768">
    <cfRule type="duplicateValues" dxfId="1260" priority="1220"/>
  </conditionalFormatting>
  <conditionalFormatting sqref="U768">
    <cfRule type="duplicateValues" dxfId="1259" priority="1219"/>
  </conditionalFormatting>
  <conditionalFormatting sqref="U768">
    <cfRule type="duplicateValues" dxfId="1258" priority="1218"/>
  </conditionalFormatting>
  <conditionalFormatting sqref="U768">
    <cfRule type="duplicateValues" dxfId="1257" priority="1217"/>
  </conditionalFormatting>
  <conditionalFormatting sqref="U768">
    <cfRule type="duplicateValues" dxfId="1256" priority="1216"/>
  </conditionalFormatting>
  <conditionalFormatting sqref="U768">
    <cfRule type="duplicateValues" dxfId="1255" priority="1215"/>
  </conditionalFormatting>
  <conditionalFormatting sqref="U768">
    <cfRule type="duplicateValues" dxfId="1254" priority="1214"/>
  </conditionalFormatting>
  <conditionalFormatting sqref="U768">
    <cfRule type="duplicateValues" dxfId="1253" priority="1213"/>
  </conditionalFormatting>
  <conditionalFormatting sqref="U768">
    <cfRule type="duplicateValues" dxfId="1252" priority="1212"/>
  </conditionalFormatting>
  <conditionalFormatting sqref="U768">
    <cfRule type="duplicateValues" dxfId="1251" priority="1211"/>
  </conditionalFormatting>
  <conditionalFormatting sqref="U768">
    <cfRule type="duplicateValues" dxfId="1250" priority="1210"/>
  </conditionalFormatting>
  <conditionalFormatting sqref="U768">
    <cfRule type="duplicateValues" dxfId="1249" priority="1209"/>
  </conditionalFormatting>
  <conditionalFormatting sqref="U768">
    <cfRule type="duplicateValues" dxfId="1248" priority="1208"/>
  </conditionalFormatting>
  <conditionalFormatting sqref="U768">
    <cfRule type="duplicateValues" dxfId="1247" priority="1207"/>
  </conditionalFormatting>
  <conditionalFormatting sqref="U768">
    <cfRule type="duplicateValues" dxfId="1246" priority="1206"/>
  </conditionalFormatting>
  <conditionalFormatting sqref="U768">
    <cfRule type="duplicateValues" dxfId="1245" priority="1205"/>
  </conditionalFormatting>
  <conditionalFormatting sqref="U768">
    <cfRule type="duplicateValues" dxfId="1244" priority="1204"/>
  </conditionalFormatting>
  <conditionalFormatting sqref="U768">
    <cfRule type="duplicateValues" dxfId="1243" priority="1203"/>
  </conditionalFormatting>
  <conditionalFormatting sqref="U768">
    <cfRule type="duplicateValues" dxfId="1242" priority="1202"/>
  </conditionalFormatting>
  <conditionalFormatting sqref="U768">
    <cfRule type="duplicateValues" dxfId="1241" priority="1201"/>
  </conditionalFormatting>
  <conditionalFormatting sqref="U768">
    <cfRule type="duplicateValues" dxfId="1240" priority="1200"/>
  </conditionalFormatting>
  <conditionalFormatting sqref="U768">
    <cfRule type="duplicateValues" dxfId="1239" priority="1199"/>
  </conditionalFormatting>
  <conditionalFormatting sqref="U768">
    <cfRule type="duplicateValues" dxfId="1238" priority="1198"/>
  </conditionalFormatting>
  <conditionalFormatting sqref="U768">
    <cfRule type="duplicateValues" dxfId="1237" priority="1197"/>
  </conditionalFormatting>
  <conditionalFormatting sqref="U768">
    <cfRule type="duplicateValues" dxfId="1236" priority="1196"/>
  </conditionalFormatting>
  <conditionalFormatting sqref="U768">
    <cfRule type="duplicateValues" dxfId="1235" priority="1195"/>
  </conditionalFormatting>
  <conditionalFormatting sqref="U768">
    <cfRule type="duplicateValues" dxfId="1234" priority="1194"/>
  </conditionalFormatting>
  <conditionalFormatting sqref="U768">
    <cfRule type="duplicateValues" dxfId="1233" priority="1193"/>
  </conditionalFormatting>
  <conditionalFormatting sqref="U768">
    <cfRule type="duplicateValues" dxfId="1232" priority="1192"/>
  </conditionalFormatting>
  <conditionalFormatting sqref="U768">
    <cfRule type="duplicateValues" dxfId="1231" priority="1191"/>
  </conditionalFormatting>
  <conditionalFormatting sqref="U768">
    <cfRule type="duplicateValues" dxfId="1230" priority="1190"/>
  </conditionalFormatting>
  <conditionalFormatting sqref="U768">
    <cfRule type="duplicateValues" dxfId="1229" priority="1189"/>
  </conditionalFormatting>
  <conditionalFormatting sqref="U768">
    <cfRule type="duplicateValues" dxfId="1228" priority="1188"/>
  </conditionalFormatting>
  <conditionalFormatting sqref="U768">
    <cfRule type="duplicateValues" dxfId="1227" priority="1187"/>
  </conditionalFormatting>
  <conditionalFormatting sqref="U768">
    <cfRule type="duplicateValues" dxfId="1226" priority="1186"/>
  </conditionalFormatting>
  <conditionalFormatting sqref="U768">
    <cfRule type="duplicateValues" dxfId="1225" priority="1185"/>
  </conditionalFormatting>
  <conditionalFormatting sqref="U768">
    <cfRule type="duplicateValues" dxfId="1224" priority="1184"/>
  </conditionalFormatting>
  <conditionalFormatting sqref="U768">
    <cfRule type="duplicateValues" dxfId="1223" priority="1183"/>
  </conditionalFormatting>
  <conditionalFormatting sqref="U768">
    <cfRule type="duplicateValues" dxfId="1222" priority="1182"/>
  </conditionalFormatting>
  <conditionalFormatting sqref="U768">
    <cfRule type="duplicateValues" dxfId="1221" priority="1181"/>
  </conditionalFormatting>
  <conditionalFormatting sqref="U768">
    <cfRule type="duplicateValues" dxfId="1220" priority="1180"/>
  </conditionalFormatting>
  <conditionalFormatting sqref="U768">
    <cfRule type="duplicateValues" dxfId="1219" priority="1179"/>
  </conditionalFormatting>
  <conditionalFormatting sqref="U768">
    <cfRule type="duplicateValues" dxfId="1218" priority="1178"/>
  </conditionalFormatting>
  <conditionalFormatting sqref="U768">
    <cfRule type="duplicateValues" dxfId="1217" priority="1177"/>
  </conditionalFormatting>
  <conditionalFormatting sqref="U768">
    <cfRule type="duplicateValues" dxfId="1216" priority="1176"/>
  </conditionalFormatting>
  <conditionalFormatting sqref="U768">
    <cfRule type="duplicateValues" dxfId="1215" priority="1175"/>
  </conditionalFormatting>
  <conditionalFormatting sqref="U768">
    <cfRule type="duplicateValues" dxfId="1214" priority="1174"/>
  </conditionalFormatting>
  <conditionalFormatting sqref="U768">
    <cfRule type="duplicateValues" dxfId="1213" priority="1173"/>
  </conditionalFormatting>
  <conditionalFormatting sqref="U768">
    <cfRule type="duplicateValues" dxfId="1212" priority="1172"/>
  </conditionalFormatting>
  <conditionalFormatting sqref="U768">
    <cfRule type="duplicateValues" dxfId="1211" priority="1171"/>
  </conditionalFormatting>
  <conditionalFormatting sqref="U768">
    <cfRule type="duplicateValues" dxfId="1210" priority="1170"/>
  </conditionalFormatting>
  <conditionalFormatting sqref="U768">
    <cfRule type="duplicateValues" dxfId="1209" priority="1169"/>
  </conditionalFormatting>
  <conditionalFormatting sqref="U768">
    <cfRule type="duplicateValues" dxfId="1208" priority="1168"/>
  </conditionalFormatting>
  <conditionalFormatting sqref="U768">
    <cfRule type="duplicateValues" dxfId="1207" priority="1167"/>
  </conditionalFormatting>
  <conditionalFormatting sqref="U768">
    <cfRule type="duplicateValues" dxfId="1206" priority="1166"/>
  </conditionalFormatting>
  <conditionalFormatting sqref="U768">
    <cfRule type="duplicateValues" dxfId="1205" priority="1165"/>
  </conditionalFormatting>
  <conditionalFormatting sqref="U768">
    <cfRule type="duplicateValues" dxfId="1204" priority="1164"/>
  </conditionalFormatting>
  <conditionalFormatting sqref="U768">
    <cfRule type="duplicateValues" dxfId="1203" priority="1163"/>
  </conditionalFormatting>
  <conditionalFormatting sqref="U768">
    <cfRule type="duplicateValues" dxfId="1202" priority="1162"/>
  </conditionalFormatting>
  <conditionalFormatting sqref="U768">
    <cfRule type="duplicateValues" dxfId="1201" priority="1161"/>
  </conditionalFormatting>
  <conditionalFormatting sqref="U768">
    <cfRule type="duplicateValues" dxfId="1200" priority="1160"/>
  </conditionalFormatting>
  <conditionalFormatting sqref="U768">
    <cfRule type="duplicateValues" dxfId="1199" priority="1159"/>
  </conditionalFormatting>
  <conditionalFormatting sqref="U768">
    <cfRule type="duplicateValues" dxfId="1198" priority="1158"/>
  </conditionalFormatting>
  <conditionalFormatting sqref="U768">
    <cfRule type="duplicateValues" dxfId="1197" priority="1157"/>
  </conditionalFormatting>
  <conditionalFormatting sqref="U768">
    <cfRule type="duplicateValues" dxfId="1196" priority="1156"/>
  </conditionalFormatting>
  <conditionalFormatting sqref="U768">
    <cfRule type="duplicateValues" dxfId="1195" priority="1155"/>
  </conditionalFormatting>
  <conditionalFormatting sqref="U768">
    <cfRule type="duplicateValues" dxfId="1194" priority="1154"/>
  </conditionalFormatting>
  <conditionalFormatting sqref="U768">
    <cfRule type="duplicateValues" dxfId="1193" priority="1153"/>
  </conditionalFormatting>
  <conditionalFormatting sqref="U768">
    <cfRule type="duplicateValues" dxfId="1192" priority="1152"/>
  </conditionalFormatting>
  <conditionalFormatting sqref="U768">
    <cfRule type="duplicateValues" dxfId="1191" priority="1151"/>
  </conditionalFormatting>
  <conditionalFormatting sqref="U768">
    <cfRule type="duplicateValues" dxfId="1190" priority="1150"/>
  </conditionalFormatting>
  <conditionalFormatting sqref="U768">
    <cfRule type="duplicateValues" dxfId="1189" priority="1149"/>
  </conditionalFormatting>
  <conditionalFormatting sqref="U768">
    <cfRule type="duplicateValues" dxfId="1188" priority="1148"/>
  </conditionalFormatting>
  <conditionalFormatting sqref="U768">
    <cfRule type="duplicateValues" dxfId="1187" priority="1147"/>
  </conditionalFormatting>
  <conditionalFormatting sqref="U768">
    <cfRule type="duplicateValues" dxfId="1186" priority="1146"/>
  </conditionalFormatting>
  <conditionalFormatting sqref="U768">
    <cfRule type="duplicateValues" dxfId="1185" priority="1145"/>
  </conditionalFormatting>
  <conditionalFormatting sqref="U768">
    <cfRule type="duplicateValues" dxfId="1184" priority="1144"/>
  </conditionalFormatting>
  <conditionalFormatting sqref="U768">
    <cfRule type="duplicateValues" dxfId="1183" priority="1143"/>
  </conditionalFormatting>
  <conditionalFormatting sqref="U768">
    <cfRule type="duplicateValues" dxfId="1182" priority="1142"/>
  </conditionalFormatting>
  <conditionalFormatting sqref="U768">
    <cfRule type="duplicateValues" dxfId="1181" priority="1141"/>
  </conditionalFormatting>
  <conditionalFormatting sqref="U768">
    <cfRule type="duplicateValues" dxfId="1180" priority="1140"/>
  </conditionalFormatting>
  <conditionalFormatting sqref="U768">
    <cfRule type="duplicateValues" dxfId="1179" priority="1139"/>
  </conditionalFormatting>
  <conditionalFormatting sqref="U768">
    <cfRule type="duplicateValues" dxfId="1178" priority="1138"/>
  </conditionalFormatting>
  <conditionalFormatting sqref="U768">
    <cfRule type="duplicateValues" dxfId="1177" priority="1137"/>
  </conditionalFormatting>
  <conditionalFormatting sqref="U768">
    <cfRule type="duplicateValues" dxfId="1176" priority="1136"/>
  </conditionalFormatting>
  <conditionalFormatting sqref="U768">
    <cfRule type="duplicateValues" dxfId="1175" priority="1135"/>
  </conditionalFormatting>
  <conditionalFormatting sqref="U768">
    <cfRule type="duplicateValues" dxfId="1174" priority="1134"/>
  </conditionalFormatting>
  <conditionalFormatting sqref="U768">
    <cfRule type="duplicateValues" dxfId="1173" priority="1133"/>
  </conditionalFormatting>
  <conditionalFormatting sqref="U768">
    <cfRule type="duplicateValues" dxfId="1172" priority="1132"/>
  </conditionalFormatting>
  <conditionalFormatting sqref="U768">
    <cfRule type="duplicateValues" dxfId="1171" priority="1131"/>
  </conditionalFormatting>
  <conditionalFormatting sqref="U769">
    <cfRule type="duplicateValues" dxfId="1170" priority="1130"/>
  </conditionalFormatting>
  <conditionalFormatting sqref="U769">
    <cfRule type="duplicateValues" dxfId="1169" priority="1129"/>
  </conditionalFormatting>
  <conditionalFormatting sqref="U769">
    <cfRule type="duplicateValues" dxfId="1168" priority="1128"/>
  </conditionalFormatting>
  <conditionalFormatting sqref="U769">
    <cfRule type="duplicateValues" dxfId="1167" priority="1127"/>
  </conditionalFormatting>
  <conditionalFormatting sqref="U769">
    <cfRule type="duplicateValues" dxfId="1166" priority="1126"/>
  </conditionalFormatting>
  <conditionalFormatting sqref="U769">
    <cfRule type="duplicateValues" dxfId="1165" priority="1125"/>
  </conditionalFormatting>
  <conditionalFormatting sqref="U769">
    <cfRule type="duplicateValues" dxfId="1164" priority="1124"/>
  </conditionalFormatting>
  <conditionalFormatting sqref="U769">
    <cfRule type="duplicateValues" dxfId="1163" priority="1123"/>
  </conditionalFormatting>
  <conditionalFormatting sqref="U769">
    <cfRule type="duplicateValues" dxfId="1162" priority="1122"/>
  </conditionalFormatting>
  <conditionalFormatting sqref="U769">
    <cfRule type="duplicateValues" dxfId="1161" priority="1121"/>
  </conditionalFormatting>
  <conditionalFormatting sqref="U769">
    <cfRule type="duplicateValues" dxfId="1160" priority="1120"/>
  </conditionalFormatting>
  <conditionalFormatting sqref="U769">
    <cfRule type="duplicateValues" dxfId="1159" priority="1119"/>
  </conditionalFormatting>
  <conditionalFormatting sqref="U769">
    <cfRule type="duplicateValues" dxfId="1158" priority="1118"/>
  </conditionalFormatting>
  <conditionalFormatting sqref="U769">
    <cfRule type="duplicateValues" dxfId="1157" priority="1117"/>
  </conditionalFormatting>
  <conditionalFormatting sqref="U769">
    <cfRule type="duplicateValues" dxfId="1156" priority="1116"/>
  </conditionalFormatting>
  <conditionalFormatting sqref="U769">
    <cfRule type="duplicateValues" dxfId="1155" priority="1115"/>
  </conditionalFormatting>
  <conditionalFormatting sqref="U769">
    <cfRule type="duplicateValues" dxfId="1154" priority="1114"/>
  </conditionalFormatting>
  <conditionalFormatting sqref="U769">
    <cfRule type="duplicateValues" dxfId="1153" priority="1113"/>
  </conditionalFormatting>
  <conditionalFormatting sqref="U769">
    <cfRule type="duplicateValues" dxfId="1152" priority="1112"/>
  </conditionalFormatting>
  <conditionalFormatting sqref="U769">
    <cfRule type="duplicateValues" dxfId="1151" priority="1111"/>
  </conditionalFormatting>
  <conditionalFormatting sqref="U769">
    <cfRule type="duplicateValues" dxfId="1150" priority="1110"/>
  </conditionalFormatting>
  <conditionalFormatting sqref="U769">
    <cfRule type="duplicateValues" dxfId="1149" priority="1109"/>
  </conditionalFormatting>
  <conditionalFormatting sqref="U769">
    <cfRule type="duplicateValues" dxfId="1148" priority="1108"/>
  </conditionalFormatting>
  <conditionalFormatting sqref="U769">
    <cfRule type="duplicateValues" dxfId="1147" priority="1107"/>
  </conditionalFormatting>
  <conditionalFormatting sqref="U769">
    <cfRule type="duplicateValues" dxfId="1146" priority="1106"/>
  </conditionalFormatting>
  <conditionalFormatting sqref="U769">
    <cfRule type="duplicateValues" dxfId="1145" priority="1105"/>
  </conditionalFormatting>
  <conditionalFormatting sqref="U769">
    <cfRule type="duplicateValues" dxfId="1144" priority="1104"/>
  </conditionalFormatting>
  <conditionalFormatting sqref="U769">
    <cfRule type="duplicateValues" dxfId="1143" priority="1103"/>
  </conditionalFormatting>
  <conditionalFormatting sqref="U769">
    <cfRule type="duplicateValues" dxfId="1142" priority="1102"/>
  </conditionalFormatting>
  <conditionalFormatting sqref="U769">
    <cfRule type="duplicateValues" dxfId="1141" priority="1101"/>
  </conditionalFormatting>
  <conditionalFormatting sqref="U769">
    <cfRule type="duplicateValues" dxfId="1140" priority="1100"/>
  </conditionalFormatting>
  <conditionalFormatting sqref="U769">
    <cfRule type="duplicateValues" dxfId="1139" priority="1099"/>
  </conditionalFormatting>
  <conditionalFormatting sqref="U769">
    <cfRule type="duplicateValues" dxfId="1138" priority="1098"/>
  </conditionalFormatting>
  <conditionalFormatting sqref="U769">
    <cfRule type="duplicateValues" dxfId="1137" priority="1097"/>
  </conditionalFormatting>
  <conditionalFormatting sqref="U769">
    <cfRule type="duplicateValues" dxfId="1136" priority="1096"/>
  </conditionalFormatting>
  <conditionalFormatting sqref="U769">
    <cfRule type="duplicateValues" dxfId="1135" priority="1095"/>
  </conditionalFormatting>
  <conditionalFormatting sqref="U769">
    <cfRule type="duplicateValues" dxfId="1134" priority="1094"/>
  </conditionalFormatting>
  <conditionalFormatting sqref="U769">
    <cfRule type="duplicateValues" dxfId="1133" priority="1093"/>
  </conditionalFormatting>
  <conditionalFormatting sqref="U769">
    <cfRule type="duplicateValues" dxfId="1132" priority="1092"/>
  </conditionalFormatting>
  <conditionalFormatting sqref="U769">
    <cfRule type="duplicateValues" dxfId="1131" priority="1091"/>
  </conditionalFormatting>
  <conditionalFormatting sqref="U769">
    <cfRule type="duplicateValues" dxfId="1130" priority="1090"/>
  </conditionalFormatting>
  <conditionalFormatting sqref="U769">
    <cfRule type="duplicateValues" dxfId="1129" priority="1089"/>
  </conditionalFormatting>
  <conditionalFormatting sqref="U769">
    <cfRule type="duplicateValues" dxfId="1128" priority="1088"/>
  </conditionalFormatting>
  <conditionalFormatting sqref="U769">
    <cfRule type="duplicateValues" dxfId="1127" priority="1087"/>
  </conditionalFormatting>
  <conditionalFormatting sqref="U769">
    <cfRule type="duplicateValues" dxfId="1126" priority="1086"/>
  </conditionalFormatting>
  <conditionalFormatting sqref="U769">
    <cfRule type="duplicateValues" dxfId="1125" priority="1085"/>
  </conditionalFormatting>
  <conditionalFormatting sqref="U769">
    <cfRule type="duplicateValues" dxfId="1124" priority="1084"/>
  </conditionalFormatting>
  <conditionalFormatting sqref="U769">
    <cfRule type="duplicateValues" dxfId="1123" priority="1083"/>
  </conditionalFormatting>
  <conditionalFormatting sqref="U769">
    <cfRule type="duplicateValues" dxfId="1122" priority="1082"/>
  </conditionalFormatting>
  <conditionalFormatting sqref="U769">
    <cfRule type="duplicateValues" dxfId="1121" priority="1081"/>
  </conditionalFormatting>
  <conditionalFormatting sqref="U769">
    <cfRule type="duplicateValues" dxfId="1120" priority="1080"/>
  </conditionalFormatting>
  <conditionalFormatting sqref="U769">
    <cfRule type="duplicateValues" dxfId="1119" priority="1079"/>
  </conditionalFormatting>
  <conditionalFormatting sqref="U769">
    <cfRule type="duplicateValues" dxfId="1118" priority="1078"/>
  </conditionalFormatting>
  <conditionalFormatting sqref="U769">
    <cfRule type="duplicateValues" dxfId="1117" priority="1077"/>
  </conditionalFormatting>
  <conditionalFormatting sqref="U769">
    <cfRule type="duplicateValues" dxfId="1116" priority="1076"/>
  </conditionalFormatting>
  <conditionalFormatting sqref="U769">
    <cfRule type="duplicateValues" dxfId="1115" priority="1075"/>
  </conditionalFormatting>
  <conditionalFormatting sqref="U769">
    <cfRule type="duplicateValues" dxfId="1114" priority="1074"/>
  </conditionalFormatting>
  <conditionalFormatting sqref="U769">
    <cfRule type="duplicateValues" dxfId="1113" priority="1073"/>
  </conditionalFormatting>
  <conditionalFormatting sqref="U769">
    <cfRule type="duplicateValues" dxfId="1112" priority="1072"/>
  </conditionalFormatting>
  <conditionalFormatting sqref="U769">
    <cfRule type="duplicateValues" dxfId="1111" priority="1071"/>
  </conditionalFormatting>
  <conditionalFormatting sqref="U769">
    <cfRule type="duplicateValues" dxfId="1110" priority="1070"/>
  </conditionalFormatting>
  <conditionalFormatting sqref="U769">
    <cfRule type="duplicateValues" dxfId="1109" priority="1069"/>
  </conditionalFormatting>
  <conditionalFormatting sqref="U769">
    <cfRule type="duplicateValues" dxfId="1108" priority="1068"/>
  </conditionalFormatting>
  <conditionalFormatting sqref="U769">
    <cfRule type="duplicateValues" dxfId="1107" priority="1067"/>
  </conditionalFormatting>
  <conditionalFormatting sqref="U769">
    <cfRule type="duplicateValues" dxfId="1106" priority="1066"/>
  </conditionalFormatting>
  <conditionalFormatting sqref="U769">
    <cfRule type="duplicateValues" dxfId="1105" priority="1065"/>
  </conditionalFormatting>
  <conditionalFormatting sqref="U769">
    <cfRule type="duplicateValues" dxfId="1104" priority="1064"/>
  </conditionalFormatting>
  <conditionalFormatting sqref="U769">
    <cfRule type="duplicateValues" dxfId="1103" priority="1063"/>
  </conditionalFormatting>
  <conditionalFormatting sqref="U769">
    <cfRule type="duplicateValues" dxfId="1102" priority="1062"/>
  </conditionalFormatting>
  <conditionalFormatting sqref="U769">
    <cfRule type="duplicateValues" dxfId="1101" priority="1061"/>
  </conditionalFormatting>
  <conditionalFormatting sqref="U769">
    <cfRule type="duplicateValues" dxfId="1100" priority="1060"/>
  </conditionalFormatting>
  <conditionalFormatting sqref="U769">
    <cfRule type="duplicateValues" dxfId="1099" priority="1059"/>
  </conditionalFormatting>
  <conditionalFormatting sqref="U769">
    <cfRule type="duplicateValues" dxfId="1098" priority="1058"/>
  </conditionalFormatting>
  <conditionalFormatting sqref="U769">
    <cfRule type="duplicateValues" dxfId="1097" priority="1057"/>
  </conditionalFormatting>
  <conditionalFormatting sqref="U769">
    <cfRule type="duplicateValues" dxfId="1096" priority="1056"/>
  </conditionalFormatting>
  <conditionalFormatting sqref="U769">
    <cfRule type="duplicateValues" dxfId="1095" priority="1055"/>
  </conditionalFormatting>
  <conditionalFormatting sqref="U769">
    <cfRule type="duplicateValues" dxfId="1094" priority="1054"/>
  </conditionalFormatting>
  <conditionalFormatting sqref="U769">
    <cfRule type="duplicateValues" dxfId="1093" priority="1053"/>
  </conditionalFormatting>
  <conditionalFormatting sqref="U769">
    <cfRule type="duplicateValues" dxfId="1092" priority="1052"/>
  </conditionalFormatting>
  <conditionalFormatting sqref="U769">
    <cfRule type="duplicateValues" dxfId="1091" priority="1051"/>
  </conditionalFormatting>
  <conditionalFormatting sqref="U769">
    <cfRule type="duplicateValues" dxfId="1090" priority="1050"/>
  </conditionalFormatting>
  <conditionalFormatting sqref="U769">
    <cfRule type="duplicateValues" dxfId="1089" priority="1049"/>
  </conditionalFormatting>
  <conditionalFormatting sqref="U769">
    <cfRule type="duplicateValues" dxfId="1088" priority="1048"/>
  </conditionalFormatting>
  <conditionalFormatting sqref="U769">
    <cfRule type="duplicateValues" dxfId="1087" priority="1047"/>
  </conditionalFormatting>
  <conditionalFormatting sqref="U769">
    <cfRule type="duplicateValues" dxfId="1086" priority="1046"/>
  </conditionalFormatting>
  <conditionalFormatting sqref="U769">
    <cfRule type="duplicateValues" dxfId="1085" priority="1045"/>
  </conditionalFormatting>
  <conditionalFormatting sqref="U769">
    <cfRule type="duplicateValues" dxfId="1084" priority="1044"/>
  </conditionalFormatting>
  <conditionalFormatting sqref="U769">
    <cfRule type="duplicateValues" dxfId="1083" priority="1043"/>
  </conditionalFormatting>
  <conditionalFormatting sqref="U769">
    <cfRule type="duplicateValues" dxfId="1082" priority="1042"/>
  </conditionalFormatting>
  <conditionalFormatting sqref="U769">
    <cfRule type="duplicateValues" dxfId="1081" priority="1041"/>
  </conditionalFormatting>
  <conditionalFormatting sqref="U769">
    <cfRule type="duplicateValues" dxfId="1080" priority="1040"/>
  </conditionalFormatting>
  <conditionalFormatting sqref="U769">
    <cfRule type="duplicateValues" dxfId="1079" priority="1039"/>
  </conditionalFormatting>
  <conditionalFormatting sqref="U769">
    <cfRule type="duplicateValues" dxfId="1078" priority="1038"/>
  </conditionalFormatting>
  <conditionalFormatting sqref="U769">
    <cfRule type="duplicateValues" dxfId="1077" priority="1037"/>
  </conditionalFormatting>
  <conditionalFormatting sqref="U769">
    <cfRule type="duplicateValues" dxfId="1076" priority="1036"/>
  </conditionalFormatting>
  <conditionalFormatting sqref="U769">
    <cfRule type="duplicateValues" dxfId="1075" priority="1035"/>
  </conditionalFormatting>
  <conditionalFormatting sqref="U769">
    <cfRule type="duplicateValues" dxfId="1074" priority="1034"/>
  </conditionalFormatting>
  <conditionalFormatting sqref="U769">
    <cfRule type="duplicateValues" dxfId="1073" priority="1033"/>
  </conditionalFormatting>
  <conditionalFormatting sqref="U769">
    <cfRule type="duplicateValues" dxfId="1072" priority="1032"/>
  </conditionalFormatting>
  <conditionalFormatting sqref="U769">
    <cfRule type="duplicateValues" dxfId="1071" priority="1031"/>
  </conditionalFormatting>
  <conditionalFormatting sqref="U769">
    <cfRule type="duplicateValues" dxfId="1070" priority="1030"/>
  </conditionalFormatting>
  <conditionalFormatting sqref="U769">
    <cfRule type="duplicateValues" dxfId="1069" priority="1029"/>
  </conditionalFormatting>
  <conditionalFormatting sqref="U769">
    <cfRule type="duplicateValues" dxfId="1068" priority="1028"/>
  </conditionalFormatting>
  <conditionalFormatting sqref="U769">
    <cfRule type="duplicateValues" dxfId="1067" priority="1027"/>
  </conditionalFormatting>
  <conditionalFormatting sqref="U769">
    <cfRule type="duplicateValues" dxfId="1066" priority="1026"/>
  </conditionalFormatting>
  <conditionalFormatting sqref="U769">
    <cfRule type="duplicateValues" dxfId="1065" priority="1025"/>
  </conditionalFormatting>
  <conditionalFormatting sqref="U769">
    <cfRule type="duplicateValues" dxfId="1064" priority="1024"/>
  </conditionalFormatting>
  <conditionalFormatting sqref="U769">
    <cfRule type="duplicateValues" dxfId="1063" priority="1023"/>
  </conditionalFormatting>
  <conditionalFormatting sqref="U769">
    <cfRule type="duplicateValues" dxfId="1062" priority="1022"/>
  </conditionalFormatting>
  <conditionalFormatting sqref="U769">
    <cfRule type="duplicateValues" dxfId="1061" priority="1021"/>
  </conditionalFormatting>
  <conditionalFormatting sqref="U769">
    <cfRule type="duplicateValues" dxfId="1060" priority="1020"/>
  </conditionalFormatting>
  <conditionalFormatting sqref="U769">
    <cfRule type="duplicateValues" dxfId="1059" priority="1019"/>
  </conditionalFormatting>
  <conditionalFormatting sqref="U769">
    <cfRule type="duplicateValues" dxfId="1058" priority="1018"/>
  </conditionalFormatting>
  <conditionalFormatting sqref="U770">
    <cfRule type="duplicateValues" dxfId="1057" priority="1017"/>
  </conditionalFormatting>
  <conditionalFormatting sqref="U770">
    <cfRule type="duplicateValues" dxfId="1056" priority="1016"/>
  </conditionalFormatting>
  <conditionalFormatting sqref="U770">
    <cfRule type="duplicateValues" dxfId="1055" priority="1015"/>
  </conditionalFormatting>
  <conditionalFormatting sqref="U770">
    <cfRule type="duplicateValues" dxfId="1054" priority="1014"/>
  </conditionalFormatting>
  <conditionalFormatting sqref="U770">
    <cfRule type="duplicateValues" dxfId="1053" priority="1013"/>
  </conditionalFormatting>
  <conditionalFormatting sqref="U770">
    <cfRule type="duplicateValues" dxfId="1052" priority="1012"/>
  </conditionalFormatting>
  <conditionalFormatting sqref="U770">
    <cfRule type="duplicateValues" dxfId="1051" priority="1011"/>
  </conditionalFormatting>
  <conditionalFormatting sqref="U770">
    <cfRule type="duplicateValues" dxfId="1050" priority="1010"/>
  </conditionalFormatting>
  <conditionalFormatting sqref="U770">
    <cfRule type="duplicateValues" dxfId="1049" priority="1009"/>
  </conditionalFormatting>
  <conditionalFormatting sqref="U770">
    <cfRule type="duplicateValues" dxfId="1048" priority="1008"/>
  </conditionalFormatting>
  <conditionalFormatting sqref="U770">
    <cfRule type="duplicateValues" dxfId="1047" priority="1007"/>
  </conditionalFormatting>
  <conditionalFormatting sqref="U770">
    <cfRule type="duplicateValues" dxfId="1046" priority="1006"/>
  </conditionalFormatting>
  <conditionalFormatting sqref="U770">
    <cfRule type="duplicateValues" dxfId="1045" priority="1005"/>
  </conditionalFormatting>
  <conditionalFormatting sqref="U770">
    <cfRule type="duplicateValues" dxfId="1044" priority="1004"/>
  </conditionalFormatting>
  <conditionalFormatting sqref="U770">
    <cfRule type="duplicateValues" dxfId="1043" priority="1003"/>
  </conditionalFormatting>
  <conditionalFormatting sqref="U770">
    <cfRule type="duplicateValues" dxfId="1042" priority="1002"/>
  </conditionalFormatting>
  <conditionalFormatting sqref="U770">
    <cfRule type="duplicateValues" dxfId="1041" priority="1001"/>
  </conditionalFormatting>
  <conditionalFormatting sqref="U770">
    <cfRule type="duplicateValues" dxfId="1040" priority="1000"/>
  </conditionalFormatting>
  <conditionalFormatting sqref="U770">
    <cfRule type="duplicateValues" dxfId="1039" priority="999"/>
  </conditionalFormatting>
  <conditionalFormatting sqref="U770">
    <cfRule type="duplicateValues" dxfId="1038" priority="998"/>
  </conditionalFormatting>
  <conditionalFormatting sqref="U770">
    <cfRule type="duplicateValues" dxfId="1037" priority="997"/>
  </conditionalFormatting>
  <conditionalFormatting sqref="U770">
    <cfRule type="duplicateValues" dxfId="1036" priority="996"/>
  </conditionalFormatting>
  <conditionalFormatting sqref="U770">
    <cfRule type="duplicateValues" dxfId="1035" priority="995"/>
  </conditionalFormatting>
  <conditionalFormatting sqref="U770">
    <cfRule type="duplicateValues" dxfId="1034" priority="994"/>
  </conditionalFormatting>
  <conditionalFormatting sqref="U770">
    <cfRule type="duplicateValues" dxfId="1033" priority="993"/>
  </conditionalFormatting>
  <conditionalFormatting sqref="U770">
    <cfRule type="duplicateValues" dxfId="1032" priority="992"/>
  </conditionalFormatting>
  <conditionalFormatting sqref="U770">
    <cfRule type="duplicateValues" dxfId="1031" priority="991"/>
  </conditionalFormatting>
  <conditionalFormatting sqref="U770">
    <cfRule type="duplicateValues" dxfId="1030" priority="990"/>
  </conditionalFormatting>
  <conditionalFormatting sqref="U770">
    <cfRule type="duplicateValues" dxfId="1029" priority="989"/>
  </conditionalFormatting>
  <conditionalFormatting sqref="U770">
    <cfRule type="duplicateValues" dxfId="1028" priority="988"/>
  </conditionalFormatting>
  <conditionalFormatting sqref="U770">
    <cfRule type="duplicateValues" dxfId="1027" priority="987"/>
  </conditionalFormatting>
  <conditionalFormatting sqref="U770">
    <cfRule type="duplicateValues" dxfId="1026" priority="986"/>
  </conditionalFormatting>
  <conditionalFormatting sqref="U770">
    <cfRule type="duplicateValues" dxfId="1025" priority="985"/>
  </conditionalFormatting>
  <conditionalFormatting sqref="U770">
    <cfRule type="duplicateValues" dxfId="1024" priority="984"/>
  </conditionalFormatting>
  <conditionalFormatting sqref="U770">
    <cfRule type="duplicateValues" dxfId="1023" priority="983"/>
  </conditionalFormatting>
  <conditionalFormatting sqref="U770">
    <cfRule type="duplicateValues" dxfId="1022" priority="982"/>
  </conditionalFormatting>
  <conditionalFormatting sqref="U770">
    <cfRule type="duplicateValues" dxfId="1021" priority="981"/>
  </conditionalFormatting>
  <conditionalFormatting sqref="U770">
    <cfRule type="duplicateValues" dxfId="1020" priority="980"/>
  </conditionalFormatting>
  <conditionalFormatting sqref="U770">
    <cfRule type="duplicateValues" dxfId="1019" priority="979"/>
  </conditionalFormatting>
  <conditionalFormatting sqref="U770">
    <cfRule type="duplicateValues" dxfId="1018" priority="978"/>
  </conditionalFormatting>
  <conditionalFormatting sqref="U770">
    <cfRule type="duplicateValues" dxfId="1017" priority="977"/>
  </conditionalFormatting>
  <conditionalFormatting sqref="U770">
    <cfRule type="duplicateValues" dxfId="1016" priority="976"/>
  </conditionalFormatting>
  <conditionalFormatting sqref="U770">
    <cfRule type="duplicateValues" dxfId="1015" priority="975"/>
  </conditionalFormatting>
  <conditionalFormatting sqref="U770">
    <cfRule type="duplicateValues" dxfId="1014" priority="974"/>
  </conditionalFormatting>
  <conditionalFormatting sqref="U770">
    <cfRule type="duplicateValues" dxfId="1013" priority="973"/>
  </conditionalFormatting>
  <conditionalFormatting sqref="U770">
    <cfRule type="duplicateValues" dxfId="1012" priority="972"/>
  </conditionalFormatting>
  <conditionalFormatting sqref="U770">
    <cfRule type="duplicateValues" dxfId="1011" priority="971"/>
  </conditionalFormatting>
  <conditionalFormatting sqref="U770">
    <cfRule type="duplicateValues" dxfId="1010" priority="970"/>
  </conditionalFormatting>
  <conditionalFormatting sqref="U770">
    <cfRule type="duplicateValues" dxfId="1009" priority="969"/>
  </conditionalFormatting>
  <conditionalFormatting sqref="U770">
    <cfRule type="duplicateValues" dxfId="1008" priority="968"/>
  </conditionalFormatting>
  <conditionalFormatting sqref="U770">
    <cfRule type="duplicateValues" dxfId="1007" priority="967"/>
  </conditionalFormatting>
  <conditionalFormatting sqref="U770">
    <cfRule type="duplicateValues" dxfId="1006" priority="966"/>
  </conditionalFormatting>
  <conditionalFormatting sqref="U770">
    <cfRule type="duplicateValues" dxfId="1005" priority="965"/>
  </conditionalFormatting>
  <conditionalFormatting sqref="U770">
    <cfRule type="duplicateValues" dxfId="1004" priority="964"/>
  </conditionalFormatting>
  <conditionalFormatting sqref="U770">
    <cfRule type="duplicateValues" dxfId="1003" priority="963"/>
  </conditionalFormatting>
  <conditionalFormatting sqref="U770">
    <cfRule type="duplicateValues" dxfId="1002" priority="962"/>
  </conditionalFormatting>
  <conditionalFormatting sqref="U770">
    <cfRule type="duplicateValues" dxfId="1001" priority="961"/>
  </conditionalFormatting>
  <conditionalFormatting sqref="U770">
    <cfRule type="duplicateValues" dxfId="1000" priority="960"/>
  </conditionalFormatting>
  <conditionalFormatting sqref="U770">
    <cfRule type="duplicateValues" dxfId="999" priority="959"/>
  </conditionalFormatting>
  <conditionalFormatting sqref="U770">
    <cfRule type="duplicateValues" dxfId="998" priority="958"/>
  </conditionalFormatting>
  <conditionalFormatting sqref="U770">
    <cfRule type="duplicateValues" dxfId="997" priority="957"/>
  </conditionalFormatting>
  <conditionalFormatting sqref="U770">
    <cfRule type="duplicateValues" dxfId="996" priority="956"/>
  </conditionalFormatting>
  <conditionalFormatting sqref="U770">
    <cfRule type="duplicateValues" dxfId="995" priority="955"/>
  </conditionalFormatting>
  <conditionalFormatting sqref="U770">
    <cfRule type="duplicateValues" dxfId="994" priority="954"/>
  </conditionalFormatting>
  <conditionalFormatting sqref="U770">
    <cfRule type="duplicateValues" dxfId="993" priority="953"/>
  </conditionalFormatting>
  <conditionalFormatting sqref="U770">
    <cfRule type="duplicateValues" dxfId="992" priority="952"/>
  </conditionalFormatting>
  <conditionalFormatting sqref="U770">
    <cfRule type="duplicateValues" dxfId="991" priority="951"/>
  </conditionalFormatting>
  <conditionalFormatting sqref="U770">
    <cfRule type="duplicateValues" dxfId="990" priority="950"/>
  </conditionalFormatting>
  <conditionalFormatting sqref="U770">
    <cfRule type="duplicateValues" dxfId="989" priority="949"/>
  </conditionalFormatting>
  <conditionalFormatting sqref="U770">
    <cfRule type="duplicateValues" dxfId="988" priority="948"/>
  </conditionalFormatting>
  <conditionalFormatting sqref="U770">
    <cfRule type="duplicateValues" dxfId="987" priority="947"/>
  </conditionalFormatting>
  <conditionalFormatting sqref="U770">
    <cfRule type="duplicateValues" dxfId="986" priority="946"/>
  </conditionalFormatting>
  <conditionalFormatting sqref="U770">
    <cfRule type="duplicateValues" dxfId="985" priority="945"/>
  </conditionalFormatting>
  <conditionalFormatting sqref="U770">
    <cfRule type="duplicateValues" dxfId="984" priority="944"/>
  </conditionalFormatting>
  <conditionalFormatting sqref="U770">
    <cfRule type="duplicateValues" dxfId="983" priority="943"/>
  </conditionalFormatting>
  <conditionalFormatting sqref="U770">
    <cfRule type="duplicateValues" dxfId="982" priority="942"/>
  </conditionalFormatting>
  <conditionalFormatting sqref="U770">
    <cfRule type="duplicateValues" dxfId="981" priority="941"/>
  </conditionalFormatting>
  <conditionalFormatting sqref="U770">
    <cfRule type="duplicateValues" dxfId="980" priority="940"/>
  </conditionalFormatting>
  <conditionalFormatting sqref="U770">
    <cfRule type="duplicateValues" dxfId="979" priority="939"/>
  </conditionalFormatting>
  <conditionalFormatting sqref="U770">
    <cfRule type="duplicateValues" dxfId="978" priority="938"/>
  </conditionalFormatting>
  <conditionalFormatting sqref="U770">
    <cfRule type="duplicateValues" dxfId="977" priority="937"/>
  </conditionalFormatting>
  <conditionalFormatting sqref="U770">
    <cfRule type="duplicateValues" dxfId="976" priority="936"/>
  </conditionalFormatting>
  <conditionalFormatting sqref="U770">
    <cfRule type="duplicateValues" dxfId="975" priority="935"/>
  </conditionalFormatting>
  <conditionalFormatting sqref="U770">
    <cfRule type="duplicateValues" dxfId="974" priority="934"/>
  </conditionalFormatting>
  <conditionalFormatting sqref="U770">
    <cfRule type="duplicateValues" dxfId="973" priority="933"/>
  </conditionalFormatting>
  <conditionalFormatting sqref="U770">
    <cfRule type="duplicateValues" dxfId="972" priority="932"/>
  </conditionalFormatting>
  <conditionalFormatting sqref="U770">
    <cfRule type="duplicateValues" dxfId="971" priority="931"/>
  </conditionalFormatting>
  <conditionalFormatting sqref="U770">
    <cfRule type="duplicateValues" dxfId="970" priority="930"/>
  </conditionalFormatting>
  <conditionalFormatting sqref="U770">
    <cfRule type="duplicateValues" dxfId="969" priority="929"/>
  </conditionalFormatting>
  <conditionalFormatting sqref="U770">
    <cfRule type="duplicateValues" dxfId="968" priority="928"/>
  </conditionalFormatting>
  <conditionalFormatting sqref="U770">
    <cfRule type="duplicateValues" dxfId="967" priority="927"/>
  </conditionalFormatting>
  <conditionalFormatting sqref="U770">
    <cfRule type="duplicateValues" dxfId="966" priority="926"/>
  </conditionalFormatting>
  <conditionalFormatting sqref="U770">
    <cfRule type="duplicateValues" dxfId="965" priority="925"/>
  </conditionalFormatting>
  <conditionalFormatting sqref="U770">
    <cfRule type="duplicateValues" dxfId="964" priority="924"/>
  </conditionalFormatting>
  <conditionalFormatting sqref="U770">
    <cfRule type="duplicateValues" dxfId="963" priority="923"/>
  </conditionalFormatting>
  <conditionalFormatting sqref="U770">
    <cfRule type="duplicateValues" dxfId="962" priority="922"/>
  </conditionalFormatting>
  <conditionalFormatting sqref="U770">
    <cfRule type="duplicateValues" dxfId="961" priority="921"/>
  </conditionalFormatting>
  <conditionalFormatting sqref="U770">
    <cfRule type="duplicateValues" dxfId="960" priority="920"/>
  </conditionalFormatting>
  <conditionalFormatting sqref="U770">
    <cfRule type="duplicateValues" dxfId="959" priority="919"/>
  </conditionalFormatting>
  <conditionalFormatting sqref="U770">
    <cfRule type="duplicateValues" dxfId="958" priority="918"/>
  </conditionalFormatting>
  <conditionalFormatting sqref="U770">
    <cfRule type="duplicateValues" dxfId="957" priority="917"/>
  </conditionalFormatting>
  <conditionalFormatting sqref="U770">
    <cfRule type="duplicateValues" dxfId="956" priority="916"/>
  </conditionalFormatting>
  <conditionalFormatting sqref="U770">
    <cfRule type="duplicateValues" dxfId="955" priority="915"/>
  </conditionalFormatting>
  <conditionalFormatting sqref="U770">
    <cfRule type="duplicateValues" dxfId="954" priority="914"/>
  </conditionalFormatting>
  <conditionalFormatting sqref="U770">
    <cfRule type="duplicateValues" dxfId="953" priority="913"/>
  </conditionalFormatting>
  <conditionalFormatting sqref="U770">
    <cfRule type="duplicateValues" dxfId="952" priority="912"/>
  </conditionalFormatting>
  <conditionalFormatting sqref="U770">
    <cfRule type="duplicateValues" dxfId="951" priority="911"/>
  </conditionalFormatting>
  <conditionalFormatting sqref="U770">
    <cfRule type="duplicateValues" dxfId="950" priority="910"/>
  </conditionalFormatting>
  <conditionalFormatting sqref="U770">
    <cfRule type="duplicateValues" dxfId="949" priority="909"/>
  </conditionalFormatting>
  <conditionalFormatting sqref="U770">
    <cfRule type="duplicateValues" dxfId="948" priority="908"/>
  </conditionalFormatting>
  <conditionalFormatting sqref="U770">
    <cfRule type="duplicateValues" dxfId="947" priority="907"/>
  </conditionalFormatting>
  <conditionalFormatting sqref="U770">
    <cfRule type="duplicateValues" dxfId="946" priority="906"/>
  </conditionalFormatting>
  <conditionalFormatting sqref="U770">
    <cfRule type="duplicateValues" dxfId="945" priority="905"/>
  </conditionalFormatting>
  <conditionalFormatting sqref="U771">
    <cfRule type="duplicateValues" dxfId="944" priority="904"/>
  </conditionalFormatting>
  <conditionalFormatting sqref="U771">
    <cfRule type="duplicateValues" dxfId="943" priority="903"/>
  </conditionalFormatting>
  <conditionalFormatting sqref="U771">
    <cfRule type="duplicateValues" dxfId="942" priority="902"/>
  </conditionalFormatting>
  <conditionalFormatting sqref="U771">
    <cfRule type="duplicateValues" dxfId="941" priority="901"/>
  </conditionalFormatting>
  <conditionalFormatting sqref="U771">
    <cfRule type="duplicateValues" dxfId="940" priority="900"/>
  </conditionalFormatting>
  <conditionalFormatting sqref="U771">
    <cfRule type="duplicateValues" dxfId="939" priority="899"/>
  </conditionalFormatting>
  <conditionalFormatting sqref="U771">
    <cfRule type="duplicateValues" dxfId="938" priority="898"/>
  </conditionalFormatting>
  <conditionalFormatting sqref="U771">
    <cfRule type="duplicateValues" dxfId="937" priority="897"/>
  </conditionalFormatting>
  <conditionalFormatting sqref="U771">
    <cfRule type="duplicateValues" dxfId="936" priority="896"/>
  </conditionalFormatting>
  <conditionalFormatting sqref="U771">
    <cfRule type="duplicateValues" dxfId="935" priority="895"/>
  </conditionalFormatting>
  <conditionalFormatting sqref="U771">
    <cfRule type="duplicateValues" dxfId="934" priority="894"/>
  </conditionalFormatting>
  <conditionalFormatting sqref="U771">
    <cfRule type="duplicateValues" dxfId="933" priority="893"/>
  </conditionalFormatting>
  <conditionalFormatting sqref="U771">
    <cfRule type="duplicateValues" dxfId="932" priority="892"/>
  </conditionalFormatting>
  <conditionalFormatting sqref="U771">
    <cfRule type="duplicateValues" dxfId="931" priority="891"/>
  </conditionalFormatting>
  <conditionalFormatting sqref="U771">
    <cfRule type="duplicateValues" dxfId="930" priority="890"/>
  </conditionalFormatting>
  <conditionalFormatting sqref="U771">
    <cfRule type="duplicateValues" dxfId="929" priority="889"/>
  </conditionalFormatting>
  <conditionalFormatting sqref="U771">
    <cfRule type="duplicateValues" dxfId="928" priority="888"/>
  </conditionalFormatting>
  <conditionalFormatting sqref="U771">
    <cfRule type="duplicateValues" dxfId="927" priority="887"/>
  </conditionalFormatting>
  <conditionalFormatting sqref="U771">
    <cfRule type="duplicateValues" dxfId="926" priority="886"/>
  </conditionalFormatting>
  <conditionalFormatting sqref="U771">
    <cfRule type="duplicateValues" dxfId="925" priority="885"/>
  </conditionalFormatting>
  <conditionalFormatting sqref="U771">
    <cfRule type="duplicateValues" dxfId="924" priority="884"/>
  </conditionalFormatting>
  <conditionalFormatting sqref="U771">
    <cfRule type="duplicateValues" dxfId="923" priority="883"/>
  </conditionalFormatting>
  <conditionalFormatting sqref="U771">
    <cfRule type="duplicateValues" dxfId="922" priority="882"/>
  </conditionalFormatting>
  <conditionalFormatting sqref="U771">
    <cfRule type="duplicateValues" dxfId="921" priority="881"/>
  </conditionalFormatting>
  <conditionalFormatting sqref="U771">
    <cfRule type="duplicateValues" dxfId="920" priority="880"/>
  </conditionalFormatting>
  <conditionalFormatting sqref="U771">
    <cfRule type="duplicateValues" dxfId="919" priority="879"/>
  </conditionalFormatting>
  <conditionalFormatting sqref="U771">
    <cfRule type="duplicateValues" dxfId="918" priority="878"/>
  </conditionalFormatting>
  <conditionalFormatting sqref="U771">
    <cfRule type="duplicateValues" dxfId="917" priority="877"/>
  </conditionalFormatting>
  <conditionalFormatting sqref="U771">
    <cfRule type="duplicateValues" dxfId="916" priority="876"/>
  </conditionalFormatting>
  <conditionalFormatting sqref="U771">
    <cfRule type="duplicateValues" dxfId="915" priority="875"/>
  </conditionalFormatting>
  <conditionalFormatting sqref="U771">
    <cfRule type="duplicateValues" dxfId="914" priority="874"/>
  </conditionalFormatting>
  <conditionalFormatting sqref="U771">
    <cfRule type="duplicateValues" dxfId="913" priority="873"/>
  </conditionalFormatting>
  <conditionalFormatting sqref="U771">
    <cfRule type="duplicateValues" dxfId="912" priority="872"/>
  </conditionalFormatting>
  <conditionalFormatting sqref="U771">
    <cfRule type="duplicateValues" dxfId="911" priority="871"/>
  </conditionalFormatting>
  <conditionalFormatting sqref="U771">
    <cfRule type="duplicateValues" dxfId="910" priority="870"/>
  </conditionalFormatting>
  <conditionalFormatting sqref="U771">
    <cfRule type="duplicateValues" dxfId="909" priority="869"/>
  </conditionalFormatting>
  <conditionalFormatting sqref="U771">
    <cfRule type="duplicateValues" dxfId="908" priority="868"/>
  </conditionalFormatting>
  <conditionalFormatting sqref="U771">
    <cfRule type="duplicateValues" dxfId="907" priority="867"/>
  </conditionalFormatting>
  <conditionalFormatting sqref="U771">
    <cfRule type="duplicateValues" dxfId="906" priority="866"/>
  </conditionalFormatting>
  <conditionalFormatting sqref="U771">
    <cfRule type="duplicateValues" dxfId="905" priority="865"/>
  </conditionalFormatting>
  <conditionalFormatting sqref="U771">
    <cfRule type="duplicateValues" dxfId="904" priority="864"/>
  </conditionalFormatting>
  <conditionalFormatting sqref="U771">
    <cfRule type="duplicateValues" dxfId="903" priority="863"/>
  </conditionalFormatting>
  <conditionalFormatting sqref="U771">
    <cfRule type="duplicateValues" dxfId="902" priority="862"/>
  </conditionalFormatting>
  <conditionalFormatting sqref="U771">
    <cfRule type="duplicateValues" dxfId="901" priority="861"/>
  </conditionalFormatting>
  <conditionalFormatting sqref="U771">
    <cfRule type="duplicateValues" dxfId="900" priority="860"/>
  </conditionalFormatting>
  <conditionalFormatting sqref="U771">
    <cfRule type="duplicateValues" dxfId="899" priority="859"/>
  </conditionalFormatting>
  <conditionalFormatting sqref="U771">
    <cfRule type="duplicateValues" dxfId="898" priority="858"/>
  </conditionalFormatting>
  <conditionalFormatting sqref="U771">
    <cfRule type="duplicateValues" dxfId="897" priority="857"/>
  </conditionalFormatting>
  <conditionalFormatting sqref="U771">
    <cfRule type="duplicateValues" dxfId="896" priority="856"/>
  </conditionalFormatting>
  <conditionalFormatting sqref="U771">
    <cfRule type="duplicateValues" dxfId="895" priority="855"/>
  </conditionalFormatting>
  <conditionalFormatting sqref="U771">
    <cfRule type="duplicateValues" dxfId="894" priority="854"/>
  </conditionalFormatting>
  <conditionalFormatting sqref="U771">
    <cfRule type="duplicateValues" dxfId="893" priority="853"/>
  </conditionalFormatting>
  <conditionalFormatting sqref="U771">
    <cfRule type="duplicateValues" dxfId="892" priority="852"/>
  </conditionalFormatting>
  <conditionalFormatting sqref="U771">
    <cfRule type="duplicateValues" dxfId="891" priority="851"/>
  </conditionalFormatting>
  <conditionalFormatting sqref="U771">
    <cfRule type="duplicateValues" dxfId="890" priority="850"/>
  </conditionalFormatting>
  <conditionalFormatting sqref="U771">
    <cfRule type="duplicateValues" dxfId="889" priority="849"/>
  </conditionalFormatting>
  <conditionalFormatting sqref="U771">
    <cfRule type="duplicateValues" dxfId="888" priority="848"/>
  </conditionalFormatting>
  <conditionalFormatting sqref="U771">
    <cfRule type="duplicateValues" dxfId="887" priority="847"/>
  </conditionalFormatting>
  <conditionalFormatting sqref="U771">
    <cfRule type="duplicateValues" dxfId="886" priority="846"/>
  </conditionalFormatting>
  <conditionalFormatting sqref="U771">
    <cfRule type="duplicateValues" dxfId="885" priority="845"/>
  </conditionalFormatting>
  <conditionalFormatting sqref="U771">
    <cfRule type="duplicateValues" dxfId="884" priority="844"/>
  </conditionalFormatting>
  <conditionalFormatting sqref="U771">
    <cfRule type="duplicateValues" dxfId="883" priority="843"/>
  </conditionalFormatting>
  <conditionalFormatting sqref="U771">
    <cfRule type="duplicateValues" dxfId="882" priority="842"/>
  </conditionalFormatting>
  <conditionalFormatting sqref="U771">
    <cfRule type="duplicateValues" dxfId="881" priority="841"/>
  </conditionalFormatting>
  <conditionalFormatting sqref="U771">
    <cfRule type="duplicateValues" dxfId="880" priority="840"/>
  </conditionalFormatting>
  <conditionalFormatting sqref="U771">
    <cfRule type="duplicateValues" dxfId="879" priority="839"/>
  </conditionalFormatting>
  <conditionalFormatting sqref="U771">
    <cfRule type="duplicateValues" dxfId="878" priority="838"/>
  </conditionalFormatting>
  <conditionalFormatting sqref="U771">
    <cfRule type="duplicateValues" dxfId="877" priority="837"/>
  </conditionalFormatting>
  <conditionalFormatting sqref="U771">
    <cfRule type="duplicateValues" dxfId="876" priority="836"/>
  </conditionalFormatting>
  <conditionalFormatting sqref="U771">
    <cfRule type="duplicateValues" dxfId="875" priority="835"/>
  </conditionalFormatting>
  <conditionalFormatting sqref="U771">
    <cfRule type="duplicateValues" dxfId="874" priority="834"/>
  </conditionalFormatting>
  <conditionalFormatting sqref="U771">
    <cfRule type="duplicateValues" dxfId="873" priority="833"/>
  </conditionalFormatting>
  <conditionalFormatting sqref="U771">
    <cfRule type="duplicateValues" dxfId="872" priority="832"/>
  </conditionalFormatting>
  <conditionalFormatting sqref="U771">
    <cfRule type="duplicateValues" dxfId="871" priority="831"/>
  </conditionalFormatting>
  <conditionalFormatting sqref="U771">
    <cfRule type="duplicateValues" dxfId="870" priority="830"/>
  </conditionalFormatting>
  <conditionalFormatting sqref="U771">
    <cfRule type="duplicateValues" dxfId="869" priority="829"/>
  </conditionalFormatting>
  <conditionalFormatting sqref="U771">
    <cfRule type="duplicateValues" dxfId="868" priority="828"/>
  </conditionalFormatting>
  <conditionalFormatting sqref="U771">
    <cfRule type="duplicateValues" dxfId="867" priority="827"/>
  </conditionalFormatting>
  <conditionalFormatting sqref="U771">
    <cfRule type="duplicateValues" dxfId="866" priority="826"/>
  </conditionalFormatting>
  <conditionalFormatting sqref="U771">
    <cfRule type="duplicateValues" dxfId="865" priority="825"/>
  </conditionalFormatting>
  <conditionalFormatting sqref="U771">
    <cfRule type="duplicateValues" dxfId="864" priority="824"/>
  </conditionalFormatting>
  <conditionalFormatting sqref="U771">
    <cfRule type="duplicateValues" dxfId="863" priority="823"/>
  </conditionalFormatting>
  <conditionalFormatting sqref="U771">
    <cfRule type="duplicateValues" dxfId="862" priority="822"/>
  </conditionalFormatting>
  <conditionalFormatting sqref="U771">
    <cfRule type="duplicateValues" dxfId="861" priority="821"/>
  </conditionalFormatting>
  <conditionalFormatting sqref="U771">
    <cfRule type="duplicateValues" dxfId="860" priority="820"/>
  </conditionalFormatting>
  <conditionalFormatting sqref="U771">
    <cfRule type="duplicateValues" dxfId="859" priority="819"/>
  </conditionalFormatting>
  <conditionalFormatting sqref="U771">
    <cfRule type="duplicateValues" dxfId="858" priority="818"/>
  </conditionalFormatting>
  <conditionalFormatting sqref="U771">
    <cfRule type="duplicateValues" dxfId="857" priority="817"/>
  </conditionalFormatting>
  <conditionalFormatting sqref="U771">
    <cfRule type="duplicateValues" dxfId="856" priority="816"/>
  </conditionalFormatting>
  <conditionalFormatting sqref="U771">
    <cfRule type="duplicateValues" dxfId="855" priority="815"/>
  </conditionalFormatting>
  <conditionalFormatting sqref="U771">
    <cfRule type="duplicateValues" dxfId="854" priority="814"/>
  </conditionalFormatting>
  <conditionalFormatting sqref="U771">
    <cfRule type="duplicateValues" dxfId="853" priority="813"/>
  </conditionalFormatting>
  <conditionalFormatting sqref="U771">
    <cfRule type="duplicateValues" dxfId="852" priority="812"/>
  </conditionalFormatting>
  <conditionalFormatting sqref="U771">
    <cfRule type="duplicateValues" dxfId="851" priority="811"/>
  </conditionalFormatting>
  <conditionalFormatting sqref="U771">
    <cfRule type="duplicateValues" dxfId="850" priority="810"/>
  </conditionalFormatting>
  <conditionalFormatting sqref="U771">
    <cfRule type="duplicateValues" dxfId="849" priority="809"/>
  </conditionalFormatting>
  <conditionalFormatting sqref="U771">
    <cfRule type="duplicateValues" dxfId="848" priority="808"/>
  </conditionalFormatting>
  <conditionalFormatting sqref="U771">
    <cfRule type="duplicateValues" dxfId="847" priority="807"/>
  </conditionalFormatting>
  <conditionalFormatting sqref="U771">
    <cfRule type="duplicateValues" dxfId="846" priority="806"/>
  </conditionalFormatting>
  <conditionalFormatting sqref="U771">
    <cfRule type="duplicateValues" dxfId="845" priority="805"/>
  </conditionalFormatting>
  <conditionalFormatting sqref="U771">
    <cfRule type="duplicateValues" dxfId="844" priority="804"/>
  </conditionalFormatting>
  <conditionalFormatting sqref="U771">
    <cfRule type="duplicateValues" dxfId="843" priority="803"/>
  </conditionalFormatting>
  <conditionalFormatting sqref="U771">
    <cfRule type="duplicateValues" dxfId="842" priority="802"/>
  </conditionalFormatting>
  <conditionalFormatting sqref="U771">
    <cfRule type="duplicateValues" dxfId="841" priority="801"/>
  </conditionalFormatting>
  <conditionalFormatting sqref="U771">
    <cfRule type="duplicateValues" dxfId="840" priority="800"/>
  </conditionalFormatting>
  <conditionalFormatting sqref="U771">
    <cfRule type="duplicateValues" dxfId="839" priority="799"/>
  </conditionalFormatting>
  <conditionalFormatting sqref="U771">
    <cfRule type="duplicateValues" dxfId="838" priority="798"/>
  </conditionalFormatting>
  <conditionalFormatting sqref="U771">
    <cfRule type="duplicateValues" dxfId="837" priority="797"/>
  </conditionalFormatting>
  <conditionalFormatting sqref="U771">
    <cfRule type="duplicateValues" dxfId="836" priority="796"/>
  </conditionalFormatting>
  <conditionalFormatting sqref="U771">
    <cfRule type="duplicateValues" dxfId="835" priority="795"/>
  </conditionalFormatting>
  <conditionalFormatting sqref="U771">
    <cfRule type="duplicateValues" dxfId="834" priority="794"/>
  </conditionalFormatting>
  <conditionalFormatting sqref="U771">
    <cfRule type="duplicateValues" dxfId="833" priority="793"/>
  </conditionalFormatting>
  <conditionalFormatting sqref="U771">
    <cfRule type="duplicateValues" dxfId="832" priority="792"/>
  </conditionalFormatting>
  <conditionalFormatting sqref="U772">
    <cfRule type="duplicateValues" dxfId="831" priority="791"/>
  </conditionalFormatting>
  <conditionalFormatting sqref="U772">
    <cfRule type="duplicateValues" dxfId="830" priority="790"/>
  </conditionalFormatting>
  <conditionalFormatting sqref="U772">
    <cfRule type="duplicateValues" dxfId="829" priority="789"/>
  </conditionalFormatting>
  <conditionalFormatting sqref="U772">
    <cfRule type="duplicateValues" dxfId="828" priority="788"/>
  </conditionalFormatting>
  <conditionalFormatting sqref="U772">
    <cfRule type="duplicateValues" dxfId="827" priority="787"/>
  </conditionalFormatting>
  <conditionalFormatting sqref="U772">
    <cfRule type="duplicateValues" dxfId="826" priority="786"/>
  </conditionalFormatting>
  <conditionalFormatting sqref="U772">
    <cfRule type="duplicateValues" dxfId="825" priority="785"/>
  </conditionalFormatting>
  <conditionalFormatting sqref="U772">
    <cfRule type="duplicateValues" dxfId="824" priority="784"/>
  </conditionalFormatting>
  <conditionalFormatting sqref="U772">
    <cfRule type="duplicateValues" dxfId="823" priority="783"/>
  </conditionalFormatting>
  <conditionalFormatting sqref="U772">
    <cfRule type="duplicateValues" dxfId="822" priority="782"/>
  </conditionalFormatting>
  <conditionalFormatting sqref="U772">
    <cfRule type="duplicateValues" dxfId="821" priority="781"/>
  </conditionalFormatting>
  <conditionalFormatting sqref="U772">
    <cfRule type="duplicateValues" dxfId="820" priority="780"/>
  </conditionalFormatting>
  <conditionalFormatting sqref="U772">
    <cfRule type="duplicateValues" dxfId="819" priority="779"/>
  </conditionalFormatting>
  <conditionalFormatting sqref="U772">
    <cfRule type="duplicateValues" dxfId="818" priority="778"/>
  </conditionalFormatting>
  <conditionalFormatting sqref="U772">
    <cfRule type="duplicateValues" dxfId="817" priority="777"/>
  </conditionalFormatting>
  <conditionalFormatting sqref="U772">
    <cfRule type="duplicateValues" dxfId="816" priority="776"/>
  </conditionalFormatting>
  <conditionalFormatting sqref="U772">
    <cfRule type="duplicateValues" dxfId="815" priority="775"/>
  </conditionalFormatting>
  <conditionalFormatting sqref="U772">
    <cfRule type="duplicateValues" dxfId="814" priority="774"/>
  </conditionalFormatting>
  <conditionalFormatting sqref="U772">
    <cfRule type="duplicateValues" dxfId="813" priority="773"/>
  </conditionalFormatting>
  <conditionalFormatting sqref="U772">
    <cfRule type="duplicateValues" dxfId="812" priority="772"/>
  </conditionalFormatting>
  <conditionalFormatting sqref="U772">
    <cfRule type="duplicateValues" dxfId="811" priority="771"/>
  </conditionalFormatting>
  <conditionalFormatting sqref="U772">
    <cfRule type="duplicateValues" dxfId="810" priority="770"/>
  </conditionalFormatting>
  <conditionalFormatting sqref="U772">
    <cfRule type="duplicateValues" dxfId="809" priority="769"/>
  </conditionalFormatting>
  <conditionalFormatting sqref="U772">
    <cfRule type="duplicateValues" dxfId="808" priority="768"/>
  </conditionalFormatting>
  <conditionalFormatting sqref="U772">
    <cfRule type="duplicateValues" dxfId="807" priority="767"/>
  </conditionalFormatting>
  <conditionalFormatting sqref="U772">
    <cfRule type="duplicateValues" dxfId="806" priority="766"/>
  </conditionalFormatting>
  <conditionalFormatting sqref="U772">
    <cfRule type="duplicateValues" dxfId="805" priority="765"/>
  </conditionalFormatting>
  <conditionalFormatting sqref="U772">
    <cfRule type="duplicateValues" dxfId="804" priority="764"/>
  </conditionalFormatting>
  <conditionalFormatting sqref="U772">
    <cfRule type="duplicateValues" dxfId="803" priority="763"/>
  </conditionalFormatting>
  <conditionalFormatting sqref="U772">
    <cfRule type="duplicateValues" dxfId="802" priority="762"/>
  </conditionalFormatting>
  <conditionalFormatting sqref="U772">
    <cfRule type="duplicateValues" dxfId="801" priority="761"/>
  </conditionalFormatting>
  <conditionalFormatting sqref="U772">
    <cfRule type="duplicateValues" dxfId="800" priority="760"/>
  </conditionalFormatting>
  <conditionalFormatting sqref="U772">
    <cfRule type="duplicateValues" dxfId="799" priority="759"/>
  </conditionalFormatting>
  <conditionalFormatting sqref="U772">
    <cfRule type="duplicateValues" dxfId="798" priority="758"/>
  </conditionalFormatting>
  <conditionalFormatting sqref="U772">
    <cfRule type="duplicateValues" dxfId="797" priority="757"/>
  </conditionalFormatting>
  <conditionalFormatting sqref="U772">
    <cfRule type="duplicateValues" dxfId="796" priority="756"/>
  </conditionalFormatting>
  <conditionalFormatting sqref="U772">
    <cfRule type="duplicateValues" dxfId="795" priority="755"/>
  </conditionalFormatting>
  <conditionalFormatting sqref="U772">
    <cfRule type="duplicateValues" dxfId="794" priority="754"/>
  </conditionalFormatting>
  <conditionalFormatting sqref="U772">
    <cfRule type="duplicateValues" dxfId="793" priority="753"/>
  </conditionalFormatting>
  <conditionalFormatting sqref="U772">
    <cfRule type="duplicateValues" dxfId="792" priority="752"/>
  </conditionalFormatting>
  <conditionalFormatting sqref="U772">
    <cfRule type="duplicateValues" dxfId="791" priority="751"/>
  </conditionalFormatting>
  <conditionalFormatting sqref="U772">
    <cfRule type="duplicateValues" dxfId="790" priority="750"/>
  </conditionalFormatting>
  <conditionalFormatting sqref="U772">
    <cfRule type="duplicateValues" dxfId="789" priority="749"/>
  </conditionalFormatting>
  <conditionalFormatting sqref="U772">
    <cfRule type="duplicateValues" dxfId="788" priority="748"/>
  </conditionalFormatting>
  <conditionalFormatting sqref="U772">
    <cfRule type="duplicateValues" dxfId="787" priority="747"/>
  </conditionalFormatting>
  <conditionalFormatting sqref="U772">
    <cfRule type="duplicateValues" dxfId="786" priority="746"/>
  </conditionalFormatting>
  <conditionalFormatting sqref="U772">
    <cfRule type="duplicateValues" dxfId="785" priority="745"/>
  </conditionalFormatting>
  <conditionalFormatting sqref="U772">
    <cfRule type="duplicateValues" dxfId="784" priority="744"/>
  </conditionalFormatting>
  <conditionalFormatting sqref="U772">
    <cfRule type="duplicateValues" dxfId="783" priority="743"/>
  </conditionalFormatting>
  <conditionalFormatting sqref="U772">
    <cfRule type="duplicateValues" dxfId="782" priority="742"/>
  </conditionalFormatting>
  <conditionalFormatting sqref="U772">
    <cfRule type="duplicateValues" dxfId="781" priority="741"/>
  </conditionalFormatting>
  <conditionalFormatting sqref="U772">
    <cfRule type="duplicateValues" dxfId="780" priority="740"/>
  </conditionalFormatting>
  <conditionalFormatting sqref="U772">
    <cfRule type="duplicateValues" dxfId="779" priority="739"/>
  </conditionalFormatting>
  <conditionalFormatting sqref="U772">
    <cfRule type="duplicateValues" dxfId="778" priority="738"/>
  </conditionalFormatting>
  <conditionalFormatting sqref="U772">
    <cfRule type="duplicateValues" dxfId="777" priority="737"/>
  </conditionalFormatting>
  <conditionalFormatting sqref="U772">
    <cfRule type="duplicateValues" dxfId="776" priority="736"/>
  </conditionalFormatting>
  <conditionalFormatting sqref="U772">
    <cfRule type="duplicateValues" dxfId="775" priority="735"/>
  </conditionalFormatting>
  <conditionalFormatting sqref="U772">
    <cfRule type="duplicateValues" dxfId="774" priority="734"/>
  </conditionalFormatting>
  <conditionalFormatting sqref="U772">
    <cfRule type="duplicateValues" dxfId="773" priority="733"/>
  </conditionalFormatting>
  <conditionalFormatting sqref="U772">
    <cfRule type="duplicateValues" dxfId="772" priority="732"/>
  </conditionalFormatting>
  <conditionalFormatting sqref="U772">
    <cfRule type="duplicateValues" dxfId="771" priority="731"/>
  </conditionalFormatting>
  <conditionalFormatting sqref="U772">
    <cfRule type="duplicateValues" dxfId="770" priority="730"/>
  </conditionalFormatting>
  <conditionalFormatting sqref="U772">
    <cfRule type="duplicateValues" dxfId="769" priority="729"/>
  </conditionalFormatting>
  <conditionalFormatting sqref="U772">
    <cfRule type="duplicateValues" dxfId="768" priority="728"/>
  </conditionalFormatting>
  <conditionalFormatting sqref="U772">
    <cfRule type="duplicateValues" dxfId="767" priority="727"/>
  </conditionalFormatting>
  <conditionalFormatting sqref="U772">
    <cfRule type="duplicateValues" dxfId="766" priority="726"/>
  </conditionalFormatting>
  <conditionalFormatting sqref="U772">
    <cfRule type="duplicateValues" dxfId="765" priority="725"/>
  </conditionalFormatting>
  <conditionalFormatting sqref="U772">
    <cfRule type="duplicateValues" dxfId="764" priority="724"/>
  </conditionalFormatting>
  <conditionalFormatting sqref="U772">
    <cfRule type="duplicateValues" dxfId="763" priority="723"/>
  </conditionalFormatting>
  <conditionalFormatting sqref="U772">
    <cfRule type="duplicateValues" dxfId="762" priority="722"/>
  </conditionalFormatting>
  <conditionalFormatting sqref="U772">
    <cfRule type="duplicateValues" dxfId="761" priority="721"/>
  </conditionalFormatting>
  <conditionalFormatting sqref="U772">
    <cfRule type="duplicateValues" dxfId="760" priority="720"/>
  </conditionalFormatting>
  <conditionalFormatting sqref="U772">
    <cfRule type="duplicateValues" dxfId="759" priority="719"/>
  </conditionalFormatting>
  <conditionalFormatting sqref="U772">
    <cfRule type="duplicateValues" dxfId="758" priority="718"/>
  </conditionalFormatting>
  <conditionalFormatting sqref="U772">
    <cfRule type="duplicateValues" dxfId="757" priority="717"/>
  </conditionalFormatting>
  <conditionalFormatting sqref="U772">
    <cfRule type="duplicateValues" dxfId="756" priority="716"/>
  </conditionalFormatting>
  <conditionalFormatting sqref="U772">
    <cfRule type="duplicateValues" dxfId="755" priority="715"/>
  </conditionalFormatting>
  <conditionalFormatting sqref="U772">
    <cfRule type="duplicateValues" dxfId="754" priority="714"/>
  </conditionalFormatting>
  <conditionalFormatting sqref="U772">
    <cfRule type="duplicateValues" dxfId="753" priority="713"/>
  </conditionalFormatting>
  <conditionalFormatting sqref="U772">
    <cfRule type="duplicateValues" dxfId="752" priority="712"/>
  </conditionalFormatting>
  <conditionalFormatting sqref="U772">
    <cfRule type="duplicateValues" dxfId="751" priority="711"/>
  </conditionalFormatting>
  <conditionalFormatting sqref="U772">
    <cfRule type="duplicateValues" dxfId="750" priority="710"/>
  </conditionalFormatting>
  <conditionalFormatting sqref="U772">
    <cfRule type="duplicateValues" dxfId="749" priority="709"/>
  </conditionalFormatting>
  <conditionalFormatting sqref="U772">
    <cfRule type="duplicateValues" dxfId="748" priority="708"/>
  </conditionalFormatting>
  <conditionalFormatting sqref="U772">
    <cfRule type="duplicateValues" dxfId="747" priority="707"/>
  </conditionalFormatting>
  <conditionalFormatting sqref="U772">
    <cfRule type="duplicateValues" dxfId="746" priority="706"/>
  </conditionalFormatting>
  <conditionalFormatting sqref="U772">
    <cfRule type="duplicateValues" dxfId="745" priority="705"/>
  </conditionalFormatting>
  <conditionalFormatting sqref="U772">
    <cfRule type="duplicateValues" dxfId="744" priority="704"/>
  </conditionalFormatting>
  <conditionalFormatting sqref="U772">
    <cfRule type="duplicateValues" dxfId="743" priority="703"/>
  </conditionalFormatting>
  <conditionalFormatting sqref="U772">
    <cfRule type="duplicateValues" dxfId="742" priority="702"/>
  </conditionalFormatting>
  <conditionalFormatting sqref="U772">
    <cfRule type="duplicateValues" dxfId="741" priority="701"/>
  </conditionalFormatting>
  <conditionalFormatting sqref="U772">
    <cfRule type="duplicateValues" dxfId="740" priority="700"/>
  </conditionalFormatting>
  <conditionalFormatting sqref="U772">
    <cfRule type="duplicateValues" dxfId="739" priority="699"/>
  </conditionalFormatting>
  <conditionalFormatting sqref="U772">
    <cfRule type="duplicateValues" dxfId="738" priority="698"/>
  </conditionalFormatting>
  <conditionalFormatting sqref="U772">
    <cfRule type="duplicateValues" dxfId="737" priority="697"/>
  </conditionalFormatting>
  <conditionalFormatting sqref="U772">
    <cfRule type="duplicateValues" dxfId="736" priority="696"/>
  </conditionalFormatting>
  <conditionalFormatting sqref="U772">
    <cfRule type="duplicateValues" dxfId="735" priority="695"/>
  </conditionalFormatting>
  <conditionalFormatting sqref="U772">
    <cfRule type="duplicateValues" dxfId="734" priority="694"/>
  </conditionalFormatting>
  <conditionalFormatting sqref="U772">
    <cfRule type="duplicateValues" dxfId="733" priority="693"/>
  </conditionalFormatting>
  <conditionalFormatting sqref="U772">
    <cfRule type="duplicateValues" dxfId="732" priority="692"/>
  </conditionalFormatting>
  <conditionalFormatting sqref="U772">
    <cfRule type="duplicateValues" dxfId="731" priority="691"/>
  </conditionalFormatting>
  <conditionalFormatting sqref="U772">
    <cfRule type="duplicateValues" dxfId="730" priority="690"/>
  </conditionalFormatting>
  <conditionalFormatting sqref="U772">
    <cfRule type="duplicateValues" dxfId="729" priority="689"/>
  </conditionalFormatting>
  <conditionalFormatting sqref="U772">
    <cfRule type="duplicateValues" dxfId="728" priority="688"/>
  </conditionalFormatting>
  <conditionalFormatting sqref="U772">
    <cfRule type="duplicateValues" dxfId="727" priority="687"/>
  </conditionalFormatting>
  <conditionalFormatting sqref="U772">
    <cfRule type="duplicateValues" dxfId="726" priority="686"/>
  </conditionalFormatting>
  <conditionalFormatting sqref="U772">
    <cfRule type="duplicateValues" dxfId="725" priority="685"/>
  </conditionalFormatting>
  <conditionalFormatting sqref="U772">
    <cfRule type="duplicateValues" dxfId="724" priority="684"/>
  </conditionalFormatting>
  <conditionalFormatting sqref="U772">
    <cfRule type="duplicateValues" dxfId="723" priority="683"/>
  </conditionalFormatting>
  <conditionalFormatting sqref="U772">
    <cfRule type="duplicateValues" dxfId="722" priority="682"/>
  </conditionalFormatting>
  <conditionalFormatting sqref="U772">
    <cfRule type="duplicateValues" dxfId="721" priority="681"/>
  </conditionalFormatting>
  <conditionalFormatting sqref="U772">
    <cfRule type="duplicateValues" dxfId="720" priority="680"/>
  </conditionalFormatting>
  <conditionalFormatting sqref="U772">
    <cfRule type="duplicateValues" dxfId="719" priority="679"/>
  </conditionalFormatting>
  <conditionalFormatting sqref="U773">
    <cfRule type="duplicateValues" dxfId="718" priority="678"/>
  </conditionalFormatting>
  <conditionalFormatting sqref="U773">
    <cfRule type="duplicateValues" dxfId="717" priority="677"/>
  </conditionalFormatting>
  <conditionalFormatting sqref="U773">
    <cfRule type="duplicateValues" dxfId="716" priority="676"/>
  </conditionalFormatting>
  <conditionalFormatting sqref="U773">
    <cfRule type="duplicateValues" dxfId="715" priority="675"/>
  </conditionalFormatting>
  <conditionalFormatting sqref="U773">
    <cfRule type="duplicateValues" dxfId="714" priority="674"/>
  </conditionalFormatting>
  <conditionalFormatting sqref="U773">
    <cfRule type="duplicateValues" dxfId="713" priority="673"/>
  </conditionalFormatting>
  <conditionalFormatting sqref="U773">
    <cfRule type="duplicateValues" dxfId="712" priority="672"/>
  </conditionalFormatting>
  <conditionalFormatting sqref="U773">
    <cfRule type="duplicateValues" dxfId="711" priority="671"/>
  </conditionalFormatting>
  <conditionalFormatting sqref="U773">
    <cfRule type="duplicateValues" dxfId="710" priority="670"/>
  </conditionalFormatting>
  <conditionalFormatting sqref="U773">
    <cfRule type="duplicateValues" dxfId="709" priority="669"/>
  </conditionalFormatting>
  <conditionalFormatting sqref="U773">
    <cfRule type="duplicateValues" dxfId="708" priority="668"/>
  </conditionalFormatting>
  <conditionalFormatting sqref="U773">
    <cfRule type="duplicateValues" dxfId="707" priority="667"/>
  </conditionalFormatting>
  <conditionalFormatting sqref="U773">
    <cfRule type="duplicateValues" dxfId="706" priority="666"/>
  </conditionalFormatting>
  <conditionalFormatting sqref="U773">
    <cfRule type="duplicateValues" dxfId="705" priority="665"/>
  </conditionalFormatting>
  <conditionalFormatting sqref="U773">
    <cfRule type="duplicateValues" dxfId="704" priority="664"/>
  </conditionalFormatting>
  <conditionalFormatting sqref="U773">
    <cfRule type="duplicateValues" dxfId="703" priority="663"/>
  </conditionalFormatting>
  <conditionalFormatting sqref="U773">
    <cfRule type="duplicateValues" dxfId="702" priority="662"/>
  </conditionalFormatting>
  <conditionalFormatting sqref="U773">
    <cfRule type="duplicateValues" dxfId="701" priority="661"/>
  </conditionalFormatting>
  <conditionalFormatting sqref="U773">
    <cfRule type="duplicateValues" dxfId="700" priority="660"/>
  </conditionalFormatting>
  <conditionalFormatting sqref="U773">
    <cfRule type="duplicateValues" dxfId="699" priority="659"/>
  </conditionalFormatting>
  <conditionalFormatting sqref="U773">
    <cfRule type="duplicateValues" dxfId="698" priority="658"/>
  </conditionalFormatting>
  <conditionalFormatting sqref="U773">
    <cfRule type="duplicateValues" dxfId="697" priority="657"/>
  </conditionalFormatting>
  <conditionalFormatting sqref="U773">
    <cfRule type="duplicateValues" dxfId="696" priority="656"/>
  </conditionalFormatting>
  <conditionalFormatting sqref="U773">
    <cfRule type="duplicateValues" dxfId="695" priority="655"/>
  </conditionalFormatting>
  <conditionalFormatting sqref="U773">
    <cfRule type="duplicateValues" dxfId="694" priority="654"/>
  </conditionalFormatting>
  <conditionalFormatting sqref="U773">
    <cfRule type="duplicateValues" dxfId="693" priority="653"/>
  </conditionalFormatting>
  <conditionalFormatting sqref="U773">
    <cfRule type="duplicateValues" dxfId="692" priority="652"/>
  </conditionalFormatting>
  <conditionalFormatting sqref="U773">
    <cfRule type="duplicateValues" dxfId="691" priority="651"/>
  </conditionalFormatting>
  <conditionalFormatting sqref="U773">
    <cfRule type="duplicateValues" dxfId="690" priority="650"/>
  </conditionalFormatting>
  <conditionalFormatting sqref="U773">
    <cfRule type="duplicateValues" dxfId="689" priority="649"/>
  </conditionalFormatting>
  <conditionalFormatting sqref="U773">
    <cfRule type="duplicateValues" dxfId="688" priority="648"/>
  </conditionalFormatting>
  <conditionalFormatting sqref="U773">
    <cfRule type="duplicateValues" dxfId="687" priority="647"/>
  </conditionalFormatting>
  <conditionalFormatting sqref="U773">
    <cfRule type="duplicateValues" dxfId="686" priority="646"/>
  </conditionalFormatting>
  <conditionalFormatting sqref="U773">
    <cfRule type="duplicateValues" dxfId="685" priority="645"/>
  </conditionalFormatting>
  <conditionalFormatting sqref="U773">
    <cfRule type="duplicateValues" dxfId="684" priority="644"/>
  </conditionalFormatting>
  <conditionalFormatting sqref="U773">
    <cfRule type="duplicateValues" dxfId="683" priority="643"/>
  </conditionalFormatting>
  <conditionalFormatting sqref="U773">
    <cfRule type="duplicateValues" dxfId="682" priority="642"/>
  </conditionalFormatting>
  <conditionalFormatting sqref="U773">
    <cfRule type="duplicateValues" dxfId="681" priority="641"/>
  </conditionalFormatting>
  <conditionalFormatting sqref="U773">
    <cfRule type="duplicateValues" dxfId="680" priority="640"/>
  </conditionalFormatting>
  <conditionalFormatting sqref="U773">
    <cfRule type="duplicateValues" dxfId="679" priority="639"/>
  </conditionalFormatting>
  <conditionalFormatting sqref="U773">
    <cfRule type="duplicateValues" dxfId="678" priority="638"/>
  </conditionalFormatting>
  <conditionalFormatting sqref="U773">
    <cfRule type="duplicateValues" dxfId="677" priority="637"/>
  </conditionalFormatting>
  <conditionalFormatting sqref="U773">
    <cfRule type="duplicateValues" dxfId="676" priority="636"/>
  </conditionalFormatting>
  <conditionalFormatting sqref="U773">
    <cfRule type="duplicateValues" dxfId="675" priority="635"/>
  </conditionalFormatting>
  <conditionalFormatting sqref="U773">
    <cfRule type="duplicateValues" dxfId="674" priority="634"/>
  </conditionalFormatting>
  <conditionalFormatting sqref="U773">
    <cfRule type="duplicateValues" dxfId="673" priority="633"/>
  </conditionalFormatting>
  <conditionalFormatting sqref="U773">
    <cfRule type="duplicateValues" dxfId="672" priority="632"/>
  </conditionalFormatting>
  <conditionalFormatting sqref="U773">
    <cfRule type="duplicateValues" dxfId="671" priority="631"/>
  </conditionalFormatting>
  <conditionalFormatting sqref="U773">
    <cfRule type="duplicateValues" dxfId="670" priority="630"/>
  </conditionalFormatting>
  <conditionalFormatting sqref="U773">
    <cfRule type="duplicateValues" dxfId="669" priority="629"/>
  </conditionalFormatting>
  <conditionalFormatting sqref="U773">
    <cfRule type="duplicateValues" dxfId="668" priority="628"/>
  </conditionalFormatting>
  <conditionalFormatting sqref="U773">
    <cfRule type="duplicateValues" dxfId="667" priority="627"/>
  </conditionalFormatting>
  <conditionalFormatting sqref="U773">
    <cfRule type="duplicateValues" dxfId="666" priority="626"/>
  </conditionalFormatting>
  <conditionalFormatting sqref="U773">
    <cfRule type="duplicateValues" dxfId="665" priority="625"/>
  </conditionalFormatting>
  <conditionalFormatting sqref="U773">
    <cfRule type="duplicateValues" dxfId="664" priority="624"/>
  </conditionalFormatting>
  <conditionalFormatting sqref="U773">
    <cfRule type="duplicateValues" dxfId="663" priority="623"/>
  </conditionalFormatting>
  <conditionalFormatting sqref="U773">
    <cfRule type="duplicateValues" dxfId="662" priority="622"/>
  </conditionalFormatting>
  <conditionalFormatting sqref="U773">
    <cfRule type="duplicateValues" dxfId="661" priority="621"/>
  </conditionalFormatting>
  <conditionalFormatting sqref="U773">
    <cfRule type="duplicateValues" dxfId="660" priority="620"/>
  </conditionalFormatting>
  <conditionalFormatting sqref="U773">
    <cfRule type="duplicateValues" dxfId="659" priority="619"/>
  </conditionalFormatting>
  <conditionalFormatting sqref="U773">
    <cfRule type="duplicateValues" dxfId="658" priority="618"/>
  </conditionalFormatting>
  <conditionalFormatting sqref="U773">
    <cfRule type="duplicateValues" dxfId="657" priority="617"/>
  </conditionalFormatting>
  <conditionalFormatting sqref="U773">
    <cfRule type="duplicateValues" dxfId="656" priority="616"/>
  </conditionalFormatting>
  <conditionalFormatting sqref="U773">
    <cfRule type="duplicateValues" dxfId="655" priority="615"/>
  </conditionalFormatting>
  <conditionalFormatting sqref="U773">
    <cfRule type="duplicateValues" dxfId="654" priority="614"/>
  </conditionalFormatting>
  <conditionalFormatting sqref="U773">
    <cfRule type="duplicateValues" dxfId="653" priority="613"/>
  </conditionalFormatting>
  <conditionalFormatting sqref="U773">
    <cfRule type="duplicateValues" dxfId="652" priority="612"/>
  </conditionalFormatting>
  <conditionalFormatting sqref="U773">
    <cfRule type="duplicateValues" dxfId="651" priority="611"/>
  </conditionalFormatting>
  <conditionalFormatting sqref="U773">
    <cfRule type="duplicateValues" dxfId="650" priority="610"/>
  </conditionalFormatting>
  <conditionalFormatting sqref="U773">
    <cfRule type="duplicateValues" dxfId="649" priority="609"/>
  </conditionalFormatting>
  <conditionalFormatting sqref="U773">
    <cfRule type="duplicateValues" dxfId="648" priority="608"/>
  </conditionalFormatting>
  <conditionalFormatting sqref="U773">
    <cfRule type="duplicateValues" dxfId="647" priority="607"/>
  </conditionalFormatting>
  <conditionalFormatting sqref="U773">
    <cfRule type="duplicateValues" dxfId="646" priority="606"/>
  </conditionalFormatting>
  <conditionalFormatting sqref="U773">
    <cfRule type="duplicateValues" dxfId="645" priority="605"/>
  </conditionalFormatting>
  <conditionalFormatting sqref="U773">
    <cfRule type="duplicateValues" dxfId="644" priority="604"/>
  </conditionalFormatting>
  <conditionalFormatting sqref="U773">
    <cfRule type="duplicateValues" dxfId="643" priority="603"/>
  </conditionalFormatting>
  <conditionalFormatting sqref="U773">
    <cfRule type="duplicateValues" dxfId="642" priority="602"/>
  </conditionalFormatting>
  <conditionalFormatting sqref="U773">
    <cfRule type="duplicateValues" dxfId="641" priority="601"/>
  </conditionalFormatting>
  <conditionalFormatting sqref="U773">
    <cfRule type="duplicateValues" dxfId="640" priority="600"/>
  </conditionalFormatting>
  <conditionalFormatting sqref="U773">
    <cfRule type="duplicateValues" dxfId="639" priority="599"/>
  </conditionalFormatting>
  <conditionalFormatting sqref="U773">
    <cfRule type="duplicateValues" dxfId="638" priority="598"/>
  </conditionalFormatting>
  <conditionalFormatting sqref="U773">
    <cfRule type="duplicateValues" dxfId="637" priority="597"/>
  </conditionalFormatting>
  <conditionalFormatting sqref="U773">
    <cfRule type="duplicateValues" dxfId="636" priority="596"/>
  </conditionalFormatting>
  <conditionalFormatting sqref="U773">
    <cfRule type="duplicateValues" dxfId="635" priority="595"/>
  </conditionalFormatting>
  <conditionalFormatting sqref="U773">
    <cfRule type="duplicateValues" dxfId="634" priority="594"/>
  </conditionalFormatting>
  <conditionalFormatting sqref="U773">
    <cfRule type="duplicateValues" dxfId="633" priority="593"/>
  </conditionalFormatting>
  <conditionalFormatting sqref="U773">
    <cfRule type="duplicateValues" dxfId="632" priority="592"/>
  </conditionalFormatting>
  <conditionalFormatting sqref="U773">
    <cfRule type="duplicateValues" dxfId="631" priority="591"/>
  </conditionalFormatting>
  <conditionalFormatting sqref="U773">
    <cfRule type="duplicateValues" dxfId="630" priority="590"/>
  </conditionalFormatting>
  <conditionalFormatting sqref="U773">
    <cfRule type="duplicateValues" dxfId="629" priority="589"/>
  </conditionalFormatting>
  <conditionalFormatting sqref="U773">
    <cfRule type="duplicateValues" dxfId="628" priority="588"/>
  </conditionalFormatting>
  <conditionalFormatting sqref="U773">
    <cfRule type="duplicateValues" dxfId="627" priority="587"/>
  </conditionalFormatting>
  <conditionalFormatting sqref="U773">
    <cfRule type="duplicateValues" dxfId="626" priority="586"/>
  </conditionalFormatting>
  <conditionalFormatting sqref="U773">
    <cfRule type="duplicateValues" dxfId="625" priority="585"/>
  </conditionalFormatting>
  <conditionalFormatting sqref="U773">
    <cfRule type="duplicateValues" dxfId="624" priority="584"/>
  </conditionalFormatting>
  <conditionalFormatting sqref="U773">
    <cfRule type="duplicateValues" dxfId="623" priority="583"/>
  </conditionalFormatting>
  <conditionalFormatting sqref="U773">
    <cfRule type="duplicateValues" dxfId="622" priority="582"/>
  </conditionalFormatting>
  <conditionalFormatting sqref="U773">
    <cfRule type="duplicateValues" dxfId="621" priority="581"/>
  </conditionalFormatting>
  <conditionalFormatting sqref="U773">
    <cfRule type="duplicateValues" dxfId="620" priority="580"/>
  </conditionalFormatting>
  <conditionalFormatting sqref="U773">
    <cfRule type="duplicateValues" dxfId="619" priority="579"/>
  </conditionalFormatting>
  <conditionalFormatting sqref="U773">
    <cfRule type="duplicateValues" dxfId="618" priority="578"/>
  </conditionalFormatting>
  <conditionalFormatting sqref="U773">
    <cfRule type="duplicateValues" dxfId="617" priority="577"/>
  </conditionalFormatting>
  <conditionalFormatting sqref="U773">
    <cfRule type="duplicateValues" dxfId="616" priority="576"/>
  </conditionalFormatting>
  <conditionalFormatting sqref="U773">
    <cfRule type="duplicateValues" dxfId="615" priority="575"/>
  </conditionalFormatting>
  <conditionalFormatting sqref="U773">
    <cfRule type="duplicateValues" dxfId="614" priority="574"/>
  </conditionalFormatting>
  <conditionalFormatting sqref="U773">
    <cfRule type="duplicateValues" dxfId="613" priority="573"/>
  </conditionalFormatting>
  <conditionalFormatting sqref="U773">
    <cfRule type="duplicateValues" dxfId="612" priority="572"/>
  </conditionalFormatting>
  <conditionalFormatting sqref="U773">
    <cfRule type="duplicateValues" dxfId="611" priority="571"/>
  </conditionalFormatting>
  <conditionalFormatting sqref="U773">
    <cfRule type="duplicateValues" dxfId="610" priority="570"/>
  </conditionalFormatting>
  <conditionalFormatting sqref="U773">
    <cfRule type="duplicateValues" dxfId="609" priority="569"/>
  </conditionalFormatting>
  <conditionalFormatting sqref="U773">
    <cfRule type="duplicateValues" dxfId="608" priority="568"/>
  </conditionalFormatting>
  <conditionalFormatting sqref="U773">
    <cfRule type="duplicateValues" dxfId="607" priority="567"/>
  </conditionalFormatting>
  <conditionalFormatting sqref="U773">
    <cfRule type="duplicateValues" dxfId="606" priority="566"/>
  </conditionalFormatting>
  <conditionalFormatting sqref="U774:U779">
    <cfRule type="duplicateValues" dxfId="605" priority="565"/>
  </conditionalFormatting>
  <conditionalFormatting sqref="U774:U779">
    <cfRule type="duplicateValues" dxfId="604" priority="564"/>
  </conditionalFormatting>
  <conditionalFormatting sqref="U774:U779">
    <cfRule type="duplicateValues" dxfId="603" priority="563"/>
  </conditionalFormatting>
  <conditionalFormatting sqref="U774:U779">
    <cfRule type="duplicateValues" dxfId="602" priority="562"/>
  </conditionalFormatting>
  <conditionalFormatting sqref="U774:U779">
    <cfRule type="duplicateValues" dxfId="601" priority="561"/>
  </conditionalFormatting>
  <conditionalFormatting sqref="U774:U779">
    <cfRule type="duplicateValues" dxfId="600" priority="560"/>
  </conditionalFormatting>
  <conditionalFormatting sqref="U774:U779">
    <cfRule type="duplicateValues" dxfId="599" priority="559"/>
  </conditionalFormatting>
  <conditionalFormatting sqref="U774:U779">
    <cfRule type="duplicateValues" dxfId="598" priority="558"/>
  </conditionalFormatting>
  <conditionalFormatting sqref="U774:U779">
    <cfRule type="duplicateValues" dxfId="597" priority="557"/>
  </conditionalFormatting>
  <conditionalFormatting sqref="U774:U779">
    <cfRule type="duplicateValues" dxfId="596" priority="556"/>
  </conditionalFormatting>
  <conditionalFormatting sqref="U774:U779">
    <cfRule type="duplicateValues" dxfId="595" priority="555"/>
  </conditionalFormatting>
  <conditionalFormatting sqref="U774:U779">
    <cfRule type="duplicateValues" dxfId="594" priority="554"/>
  </conditionalFormatting>
  <conditionalFormatting sqref="U774:U779">
    <cfRule type="duplicateValues" dxfId="593" priority="553"/>
  </conditionalFormatting>
  <conditionalFormatting sqref="U774:U779">
    <cfRule type="duplicateValues" dxfId="592" priority="552"/>
  </conditionalFormatting>
  <conditionalFormatting sqref="U774:U779">
    <cfRule type="duplicateValues" dxfId="591" priority="551"/>
  </conditionalFormatting>
  <conditionalFormatting sqref="U774:U779">
    <cfRule type="duplicateValues" dxfId="590" priority="550"/>
  </conditionalFormatting>
  <conditionalFormatting sqref="U774:U779">
    <cfRule type="duplicateValues" dxfId="589" priority="549"/>
  </conditionalFormatting>
  <conditionalFormatting sqref="U774:U779">
    <cfRule type="duplicateValues" dxfId="588" priority="548"/>
  </conditionalFormatting>
  <conditionalFormatting sqref="U774:U779">
    <cfRule type="duplicateValues" dxfId="587" priority="547"/>
  </conditionalFormatting>
  <conditionalFormatting sqref="U774:U779">
    <cfRule type="duplicateValues" dxfId="586" priority="546"/>
  </conditionalFormatting>
  <conditionalFormatting sqref="U774:U779">
    <cfRule type="duplicateValues" dxfId="585" priority="545"/>
  </conditionalFormatting>
  <conditionalFormatting sqref="U774:U779">
    <cfRule type="duplicateValues" dxfId="584" priority="544"/>
  </conditionalFormatting>
  <conditionalFormatting sqref="U774:U779">
    <cfRule type="duplicateValues" dxfId="583" priority="543"/>
  </conditionalFormatting>
  <conditionalFormatting sqref="U774:U779">
    <cfRule type="duplicateValues" dxfId="582" priority="542"/>
  </conditionalFormatting>
  <conditionalFormatting sqref="U774:U779">
    <cfRule type="duplicateValues" dxfId="581" priority="541"/>
  </conditionalFormatting>
  <conditionalFormatting sqref="U774:U779">
    <cfRule type="duplicateValues" dxfId="580" priority="540"/>
  </conditionalFormatting>
  <conditionalFormatting sqref="U774:U779">
    <cfRule type="duplicateValues" dxfId="579" priority="539"/>
  </conditionalFormatting>
  <conditionalFormatting sqref="U774:U779">
    <cfRule type="duplicateValues" dxfId="578" priority="538"/>
  </conditionalFormatting>
  <conditionalFormatting sqref="U774:U779">
    <cfRule type="duplicateValues" dxfId="577" priority="537"/>
  </conditionalFormatting>
  <conditionalFormatting sqref="U774:U779">
    <cfRule type="duplicateValues" dxfId="576" priority="536"/>
  </conditionalFormatting>
  <conditionalFormatting sqref="U774:U779">
    <cfRule type="duplicateValues" dxfId="575" priority="535"/>
  </conditionalFormatting>
  <conditionalFormatting sqref="U774:U779">
    <cfRule type="duplicateValues" dxfId="574" priority="534"/>
  </conditionalFormatting>
  <conditionalFormatting sqref="U774:U779">
    <cfRule type="duplicateValues" dxfId="573" priority="533"/>
  </conditionalFormatting>
  <conditionalFormatting sqref="U774:U779">
    <cfRule type="duplicateValues" dxfId="572" priority="532"/>
  </conditionalFormatting>
  <conditionalFormatting sqref="U774:U779">
    <cfRule type="duplicateValues" dxfId="571" priority="531"/>
  </conditionalFormatting>
  <conditionalFormatting sqref="U774:U779">
    <cfRule type="duplicateValues" dxfId="570" priority="530"/>
  </conditionalFormatting>
  <conditionalFormatting sqref="U774:U779">
    <cfRule type="duplicateValues" dxfId="569" priority="529"/>
  </conditionalFormatting>
  <conditionalFormatting sqref="U774:U779">
    <cfRule type="duplicateValues" dxfId="568" priority="528"/>
  </conditionalFormatting>
  <conditionalFormatting sqref="U774:U779">
    <cfRule type="duplicateValues" dxfId="567" priority="527"/>
  </conditionalFormatting>
  <conditionalFormatting sqref="U774:U779">
    <cfRule type="duplicateValues" dxfId="566" priority="526"/>
  </conditionalFormatting>
  <conditionalFormatting sqref="U774:U779">
    <cfRule type="duplicateValues" dxfId="565" priority="525"/>
  </conditionalFormatting>
  <conditionalFormatting sqref="U774:U779">
    <cfRule type="duplicateValues" dxfId="564" priority="524"/>
  </conditionalFormatting>
  <conditionalFormatting sqref="U774:U779">
    <cfRule type="duplicateValues" dxfId="563" priority="523"/>
  </conditionalFormatting>
  <conditionalFormatting sqref="U774:U779">
    <cfRule type="duplicateValues" dxfId="562" priority="522"/>
  </conditionalFormatting>
  <conditionalFormatting sqref="U774:U779">
    <cfRule type="duplicateValues" dxfId="561" priority="521"/>
  </conditionalFormatting>
  <conditionalFormatting sqref="U774:U779">
    <cfRule type="duplicateValues" dxfId="560" priority="520"/>
  </conditionalFormatting>
  <conditionalFormatting sqref="U774:U779">
    <cfRule type="duplicateValues" dxfId="559" priority="519"/>
  </conditionalFormatting>
  <conditionalFormatting sqref="U774:U779">
    <cfRule type="duplicateValues" dxfId="558" priority="518"/>
  </conditionalFormatting>
  <conditionalFormatting sqref="U774:U779">
    <cfRule type="duplicateValues" dxfId="557" priority="517"/>
  </conditionalFormatting>
  <conditionalFormatting sqref="U774:U779">
    <cfRule type="duplicateValues" dxfId="556" priority="516"/>
  </conditionalFormatting>
  <conditionalFormatting sqref="U774:U779">
    <cfRule type="duplicateValues" dxfId="555" priority="515"/>
  </conditionalFormatting>
  <conditionalFormatting sqref="U774:U779">
    <cfRule type="duplicateValues" dxfId="554" priority="514"/>
  </conditionalFormatting>
  <conditionalFormatting sqref="U774:U779">
    <cfRule type="duplicateValues" dxfId="553" priority="513"/>
  </conditionalFormatting>
  <conditionalFormatting sqref="U774:U779">
    <cfRule type="duplicateValues" dxfId="552" priority="512"/>
  </conditionalFormatting>
  <conditionalFormatting sqref="U774:U779">
    <cfRule type="duplicateValues" dxfId="551" priority="511"/>
  </conditionalFormatting>
  <conditionalFormatting sqref="U774:U779">
    <cfRule type="duplicateValues" dxfId="550" priority="510"/>
  </conditionalFormatting>
  <conditionalFormatting sqref="U774:U779">
    <cfRule type="duplicateValues" dxfId="549" priority="509"/>
  </conditionalFormatting>
  <conditionalFormatting sqref="U774:U779">
    <cfRule type="duplicateValues" dxfId="548" priority="508"/>
  </conditionalFormatting>
  <conditionalFormatting sqref="U774:U779">
    <cfRule type="duplicateValues" dxfId="547" priority="507"/>
  </conditionalFormatting>
  <conditionalFormatting sqref="U774:U779">
    <cfRule type="duplicateValues" dxfId="546" priority="506"/>
  </conditionalFormatting>
  <conditionalFormatting sqref="U774:U779">
    <cfRule type="duplicateValues" dxfId="545" priority="505"/>
  </conditionalFormatting>
  <conditionalFormatting sqref="U774:U779">
    <cfRule type="duplicateValues" dxfId="544" priority="504"/>
  </conditionalFormatting>
  <conditionalFormatting sqref="U774:U779">
    <cfRule type="duplicateValues" dxfId="543" priority="503"/>
  </conditionalFormatting>
  <conditionalFormatting sqref="U774:U779">
    <cfRule type="duplicateValues" dxfId="542" priority="502"/>
  </conditionalFormatting>
  <conditionalFormatting sqref="U774:U779">
    <cfRule type="duplicateValues" dxfId="541" priority="501"/>
  </conditionalFormatting>
  <conditionalFormatting sqref="U774:U779">
    <cfRule type="duplicateValues" dxfId="540" priority="500"/>
  </conditionalFormatting>
  <conditionalFormatting sqref="U774:U779">
    <cfRule type="duplicateValues" dxfId="539" priority="499"/>
  </conditionalFormatting>
  <conditionalFormatting sqref="U774:U779">
    <cfRule type="duplicateValues" dxfId="538" priority="498"/>
  </conditionalFormatting>
  <conditionalFormatting sqref="U774:U779">
    <cfRule type="duplicateValues" dxfId="537" priority="497"/>
  </conditionalFormatting>
  <conditionalFormatting sqref="U774:U779">
    <cfRule type="duplicateValues" dxfId="536" priority="496"/>
  </conditionalFormatting>
  <conditionalFormatting sqref="U774:U779">
    <cfRule type="duplicateValues" dxfId="535" priority="495"/>
  </conditionalFormatting>
  <conditionalFormatting sqref="U774:U779">
    <cfRule type="duplicateValues" dxfId="534" priority="494"/>
  </conditionalFormatting>
  <conditionalFormatting sqref="U774:U779">
    <cfRule type="duplicateValues" dxfId="533" priority="493"/>
  </conditionalFormatting>
  <conditionalFormatting sqref="U774:U779">
    <cfRule type="duplicateValues" dxfId="532" priority="492"/>
  </conditionalFormatting>
  <conditionalFormatting sqref="U774:U779">
    <cfRule type="duplicateValues" dxfId="531" priority="491"/>
  </conditionalFormatting>
  <conditionalFormatting sqref="U774:U779">
    <cfRule type="duplicateValues" dxfId="530" priority="490"/>
  </conditionalFormatting>
  <conditionalFormatting sqref="U774:U779">
    <cfRule type="duplicateValues" dxfId="529" priority="489"/>
  </conditionalFormatting>
  <conditionalFormatting sqref="U774:U779">
    <cfRule type="duplicateValues" dxfId="528" priority="488"/>
  </conditionalFormatting>
  <conditionalFormatting sqref="U774:U779">
    <cfRule type="duplicateValues" dxfId="527" priority="487"/>
  </conditionalFormatting>
  <conditionalFormatting sqref="U774:U779">
    <cfRule type="duplicateValues" dxfId="526" priority="486"/>
  </conditionalFormatting>
  <conditionalFormatting sqref="U774:U779">
    <cfRule type="duplicateValues" dxfId="525" priority="485"/>
  </conditionalFormatting>
  <conditionalFormatting sqref="U774:U779">
    <cfRule type="duplicateValues" dxfId="524" priority="484"/>
  </conditionalFormatting>
  <conditionalFormatting sqref="U774:U779">
    <cfRule type="duplicateValues" dxfId="523" priority="483"/>
  </conditionalFormatting>
  <conditionalFormatting sqref="U774:U779">
    <cfRule type="duplicateValues" dxfId="522" priority="482"/>
  </conditionalFormatting>
  <conditionalFormatting sqref="U774:U779">
    <cfRule type="duplicateValues" dxfId="521" priority="481"/>
  </conditionalFormatting>
  <conditionalFormatting sqref="U774:U779">
    <cfRule type="duplicateValues" dxfId="520" priority="480"/>
  </conditionalFormatting>
  <conditionalFormatting sqref="U774:U779">
    <cfRule type="duplicateValues" dxfId="519" priority="479"/>
  </conditionalFormatting>
  <conditionalFormatting sqref="U774:U779">
    <cfRule type="duplicateValues" dxfId="518" priority="478"/>
  </conditionalFormatting>
  <conditionalFormatting sqref="U774:U779">
    <cfRule type="duplicateValues" dxfId="517" priority="477"/>
  </conditionalFormatting>
  <conditionalFormatting sqref="U774:U779">
    <cfRule type="duplicateValues" dxfId="516" priority="476"/>
  </conditionalFormatting>
  <conditionalFormatting sqref="U774:U779">
    <cfRule type="duplicateValues" dxfId="515" priority="475"/>
  </conditionalFormatting>
  <conditionalFormatting sqref="U774:U779">
    <cfRule type="duplicateValues" dxfId="514" priority="474"/>
  </conditionalFormatting>
  <conditionalFormatting sqref="U774:U779">
    <cfRule type="duplicateValues" dxfId="513" priority="473"/>
  </conditionalFormatting>
  <conditionalFormatting sqref="U774:U779">
    <cfRule type="duplicateValues" dxfId="512" priority="472"/>
  </conditionalFormatting>
  <conditionalFormatting sqref="U774:U779">
    <cfRule type="duplicateValues" dxfId="511" priority="471"/>
  </conditionalFormatting>
  <conditionalFormatting sqref="U774:U779">
    <cfRule type="duplicateValues" dxfId="510" priority="470"/>
  </conditionalFormatting>
  <conditionalFormatting sqref="U774:U779">
    <cfRule type="duplicateValues" dxfId="509" priority="469"/>
  </conditionalFormatting>
  <conditionalFormatting sqref="U774:U779">
    <cfRule type="duplicateValues" dxfId="508" priority="468"/>
  </conditionalFormatting>
  <conditionalFormatting sqref="U774:U779">
    <cfRule type="duplicateValues" dxfId="507" priority="467"/>
  </conditionalFormatting>
  <conditionalFormatting sqref="U774:U779">
    <cfRule type="duplicateValues" dxfId="506" priority="466"/>
  </conditionalFormatting>
  <conditionalFormatting sqref="U774:U779">
    <cfRule type="duplicateValues" dxfId="505" priority="465"/>
  </conditionalFormatting>
  <conditionalFormatting sqref="U774:U779">
    <cfRule type="duplicateValues" dxfId="504" priority="464"/>
  </conditionalFormatting>
  <conditionalFormatting sqref="U774:U779">
    <cfRule type="duplicateValues" dxfId="503" priority="463"/>
  </conditionalFormatting>
  <conditionalFormatting sqref="U774:U779">
    <cfRule type="duplicateValues" dxfId="502" priority="462"/>
  </conditionalFormatting>
  <conditionalFormatting sqref="U774:U779">
    <cfRule type="duplicateValues" dxfId="501" priority="461"/>
  </conditionalFormatting>
  <conditionalFormatting sqref="U774:U779">
    <cfRule type="duplicateValues" dxfId="500" priority="460"/>
  </conditionalFormatting>
  <conditionalFormatting sqref="U774:U779">
    <cfRule type="duplicateValues" dxfId="499" priority="459"/>
  </conditionalFormatting>
  <conditionalFormatting sqref="U774:U779">
    <cfRule type="duplicateValues" dxfId="498" priority="458"/>
  </conditionalFormatting>
  <conditionalFormatting sqref="U774:U779">
    <cfRule type="duplicateValues" dxfId="497" priority="457"/>
  </conditionalFormatting>
  <conditionalFormatting sqref="U774:U779">
    <cfRule type="duplicateValues" dxfId="496" priority="456"/>
  </conditionalFormatting>
  <conditionalFormatting sqref="U774:U779">
    <cfRule type="duplicateValues" dxfId="495" priority="455"/>
  </conditionalFormatting>
  <conditionalFormatting sqref="U774:U779">
    <cfRule type="duplicateValues" dxfId="494" priority="454"/>
  </conditionalFormatting>
  <conditionalFormatting sqref="U774:U779">
    <cfRule type="duplicateValues" dxfId="493" priority="453"/>
  </conditionalFormatting>
  <conditionalFormatting sqref="U775">
    <cfRule type="duplicateValues" dxfId="492" priority="452"/>
  </conditionalFormatting>
  <conditionalFormatting sqref="U775">
    <cfRule type="duplicateValues" dxfId="491" priority="451"/>
  </conditionalFormatting>
  <conditionalFormatting sqref="U775">
    <cfRule type="duplicateValues" dxfId="490" priority="450"/>
  </conditionalFormatting>
  <conditionalFormatting sqref="U775">
    <cfRule type="duplicateValues" dxfId="489" priority="449"/>
  </conditionalFormatting>
  <conditionalFormatting sqref="U775">
    <cfRule type="duplicateValues" dxfId="488" priority="448"/>
  </conditionalFormatting>
  <conditionalFormatting sqref="U775">
    <cfRule type="duplicateValues" dxfId="487" priority="447"/>
  </conditionalFormatting>
  <conditionalFormatting sqref="U775">
    <cfRule type="duplicateValues" dxfId="486" priority="446"/>
  </conditionalFormatting>
  <conditionalFormatting sqref="U775">
    <cfRule type="duplicateValues" dxfId="485" priority="445"/>
  </conditionalFormatting>
  <conditionalFormatting sqref="U775">
    <cfRule type="duplicateValues" dxfId="484" priority="444"/>
  </conditionalFormatting>
  <conditionalFormatting sqref="U775">
    <cfRule type="duplicateValues" dxfId="483" priority="443"/>
  </conditionalFormatting>
  <conditionalFormatting sqref="U775">
    <cfRule type="duplicateValues" dxfId="482" priority="442"/>
  </conditionalFormatting>
  <conditionalFormatting sqref="U775">
    <cfRule type="duplicateValues" dxfId="481" priority="441"/>
  </conditionalFormatting>
  <conditionalFormatting sqref="U775">
    <cfRule type="duplicateValues" dxfId="480" priority="440"/>
  </conditionalFormatting>
  <conditionalFormatting sqref="U775">
    <cfRule type="duplicateValues" dxfId="479" priority="439"/>
  </conditionalFormatting>
  <conditionalFormatting sqref="U775">
    <cfRule type="duplicateValues" dxfId="478" priority="438"/>
  </conditionalFormatting>
  <conditionalFormatting sqref="U775">
    <cfRule type="duplicateValues" dxfId="477" priority="437"/>
  </conditionalFormatting>
  <conditionalFormatting sqref="U775">
    <cfRule type="duplicateValues" dxfId="476" priority="436"/>
  </conditionalFormatting>
  <conditionalFormatting sqref="U775">
    <cfRule type="duplicateValues" dxfId="475" priority="435"/>
  </conditionalFormatting>
  <conditionalFormatting sqref="U775">
    <cfRule type="duplicateValues" dxfId="474" priority="434"/>
  </conditionalFormatting>
  <conditionalFormatting sqref="U775">
    <cfRule type="duplicateValues" dxfId="473" priority="433"/>
  </conditionalFormatting>
  <conditionalFormatting sqref="U775">
    <cfRule type="duplicateValues" dxfId="472" priority="432"/>
  </conditionalFormatting>
  <conditionalFormatting sqref="U775">
    <cfRule type="duplicateValues" dxfId="471" priority="431"/>
  </conditionalFormatting>
  <conditionalFormatting sqref="U775">
    <cfRule type="duplicateValues" dxfId="470" priority="430"/>
  </conditionalFormatting>
  <conditionalFormatting sqref="U775">
    <cfRule type="duplicateValues" dxfId="469" priority="429"/>
  </conditionalFormatting>
  <conditionalFormatting sqref="U775">
    <cfRule type="duplicateValues" dxfId="468" priority="428"/>
  </conditionalFormatting>
  <conditionalFormatting sqref="U775">
    <cfRule type="duplicateValues" dxfId="467" priority="427"/>
  </conditionalFormatting>
  <conditionalFormatting sqref="U775">
    <cfRule type="duplicateValues" dxfId="466" priority="426"/>
  </conditionalFormatting>
  <conditionalFormatting sqref="U775">
    <cfRule type="duplicateValues" dxfId="465" priority="425"/>
  </conditionalFormatting>
  <conditionalFormatting sqref="U775">
    <cfRule type="duplicateValues" dxfId="464" priority="424"/>
  </conditionalFormatting>
  <conditionalFormatting sqref="U775">
    <cfRule type="duplicateValues" dxfId="463" priority="423"/>
  </conditionalFormatting>
  <conditionalFormatting sqref="U775">
    <cfRule type="duplicateValues" dxfId="462" priority="422"/>
  </conditionalFormatting>
  <conditionalFormatting sqref="U775">
    <cfRule type="duplicateValues" dxfId="461" priority="421"/>
  </conditionalFormatting>
  <conditionalFormatting sqref="U775">
    <cfRule type="duplicateValues" dxfId="460" priority="420"/>
  </conditionalFormatting>
  <conditionalFormatting sqref="U775">
    <cfRule type="duplicateValues" dxfId="459" priority="419"/>
  </conditionalFormatting>
  <conditionalFormatting sqref="U775">
    <cfRule type="duplicateValues" dxfId="458" priority="418"/>
  </conditionalFormatting>
  <conditionalFormatting sqref="U775">
    <cfRule type="duplicateValues" dxfId="457" priority="417"/>
  </conditionalFormatting>
  <conditionalFormatting sqref="U775">
    <cfRule type="duplicateValues" dxfId="456" priority="416"/>
  </conditionalFormatting>
  <conditionalFormatting sqref="U775">
    <cfRule type="duplicateValues" dxfId="455" priority="415"/>
  </conditionalFormatting>
  <conditionalFormatting sqref="U775">
    <cfRule type="duplicateValues" dxfId="454" priority="414"/>
  </conditionalFormatting>
  <conditionalFormatting sqref="U775">
    <cfRule type="duplicateValues" dxfId="453" priority="413"/>
  </conditionalFormatting>
  <conditionalFormatting sqref="U775">
    <cfRule type="duplicateValues" dxfId="452" priority="412"/>
  </conditionalFormatting>
  <conditionalFormatting sqref="U775">
    <cfRule type="duplicateValues" dxfId="451" priority="411"/>
  </conditionalFormatting>
  <conditionalFormatting sqref="U775">
    <cfRule type="duplicateValues" dxfId="450" priority="410"/>
  </conditionalFormatting>
  <conditionalFormatting sqref="U775">
    <cfRule type="duplicateValues" dxfId="449" priority="409"/>
  </conditionalFormatting>
  <conditionalFormatting sqref="U775">
    <cfRule type="duplicateValues" dxfId="448" priority="408"/>
  </conditionalFormatting>
  <conditionalFormatting sqref="U775">
    <cfRule type="duplicateValues" dxfId="447" priority="407"/>
  </conditionalFormatting>
  <conditionalFormatting sqref="U775">
    <cfRule type="duplicateValues" dxfId="446" priority="406"/>
  </conditionalFormatting>
  <conditionalFormatting sqref="U775">
    <cfRule type="duplicateValues" dxfId="445" priority="405"/>
  </conditionalFormatting>
  <conditionalFormatting sqref="U775">
    <cfRule type="duplicateValues" dxfId="444" priority="404"/>
  </conditionalFormatting>
  <conditionalFormatting sqref="U775">
    <cfRule type="duplicateValues" dxfId="443" priority="403"/>
  </conditionalFormatting>
  <conditionalFormatting sqref="U775">
    <cfRule type="duplicateValues" dxfId="442" priority="402"/>
  </conditionalFormatting>
  <conditionalFormatting sqref="U775">
    <cfRule type="duplicateValues" dxfId="441" priority="401"/>
  </conditionalFormatting>
  <conditionalFormatting sqref="U775">
    <cfRule type="duplicateValues" dxfId="440" priority="400"/>
  </conditionalFormatting>
  <conditionalFormatting sqref="U775">
    <cfRule type="duplicateValues" dxfId="439" priority="399"/>
  </conditionalFormatting>
  <conditionalFormatting sqref="U775">
    <cfRule type="duplicateValues" dxfId="438" priority="398"/>
  </conditionalFormatting>
  <conditionalFormatting sqref="U775">
    <cfRule type="duplicateValues" dxfId="437" priority="397"/>
  </conditionalFormatting>
  <conditionalFormatting sqref="U775">
    <cfRule type="duplicateValues" dxfId="436" priority="396"/>
  </conditionalFormatting>
  <conditionalFormatting sqref="U775">
    <cfRule type="duplicateValues" dxfId="435" priority="395"/>
  </conditionalFormatting>
  <conditionalFormatting sqref="U775">
    <cfRule type="duplicateValues" dxfId="434" priority="394"/>
  </conditionalFormatting>
  <conditionalFormatting sqref="U775">
    <cfRule type="duplicateValues" dxfId="433" priority="393"/>
  </conditionalFormatting>
  <conditionalFormatting sqref="U775">
    <cfRule type="duplicateValues" dxfId="432" priority="392"/>
  </conditionalFormatting>
  <conditionalFormatting sqref="U775">
    <cfRule type="duplicateValues" dxfId="431" priority="391"/>
  </conditionalFormatting>
  <conditionalFormatting sqref="U775">
    <cfRule type="duplicateValues" dxfId="430" priority="390"/>
  </conditionalFormatting>
  <conditionalFormatting sqref="U775">
    <cfRule type="duplicateValues" dxfId="429" priority="389"/>
  </conditionalFormatting>
  <conditionalFormatting sqref="U775">
    <cfRule type="duplicateValues" dxfId="428" priority="388"/>
  </conditionalFormatting>
  <conditionalFormatting sqref="U775">
    <cfRule type="duplicateValues" dxfId="427" priority="387"/>
  </conditionalFormatting>
  <conditionalFormatting sqref="U775">
    <cfRule type="duplicateValues" dxfId="426" priority="386"/>
  </conditionalFormatting>
  <conditionalFormatting sqref="U775">
    <cfRule type="duplicateValues" dxfId="425" priority="385"/>
  </conditionalFormatting>
  <conditionalFormatting sqref="U775">
    <cfRule type="duplicateValues" dxfId="424" priority="384"/>
  </conditionalFormatting>
  <conditionalFormatting sqref="U775">
    <cfRule type="duplicateValues" dxfId="423" priority="383"/>
  </conditionalFormatting>
  <conditionalFormatting sqref="U775">
    <cfRule type="duplicateValues" dxfId="422" priority="382"/>
  </conditionalFormatting>
  <conditionalFormatting sqref="U775">
    <cfRule type="duplicateValues" dxfId="421" priority="381"/>
  </conditionalFormatting>
  <conditionalFormatting sqref="U775">
    <cfRule type="duplicateValues" dxfId="420" priority="380"/>
  </conditionalFormatting>
  <conditionalFormatting sqref="U775">
    <cfRule type="duplicateValues" dxfId="419" priority="379"/>
  </conditionalFormatting>
  <conditionalFormatting sqref="U775">
    <cfRule type="duplicateValues" dxfId="418" priority="378"/>
  </conditionalFormatting>
  <conditionalFormatting sqref="U775">
    <cfRule type="duplicateValues" dxfId="417" priority="377"/>
  </conditionalFormatting>
  <conditionalFormatting sqref="U775">
    <cfRule type="duplicateValues" dxfId="416" priority="376"/>
  </conditionalFormatting>
  <conditionalFormatting sqref="U775">
    <cfRule type="duplicateValues" dxfId="415" priority="375"/>
  </conditionalFormatting>
  <conditionalFormatting sqref="U775">
    <cfRule type="duplicateValues" dxfId="414" priority="374"/>
  </conditionalFormatting>
  <conditionalFormatting sqref="U775">
    <cfRule type="duplicateValues" dxfId="413" priority="373"/>
  </conditionalFormatting>
  <conditionalFormatting sqref="U775">
    <cfRule type="duplicateValues" dxfId="412" priority="372"/>
  </conditionalFormatting>
  <conditionalFormatting sqref="U775">
    <cfRule type="duplicateValues" dxfId="411" priority="371"/>
  </conditionalFormatting>
  <conditionalFormatting sqref="U775">
    <cfRule type="duplicateValues" dxfId="410" priority="370"/>
  </conditionalFormatting>
  <conditionalFormatting sqref="U775">
    <cfRule type="duplicateValues" dxfId="409" priority="369"/>
  </conditionalFormatting>
  <conditionalFormatting sqref="U775">
    <cfRule type="duplicateValues" dxfId="408" priority="368"/>
  </conditionalFormatting>
  <conditionalFormatting sqref="U775">
    <cfRule type="duplicateValues" dxfId="407" priority="367"/>
  </conditionalFormatting>
  <conditionalFormatting sqref="U775">
    <cfRule type="duplicateValues" dxfId="406" priority="366"/>
  </conditionalFormatting>
  <conditionalFormatting sqref="U775">
    <cfRule type="duplicateValues" dxfId="405" priority="365"/>
  </conditionalFormatting>
  <conditionalFormatting sqref="U775">
    <cfRule type="duplicateValues" dxfId="404" priority="364"/>
  </conditionalFormatting>
  <conditionalFormatting sqref="U775">
    <cfRule type="duplicateValues" dxfId="403" priority="363"/>
  </conditionalFormatting>
  <conditionalFormatting sqref="U775">
    <cfRule type="duplicateValues" dxfId="402" priority="362"/>
  </conditionalFormatting>
  <conditionalFormatting sqref="U775">
    <cfRule type="duplicateValues" dxfId="401" priority="361"/>
  </conditionalFormatting>
  <conditionalFormatting sqref="U775">
    <cfRule type="duplicateValues" dxfId="400" priority="360"/>
  </conditionalFormatting>
  <conditionalFormatting sqref="U775">
    <cfRule type="duplicateValues" dxfId="399" priority="359"/>
  </conditionalFormatting>
  <conditionalFormatting sqref="U775">
    <cfRule type="duplicateValues" dxfId="398" priority="358"/>
  </conditionalFormatting>
  <conditionalFormatting sqref="U775">
    <cfRule type="duplicateValues" dxfId="397" priority="357"/>
  </conditionalFormatting>
  <conditionalFormatting sqref="U775">
    <cfRule type="duplicateValues" dxfId="396" priority="356"/>
  </conditionalFormatting>
  <conditionalFormatting sqref="U775">
    <cfRule type="duplicateValues" dxfId="395" priority="355"/>
  </conditionalFormatting>
  <conditionalFormatting sqref="U775">
    <cfRule type="duplicateValues" dxfId="394" priority="354"/>
  </conditionalFormatting>
  <conditionalFormatting sqref="U775">
    <cfRule type="duplicateValues" dxfId="393" priority="353"/>
  </conditionalFormatting>
  <conditionalFormatting sqref="U775">
    <cfRule type="duplicateValues" dxfId="392" priority="352"/>
  </conditionalFormatting>
  <conditionalFormatting sqref="U775">
    <cfRule type="duplicateValues" dxfId="391" priority="351"/>
  </conditionalFormatting>
  <conditionalFormatting sqref="U775">
    <cfRule type="duplicateValues" dxfId="390" priority="350"/>
  </conditionalFormatting>
  <conditionalFormatting sqref="U775">
    <cfRule type="duplicateValues" dxfId="389" priority="349"/>
  </conditionalFormatting>
  <conditionalFormatting sqref="U775">
    <cfRule type="duplicateValues" dxfId="388" priority="348"/>
  </conditionalFormatting>
  <conditionalFormatting sqref="U775">
    <cfRule type="duplicateValues" dxfId="387" priority="347"/>
  </conditionalFormatting>
  <conditionalFormatting sqref="U775">
    <cfRule type="duplicateValues" dxfId="386" priority="346"/>
  </conditionalFormatting>
  <conditionalFormatting sqref="U775">
    <cfRule type="duplicateValues" dxfId="385" priority="345"/>
  </conditionalFormatting>
  <conditionalFormatting sqref="U775">
    <cfRule type="duplicateValues" dxfId="384" priority="344"/>
  </conditionalFormatting>
  <conditionalFormatting sqref="U775">
    <cfRule type="duplicateValues" dxfId="383" priority="343"/>
  </conditionalFormatting>
  <conditionalFormatting sqref="U775">
    <cfRule type="duplicateValues" dxfId="382" priority="342"/>
  </conditionalFormatting>
  <conditionalFormatting sqref="U775">
    <cfRule type="duplicateValues" dxfId="381" priority="341"/>
  </conditionalFormatting>
  <conditionalFormatting sqref="U775">
    <cfRule type="duplicateValues" dxfId="380" priority="340"/>
  </conditionalFormatting>
  <conditionalFormatting sqref="U780">
    <cfRule type="duplicateValues" dxfId="379" priority="339"/>
  </conditionalFormatting>
  <conditionalFormatting sqref="U780">
    <cfRule type="duplicateValues" dxfId="378" priority="338"/>
  </conditionalFormatting>
  <conditionalFormatting sqref="U780">
    <cfRule type="duplicateValues" dxfId="377" priority="337"/>
  </conditionalFormatting>
  <conditionalFormatting sqref="U780">
    <cfRule type="duplicateValues" dxfId="376" priority="336"/>
  </conditionalFormatting>
  <conditionalFormatting sqref="U780">
    <cfRule type="duplicateValues" dxfId="375" priority="335"/>
  </conditionalFormatting>
  <conditionalFormatting sqref="U780">
    <cfRule type="duplicateValues" dxfId="374" priority="334"/>
  </conditionalFormatting>
  <conditionalFormatting sqref="U780">
    <cfRule type="duplicateValues" dxfId="373" priority="333"/>
  </conditionalFormatting>
  <conditionalFormatting sqref="U780">
    <cfRule type="duplicateValues" dxfId="372" priority="332"/>
  </conditionalFormatting>
  <conditionalFormatting sqref="U780">
    <cfRule type="duplicateValues" dxfId="371" priority="331"/>
  </conditionalFormatting>
  <conditionalFormatting sqref="U780">
    <cfRule type="duplicateValues" dxfId="370" priority="330"/>
  </conditionalFormatting>
  <conditionalFormatting sqref="U780">
    <cfRule type="duplicateValues" dxfId="369" priority="329"/>
  </conditionalFormatting>
  <conditionalFormatting sqref="U780">
    <cfRule type="duplicateValues" dxfId="368" priority="328"/>
  </conditionalFormatting>
  <conditionalFormatting sqref="U780">
    <cfRule type="duplicateValues" dxfId="367" priority="327"/>
  </conditionalFormatting>
  <conditionalFormatting sqref="U780">
    <cfRule type="duplicateValues" dxfId="366" priority="326"/>
  </conditionalFormatting>
  <conditionalFormatting sqref="U780">
    <cfRule type="duplicateValues" dxfId="365" priority="325"/>
  </conditionalFormatting>
  <conditionalFormatting sqref="U780">
    <cfRule type="duplicateValues" dxfId="364" priority="324"/>
  </conditionalFormatting>
  <conditionalFormatting sqref="U780">
    <cfRule type="duplicateValues" dxfId="363" priority="323"/>
  </conditionalFormatting>
  <conditionalFormatting sqref="U780">
    <cfRule type="duplicateValues" dxfId="362" priority="322"/>
  </conditionalFormatting>
  <conditionalFormatting sqref="U780">
    <cfRule type="duplicateValues" dxfId="361" priority="321"/>
  </conditionalFormatting>
  <conditionalFormatting sqref="U780">
    <cfRule type="duplicateValues" dxfId="360" priority="320"/>
  </conditionalFormatting>
  <conditionalFormatting sqref="U780">
    <cfRule type="duplicateValues" dxfId="359" priority="319"/>
  </conditionalFormatting>
  <conditionalFormatting sqref="U780">
    <cfRule type="duplicateValues" dxfId="358" priority="318"/>
  </conditionalFormatting>
  <conditionalFormatting sqref="U780">
    <cfRule type="duplicateValues" dxfId="357" priority="317"/>
  </conditionalFormatting>
  <conditionalFormatting sqref="U780">
    <cfRule type="duplicateValues" dxfId="356" priority="316"/>
  </conditionalFormatting>
  <conditionalFormatting sqref="U780">
    <cfRule type="duplicateValues" dxfId="355" priority="315"/>
  </conditionalFormatting>
  <conditionalFormatting sqref="U780">
    <cfRule type="duplicateValues" dxfId="354" priority="314"/>
  </conditionalFormatting>
  <conditionalFormatting sqref="U780">
    <cfRule type="duplicateValues" dxfId="353" priority="313"/>
  </conditionalFormatting>
  <conditionalFormatting sqref="U780">
    <cfRule type="duplicateValues" dxfId="352" priority="312"/>
  </conditionalFormatting>
  <conditionalFormatting sqref="U780">
    <cfRule type="duplicateValues" dxfId="351" priority="311"/>
  </conditionalFormatting>
  <conditionalFormatting sqref="U780">
    <cfRule type="duplicateValues" dxfId="350" priority="310"/>
  </conditionalFormatting>
  <conditionalFormatting sqref="U780">
    <cfRule type="duplicateValues" dxfId="349" priority="309"/>
  </conditionalFormatting>
  <conditionalFormatting sqref="U780">
    <cfRule type="duplicateValues" dxfId="348" priority="308"/>
  </conditionalFormatting>
  <conditionalFormatting sqref="U780">
    <cfRule type="duplicateValues" dxfId="347" priority="307"/>
  </conditionalFormatting>
  <conditionalFormatting sqref="U780">
    <cfRule type="duplicateValues" dxfId="346" priority="306"/>
  </conditionalFormatting>
  <conditionalFormatting sqref="U780">
    <cfRule type="duplicateValues" dxfId="345" priority="305"/>
  </conditionalFormatting>
  <conditionalFormatting sqref="U780">
    <cfRule type="duplicateValues" dxfId="344" priority="304"/>
  </conditionalFormatting>
  <conditionalFormatting sqref="U780">
    <cfRule type="duplicateValues" dxfId="343" priority="303"/>
  </conditionalFormatting>
  <conditionalFormatting sqref="U780">
    <cfRule type="duplicateValues" dxfId="342" priority="302"/>
  </conditionalFormatting>
  <conditionalFormatting sqref="U780">
    <cfRule type="duplicateValues" dxfId="341" priority="301"/>
  </conditionalFormatting>
  <conditionalFormatting sqref="U780">
    <cfRule type="duplicateValues" dxfId="340" priority="300"/>
  </conditionalFormatting>
  <conditionalFormatting sqref="U780">
    <cfRule type="duplicateValues" dxfId="339" priority="299"/>
  </conditionalFormatting>
  <conditionalFormatting sqref="U780">
    <cfRule type="duplicateValues" dxfId="338" priority="298"/>
  </conditionalFormatting>
  <conditionalFormatting sqref="U780">
    <cfRule type="duplicateValues" dxfId="337" priority="297"/>
  </conditionalFormatting>
  <conditionalFormatting sqref="U780">
    <cfRule type="duplicateValues" dxfId="336" priority="296"/>
  </conditionalFormatting>
  <conditionalFormatting sqref="U780">
    <cfRule type="duplicateValues" dxfId="335" priority="295"/>
  </conditionalFormatting>
  <conditionalFormatting sqref="U780">
    <cfRule type="duplicateValues" dxfId="334" priority="294"/>
  </conditionalFormatting>
  <conditionalFormatting sqref="U780">
    <cfRule type="duplicateValues" dxfId="333" priority="293"/>
  </conditionalFormatting>
  <conditionalFormatting sqref="U780">
    <cfRule type="duplicateValues" dxfId="332" priority="292"/>
  </conditionalFormatting>
  <conditionalFormatting sqref="U780">
    <cfRule type="duplicateValues" dxfId="331" priority="291"/>
  </conditionalFormatting>
  <conditionalFormatting sqref="U780">
    <cfRule type="duplicateValues" dxfId="330" priority="290"/>
  </conditionalFormatting>
  <conditionalFormatting sqref="U780">
    <cfRule type="duplicateValues" dxfId="329" priority="289"/>
  </conditionalFormatting>
  <conditionalFormatting sqref="U780">
    <cfRule type="duplicateValues" dxfId="328" priority="288"/>
  </conditionalFormatting>
  <conditionalFormatting sqref="U780">
    <cfRule type="duplicateValues" dxfId="327" priority="287"/>
  </conditionalFormatting>
  <conditionalFormatting sqref="U780">
    <cfRule type="duplicateValues" dxfId="326" priority="286"/>
  </conditionalFormatting>
  <conditionalFormatting sqref="U780">
    <cfRule type="duplicateValues" dxfId="325" priority="285"/>
  </conditionalFormatting>
  <conditionalFormatting sqref="U780">
    <cfRule type="duplicateValues" dxfId="324" priority="284"/>
  </conditionalFormatting>
  <conditionalFormatting sqref="U780">
    <cfRule type="duplicateValues" dxfId="323" priority="283"/>
  </conditionalFormatting>
  <conditionalFormatting sqref="U780">
    <cfRule type="duplicateValues" dxfId="322" priority="282"/>
  </conditionalFormatting>
  <conditionalFormatting sqref="U780">
    <cfRule type="duplicateValues" dxfId="321" priority="281"/>
  </conditionalFormatting>
  <conditionalFormatting sqref="U780">
    <cfRule type="duplicateValues" dxfId="320" priority="280"/>
  </conditionalFormatting>
  <conditionalFormatting sqref="U780">
    <cfRule type="duplicateValues" dxfId="319" priority="279"/>
  </conditionalFormatting>
  <conditionalFormatting sqref="U780">
    <cfRule type="duplicateValues" dxfId="318" priority="278"/>
  </conditionalFormatting>
  <conditionalFormatting sqref="U780">
    <cfRule type="duplicateValues" dxfId="317" priority="277"/>
  </conditionalFormatting>
  <conditionalFormatting sqref="U780">
    <cfRule type="duplicateValues" dxfId="316" priority="276"/>
  </conditionalFormatting>
  <conditionalFormatting sqref="U780">
    <cfRule type="duplicateValues" dxfId="315" priority="275"/>
  </conditionalFormatting>
  <conditionalFormatting sqref="U780">
    <cfRule type="duplicateValues" dxfId="314" priority="274"/>
  </conditionalFormatting>
  <conditionalFormatting sqref="U780">
    <cfRule type="duplicateValues" dxfId="313" priority="273"/>
  </conditionalFormatting>
  <conditionalFormatting sqref="U780">
    <cfRule type="duplicateValues" dxfId="312" priority="272"/>
  </conditionalFormatting>
  <conditionalFormatting sqref="U780">
    <cfRule type="duplicateValues" dxfId="311" priority="271"/>
  </conditionalFormatting>
  <conditionalFormatting sqref="U780">
    <cfRule type="duplicateValues" dxfId="310" priority="270"/>
  </conditionalFormatting>
  <conditionalFormatting sqref="U780">
    <cfRule type="duplicateValues" dxfId="309" priority="269"/>
  </conditionalFormatting>
  <conditionalFormatting sqref="U780">
    <cfRule type="duplicateValues" dxfId="308" priority="268"/>
  </conditionalFormatting>
  <conditionalFormatting sqref="U780">
    <cfRule type="duplicateValues" dxfId="307" priority="267"/>
  </conditionalFormatting>
  <conditionalFormatting sqref="U780">
    <cfRule type="duplicateValues" dxfId="306" priority="266"/>
  </conditionalFormatting>
  <conditionalFormatting sqref="U780">
    <cfRule type="duplicateValues" dxfId="305" priority="265"/>
  </conditionalFormatting>
  <conditionalFormatting sqref="U780">
    <cfRule type="duplicateValues" dxfId="304" priority="264"/>
  </conditionalFormatting>
  <conditionalFormatting sqref="U780">
    <cfRule type="duplicateValues" dxfId="303" priority="263"/>
  </conditionalFormatting>
  <conditionalFormatting sqref="U780">
    <cfRule type="duplicateValues" dxfId="302" priority="262"/>
  </conditionalFormatting>
  <conditionalFormatting sqref="U780">
    <cfRule type="duplicateValues" dxfId="301" priority="261"/>
  </conditionalFormatting>
  <conditionalFormatting sqref="U780">
    <cfRule type="duplicateValues" dxfId="300" priority="260"/>
  </conditionalFormatting>
  <conditionalFormatting sqref="U780">
    <cfRule type="duplicateValues" dxfId="299" priority="259"/>
  </conditionalFormatting>
  <conditionalFormatting sqref="U780">
    <cfRule type="duplicateValues" dxfId="298" priority="258"/>
  </conditionalFormatting>
  <conditionalFormatting sqref="U780">
    <cfRule type="duplicateValues" dxfId="297" priority="257"/>
  </conditionalFormatting>
  <conditionalFormatting sqref="U780">
    <cfRule type="duplicateValues" dxfId="296" priority="256"/>
  </conditionalFormatting>
  <conditionalFormatting sqref="U780">
    <cfRule type="duplicateValues" dxfId="295" priority="255"/>
  </conditionalFormatting>
  <conditionalFormatting sqref="U780">
    <cfRule type="duplicateValues" dxfId="294" priority="254"/>
  </conditionalFormatting>
  <conditionalFormatting sqref="U780">
    <cfRule type="duplicateValues" dxfId="293" priority="253"/>
  </conditionalFormatting>
  <conditionalFormatting sqref="U780">
    <cfRule type="duplicateValues" dxfId="292" priority="252"/>
  </conditionalFormatting>
  <conditionalFormatting sqref="U780">
    <cfRule type="duplicateValues" dxfId="291" priority="251"/>
  </conditionalFormatting>
  <conditionalFormatting sqref="U780">
    <cfRule type="duplicateValues" dxfId="290" priority="250"/>
  </conditionalFormatting>
  <conditionalFormatting sqref="U780">
    <cfRule type="duplicateValues" dxfId="289" priority="249"/>
  </conditionalFormatting>
  <conditionalFormatting sqref="U780">
    <cfRule type="duplicateValues" dxfId="288" priority="248"/>
  </conditionalFormatting>
  <conditionalFormatting sqref="U780">
    <cfRule type="duplicateValues" dxfId="287" priority="247"/>
  </conditionalFormatting>
  <conditionalFormatting sqref="U780">
    <cfRule type="duplicateValues" dxfId="286" priority="246"/>
  </conditionalFormatting>
  <conditionalFormatting sqref="U780">
    <cfRule type="duplicateValues" dxfId="285" priority="245"/>
  </conditionalFormatting>
  <conditionalFormatting sqref="U780">
    <cfRule type="duplicateValues" dxfId="284" priority="244"/>
  </conditionalFormatting>
  <conditionalFormatting sqref="U780">
    <cfRule type="duplicateValues" dxfId="283" priority="243"/>
  </conditionalFormatting>
  <conditionalFormatting sqref="U780">
    <cfRule type="duplicateValues" dxfId="282" priority="242"/>
  </conditionalFormatting>
  <conditionalFormatting sqref="U780">
    <cfRule type="duplicateValues" dxfId="281" priority="241"/>
  </conditionalFormatting>
  <conditionalFormatting sqref="U780">
    <cfRule type="duplicateValues" dxfId="280" priority="240"/>
  </conditionalFormatting>
  <conditionalFormatting sqref="U780">
    <cfRule type="duplicateValues" dxfId="279" priority="239"/>
  </conditionalFormatting>
  <conditionalFormatting sqref="U780">
    <cfRule type="duplicateValues" dxfId="278" priority="238"/>
  </conditionalFormatting>
  <conditionalFormatting sqref="U780">
    <cfRule type="duplicateValues" dxfId="277" priority="237"/>
  </conditionalFormatting>
  <conditionalFormatting sqref="U780">
    <cfRule type="duplicateValues" dxfId="276" priority="236"/>
  </conditionalFormatting>
  <conditionalFormatting sqref="U780">
    <cfRule type="duplicateValues" dxfId="275" priority="235"/>
  </conditionalFormatting>
  <conditionalFormatting sqref="U780">
    <cfRule type="duplicateValues" dxfId="274" priority="234"/>
  </conditionalFormatting>
  <conditionalFormatting sqref="U780">
    <cfRule type="duplicateValues" dxfId="273" priority="233"/>
  </conditionalFormatting>
  <conditionalFormatting sqref="U780">
    <cfRule type="duplicateValues" dxfId="272" priority="232"/>
  </conditionalFormatting>
  <conditionalFormatting sqref="U780">
    <cfRule type="duplicateValues" dxfId="271" priority="231"/>
  </conditionalFormatting>
  <conditionalFormatting sqref="U780">
    <cfRule type="duplicateValues" dxfId="270" priority="230"/>
  </conditionalFormatting>
  <conditionalFormatting sqref="U780">
    <cfRule type="duplicateValues" dxfId="269" priority="229"/>
  </conditionalFormatting>
  <conditionalFormatting sqref="U780">
    <cfRule type="duplicateValues" dxfId="268" priority="228"/>
  </conditionalFormatting>
  <conditionalFormatting sqref="U780">
    <cfRule type="duplicateValues" dxfId="267" priority="227"/>
  </conditionalFormatting>
  <conditionalFormatting sqref="U781">
    <cfRule type="duplicateValues" dxfId="266" priority="226"/>
  </conditionalFormatting>
  <conditionalFormatting sqref="U781">
    <cfRule type="duplicateValues" dxfId="265" priority="225"/>
  </conditionalFormatting>
  <conditionalFormatting sqref="U781">
    <cfRule type="duplicateValues" dxfId="264" priority="224"/>
  </conditionalFormatting>
  <conditionalFormatting sqref="U781">
    <cfRule type="duplicateValues" dxfId="263" priority="223"/>
  </conditionalFormatting>
  <conditionalFormatting sqref="U781">
    <cfRule type="duplicateValues" dxfId="262" priority="222"/>
  </conditionalFormatting>
  <conditionalFormatting sqref="U781">
    <cfRule type="duplicateValues" dxfId="261" priority="221"/>
  </conditionalFormatting>
  <conditionalFormatting sqref="U781">
    <cfRule type="duplicateValues" dxfId="260" priority="220"/>
  </conditionalFormatting>
  <conditionalFormatting sqref="U781">
    <cfRule type="duplicateValues" dxfId="259" priority="219"/>
  </conditionalFormatting>
  <conditionalFormatting sqref="U781">
    <cfRule type="duplicateValues" dxfId="258" priority="218"/>
  </conditionalFormatting>
  <conditionalFormatting sqref="U781">
    <cfRule type="duplicateValues" dxfId="257" priority="217"/>
  </conditionalFormatting>
  <conditionalFormatting sqref="U781">
    <cfRule type="duplicateValues" dxfId="256" priority="216"/>
  </conditionalFormatting>
  <conditionalFormatting sqref="U781">
    <cfRule type="duplicateValues" dxfId="255" priority="215"/>
  </conditionalFormatting>
  <conditionalFormatting sqref="U781">
    <cfRule type="duplicateValues" dxfId="254" priority="214"/>
  </conditionalFormatting>
  <conditionalFormatting sqref="U781">
    <cfRule type="duplicateValues" dxfId="253" priority="213"/>
  </conditionalFormatting>
  <conditionalFormatting sqref="U781">
    <cfRule type="duplicateValues" dxfId="252" priority="212"/>
  </conditionalFormatting>
  <conditionalFormatting sqref="U781">
    <cfRule type="duplicateValues" dxfId="251" priority="211"/>
  </conditionalFormatting>
  <conditionalFormatting sqref="U781">
    <cfRule type="duplicateValues" dxfId="250" priority="210"/>
  </conditionalFormatting>
  <conditionalFormatting sqref="U781">
    <cfRule type="duplicateValues" dxfId="249" priority="209"/>
  </conditionalFormatting>
  <conditionalFormatting sqref="U781">
    <cfRule type="duplicateValues" dxfId="248" priority="208"/>
  </conditionalFormatting>
  <conditionalFormatting sqref="U781">
    <cfRule type="duplicateValues" dxfId="247" priority="207"/>
  </conditionalFormatting>
  <conditionalFormatting sqref="U781">
    <cfRule type="duplicateValues" dxfId="246" priority="206"/>
  </conditionalFormatting>
  <conditionalFormatting sqref="U781">
    <cfRule type="duplicateValues" dxfId="245" priority="205"/>
  </conditionalFormatting>
  <conditionalFormatting sqref="U781">
    <cfRule type="duplicateValues" dxfId="244" priority="204"/>
  </conditionalFormatting>
  <conditionalFormatting sqref="U781">
    <cfRule type="duplicateValues" dxfId="243" priority="203"/>
  </conditionalFormatting>
  <conditionalFormatting sqref="U781">
    <cfRule type="duplicateValues" dxfId="242" priority="202"/>
  </conditionalFormatting>
  <conditionalFormatting sqref="U781">
    <cfRule type="duplicateValues" dxfId="241" priority="201"/>
  </conditionalFormatting>
  <conditionalFormatting sqref="U781">
    <cfRule type="duplicateValues" dxfId="240" priority="200"/>
  </conditionalFormatting>
  <conditionalFormatting sqref="U781">
    <cfRule type="duplicateValues" dxfId="239" priority="199"/>
  </conditionalFormatting>
  <conditionalFormatting sqref="U781">
    <cfRule type="duplicateValues" dxfId="238" priority="198"/>
  </conditionalFormatting>
  <conditionalFormatting sqref="U781">
    <cfRule type="duplicateValues" dxfId="237" priority="197"/>
  </conditionalFormatting>
  <conditionalFormatting sqref="U781">
    <cfRule type="duplicateValues" dxfId="236" priority="196"/>
  </conditionalFormatting>
  <conditionalFormatting sqref="U781">
    <cfRule type="duplicateValues" dxfId="235" priority="195"/>
  </conditionalFormatting>
  <conditionalFormatting sqref="U781">
    <cfRule type="duplicateValues" dxfId="234" priority="194"/>
  </conditionalFormatting>
  <conditionalFormatting sqref="U781">
    <cfRule type="duplicateValues" dxfId="233" priority="193"/>
  </conditionalFormatting>
  <conditionalFormatting sqref="U781">
    <cfRule type="duplicateValues" dxfId="232" priority="192"/>
  </conditionalFormatting>
  <conditionalFormatting sqref="U781">
    <cfRule type="duplicateValues" dxfId="231" priority="191"/>
  </conditionalFormatting>
  <conditionalFormatting sqref="U781">
    <cfRule type="duplicateValues" dxfId="230" priority="190"/>
  </conditionalFormatting>
  <conditionalFormatting sqref="U781">
    <cfRule type="duplicateValues" dxfId="229" priority="189"/>
  </conditionalFormatting>
  <conditionalFormatting sqref="U781">
    <cfRule type="duplicateValues" dxfId="228" priority="188"/>
  </conditionalFormatting>
  <conditionalFormatting sqref="U781">
    <cfRule type="duplicateValues" dxfId="227" priority="187"/>
  </conditionalFormatting>
  <conditionalFormatting sqref="U781">
    <cfRule type="duplicateValues" dxfId="226" priority="186"/>
  </conditionalFormatting>
  <conditionalFormatting sqref="U781">
    <cfRule type="duplicateValues" dxfId="225" priority="185"/>
  </conditionalFormatting>
  <conditionalFormatting sqref="U781">
    <cfRule type="duplicateValues" dxfId="224" priority="184"/>
  </conditionalFormatting>
  <conditionalFormatting sqref="U781">
    <cfRule type="duplicateValues" dxfId="223" priority="183"/>
  </conditionalFormatting>
  <conditionalFormatting sqref="U781">
    <cfRule type="duplicateValues" dxfId="222" priority="182"/>
  </conditionalFormatting>
  <conditionalFormatting sqref="U781">
    <cfRule type="duplicateValues" dxfId="221" priority="181"/>
  </conditionalFormatting>
  <conditionalFormatting sqref="U781">
    <cfRule type="duplicateValues" dxfId="220" priority="180"/>
  </conditionalFormatting>
  <conditionalFormatting sqref="U781">
    <cfRule type="duplicateValues" dxfId="219" priority="179"/>
  </conditionalFormatting>
  <conditionalFormatting sqref="U781">
    <cfRule type="duplicateValues" dxfId="218" priority="178"/>
  </conditionalFormatting>
  <conditionalFormatting sqref="U781">
    <cfRule type="duplicateValues" dxfId="217" priority="177"/>
  </conditionalFormatting>
  <conditionalFormatting sqref="U781">
    <cfRule type="duplicateValues" dxfId="216" priority="176"/>
  </conditionalFormatting>
  <conditionalFormatting sqref="U781">
    <cfRule type="duplicateValues" dxfId="215" priority="175"/>
  </conditionalFormatting>
  <conditionalFormatting sqref="U781">
    <cfRule type="duplicateValues" dxfId="214" priority="174"/>
  </conditionalFormatting>
  <conditionalFormatting sqref="U781">
    <cfRule type="duplicateValues" dxfId="213" priority="173"/>
  </conditionalFormatting>
  <conditionalFormatting sqref="U781">
    <cfRule type="duplicateValues" dxfId="212" priority="172"/>
  </conditionalFormatting>
  <conditionalFormatting sqref="U781">
    <cfRule type="duplicateValues" dxfId="211" priority="171"/>
  </conditionalFormatting>
  <conditionalFormatting sqref="U781">
    <cfRule type="duplicateValues" dxfId="210" priority="170"/>
  </conditionalFormatting>
  <conditionalFormatting sqref="U781">
    <cfRule type="duplicateValues" dxfId="209" priority="169"/>
  </conditionalFormatting>
  <conditionalFormatting sqref="U781">
    <cfRule type="duplicateValues" dxfId="208" priority="168"/>
  </conditionalFormatting>
  <conditionalFormatting sqref="U781">
    <cfRule type="duplicateValues" dxfId="207" priority="167"/>
  </conditionalFormatting>
  <conditionalFormatting sqref="U781">
    <cfRule type="duplicateValues" dxfId="206" priority="166"/>
  </conditionalFormatting>
  <conditionalFormatting sqref="U781">
    <cfRule type="duplicateValues" dxfId="205" priority="165"/>
  </conditionalFormatting>
  <conditionalFormatting sqref="U781">
    <cfRule type="duplicateValues" dxfId="204" priority="164"/>
  </conditionalFormatting>
  <conditionalFormatting sqref="U781">
    <cfRule type="duplicateValues" dxfId="203" priority="163"/>
  </conditionalFormatting>
  <conditionalFormatting sqref="U781">
    <cfRule type="duplicateValues" dxfId="202" priority="162"/>
  </conditionalFormatting>
  <conditionalFormatting sqref="U781">
    <cfRule type="duplicateValues" dxfId="201" priority="161"/>
  </conditionalFormatting>
  <conditionalFormatting sqref="U781">
    <cfRule type="duplicateValues" dxfId="200" priority="160"/>
  </conditionalFormatting>
  <conditionalFormatting sqref="U781">
    <cfRule type="duplicateValues" dxfId="199" priority="159"/>
  </conditionalFormatting>
  <conditionalFormatting sqref="U781">
    <cfRule type="duplicateValues" dxfId="198" priority="158"/>
  </conditionalFormatting>
  <conditionalFormatting sqref="U781">
    <cfRule type="duplicateValues" dxfId="197" priority="157"/>
  </conditionalFormatting>
  <conditionalFormatting sqref="U781">
    <cfRule type="duplicateValues" dxfId="196" priority="156"/>
  </conditionalFormatting>
  <conditionalFormatting sqref="U781">
    <cfRule type="duplicateValues" dxfId="195" priority="155"/>
  </conditionalFormatting>
  <conditionalFormatting sqref="U781">
    <cfRule type="duplicateValues" dxfId="194" priority="154"/>
  </conditionalFormatting>
  <conditionalFormatting sqref="U781">
    <cfRule type="duplicateValues" dxfId="193" priority="153"/>
  </conditionalFormatting>
  <conditionalFormatting sqref="U781">
    <cfRule type="duplicateValues" dxfId="192" priority="152"/>
  </conditionalFormatting>
  <conditionalFormatting sqref="U781">
    <cfRule type="duplicateValues" dxfId="191" priority="151"/>
  </conditionalFormatting>
  <conditionalFormatting sqref="U781">
    <cfRule type="duplicateValues" dxfId="190" priority="150"/>
  </conditionalFormatting>
  <conditionalFormatting sqref="U781">
    <cfRule type="duplicateValues" dxfId="189" priority="149"/>
  </conditionalFormatting>
  <conditionalFormatting sqref="U781">
    <cfRule type="duplicateValues" dxfId="188" priority="148"/>
  </conditionalFormatting>
  <conditionalFormatting sqref="U781">
    <cfRule type="duplicateValues" dxfId="187" priority="147"/>
  </conditionalFormatting>
  <conditionalFormatting sqref="U781">
    <cfRule type="duplicateValues" dxfId="186" priority="146"/>
  </conditionalFormatting>
  <conditionalFormatting sqref="U781">
    <cfRule type="duplicateValues" dxfId="185" priority="145"/>
  </conditionalFormatting>
  <conditionalFormatting sqref="U781">
    <cfRule type="duplicateValues" dxfId="184" priority="144"/>
  </conditionalFormatting>
  <conditionalFormatting sqref="U781">
    <cfRule type="duplicateValues" dxfId="183" priority="143"/>
  </conditionalFormatting>
  <conditionalFormatting sqref="U781">
    <cfRule type="duplicateValues" dxfId="182" priority="142"/>
  </conditionalFormatting>
  <conditionalFormatting sqref="U781">
    <cfRule type="duplicateValues" dxfId="181" priority="141"/>
  </conditionalFormatting>
  <conditionalFormatting sqref="U781">
    <cfRule type="duplicateValues" dxfId="180" priority="140"/>
  </conditionalFormatting>
  <conditionalFormatting sqref="U781">
    <cfRule type="duplicateValues" dxfId="179" priority="139"/>
  </conditionalFormatting>
  <conditionalFormatting sqref="U781">
    <cfRule type="duplicateValues" dxfId="178" priority="138"/>
  </conditionalFormatting>
  <conditionalFormatting sqref="U781">
    <cfRule type="duplicateValues" dxfId="177" priority="137"/>
  </conditionalFormatting>
  <conditionalFormatting sqref="U781">
    <cfRule type="duplicateValues" dxfId="176" priority="136"/>
  </conditionalFormatting>
  <conditionalFormatting sqref="U781">
    <cfRule type="duplicateValues" dxfId="175" priority="135"/>
  </conditionalFormatting>
  <conditionalFormatting sqref="U781">
    <cfRule type="duplicateValues" dxfId="174" priority="134"/>
  </conditionalFormatting>
  <conditionalFormatting sqref="U781">
    <cfRule type="duplicateValues" dxfId="173" priority="133"/>
  </conditionalFormatting>
  <conditionalFormatting sqref="U781">
    <cfRule type="duplicateValues" dxfId="172" priority="132"/>
  </conditionalFormatting>
  <conditionalFormatting sqref="U781">
    <cfRule type="duplicateValues" dxfId="171" priority="131"/>
  </conditionalFormatting>
  <conditionalFormatting sqref="U781">
    <cfRule type="duplicateValues" dxfId="170" priority="130"/>
  </conditionalFormatting>
  <conditionalFormatting sqref="U781">
    <cfRule type="duplicateValues" dxfId="169" priority="129"/>
  </conditionalFormatting>
  <conditionalFormatting sqref="U781">
    <cfRule type="duplicateValues" dxfId="168" priority="128"/>
  </conditionalFormatting>
  <conditionalFormatting sqref="U781">
    <cfRule type="duplicateValues" dxfId="167" priority="127"/>
  </conditionalFormatting>
  <conditionalFormatting sqref="U781">
    <cfRule type="duplicateValues" dxfId="166" priority="126"/>
  </conditionalFormatting>
  <conditionalFormatting sqref="U781">
    <cfRule type="duplicateValues" dxfId="165" priority="125"/>
  </conditionalFormatting>
  <conditionalFormatting sqref="U781">
    <cfRule type="duplicateValues" dxfId="164" priority="124"/>
  </conditionalFormatting>
  <conditionalFormatting sqref="U781">
    <cfRule type="duplicateValues" dxfId="163" priority="123"/>
  </conditionalFormatting>
  <conditionalFormatting sqref="U781">
    <cfRule type="duplicateValues" dxfId="162" priority="122"/>
  </conditionalFormatting>
  <conditionalFormatting sqref="U781">
    <cfRule type="duplicateValues" dxfId="161" priority="121"/>
  </conditionalFormatting>
  <conditionalFormatting sqref="U781">
    <cfRule type="duplicateValues" dxfId="160" priority="120"/>
  </conditionalFormatting>
  <conditionalFormatting sqref="U781">
    <cfRule type="duplicateValues" dxfId="159" priority="119"/>
  </conditionalFormatting>
  <conditionalFormatting sqref="U781">
    <cfRule type="duplicateValues" dxfId="158" priority="118"/>
  </conditionalFormatting>
  <conditionalFormatting sqref="U781">
    <cfRule type="duplicateValues" dxfId="157" priority="117"/>
  </conditionalFormatting>
  <conditionalFormatting sqref="U781">
    <cfRule type="duplicateValues" dxfId="156" priority="116"/>
  </conditionalFormatting>
  <conditionalFormatting sqref="U781">
    <cfRule type="duplicateValues" dxfId="155" priority="115"/>
  </conditionalFormatting>
  <conditionalFormatting sqref="U781">
    <cfRule type="duplicateValues" dxfId="154" priority="114"/>
  </conditionalFormatting>
  <conditionalFormatting sqref="U782">
    <cfRule type="duplicateValues" dxfId="153" priority="113"/>
  </conditionalFormatting>
  <conditionalFormatting sqref="U782">
    <cfRule type="duplicateValues" dxfId="152" priority="112"/>
  </conditionalFormatting>
  <conditionalFormatting sqref="U782">
    <cfRule type="duplicateValues" dxfId="151" priority="111"/>
  </conditionalFormatting>
  <conditionalFormatting sqref="U782">
    <cfRule type="duplicateValues" dxfId="150" priority="110"/>
  </conditionalFormatting>
  <conditionalFormatting sqref="U782">
    <cfRule type="duplicateValues" dxfId="149" priority="109"/>
  </conditionalFormatting>
  <conditionalFormatting sqref="U782">
    <cfRule type="duplicateValues" dxfId="148" priority="108"/>
  </conditionalFormatting>
  <conditionalFormatting sqref="U782">
    <cfRule type="duplicateValues" dxfId="147" priority="107"/>
  </conditionalFormatting>
  <conditionalFormatting sqref="U782">
    <cfRule type="duplicateValues" dxfId="146" priority="106"/>
  </conditionalFormatting>
  <conditionalFormatting sqref="U782">
    <cfRule type="duplicateValues" dxfId="145" priority="105"/>
  </conditionalFormatting>
  <conditionalFormatting sqref="U782">
    <cfRule type="duplicateValues" dxfId="144" priority="104"/>
  </conditionalFormatting>
  <conditionalFormatting sqref="U782">
    <cfRule type="duplicateValues" dxfId="143" priority="103"/>
  </conditionalFormatting>
  <conditionalFormatting sqref="U782">
    <cfRule type="duplicateValues" dxfId="142" priority="102"/>
  </conditionalFormatting>
  <conditionalFormatting sqref="U782">
    <cfRule type="duplicateValues" dxfId="141" priority="101"/>
  </conditionalFormatting>
  <conditionalFormatting sqref="U782">
    <cfRule type="duplicateValues" dxfId="140" priority="100"/>
  </conditionalFormatting>
  <conditionalFormatting sqref="U782">
    <cfRule type="duplicateValues" dxfId="139" priority="99"/>
  </conditionalFormatting>
  <conditionalFormatting sqref="U782">
    <cfRule type="duplicateValues" dxfId="138" priority="98"/>
  </conditionalFormatting>
  <conditionalFormatting sqref="U782">
    <cfRule type="duplicateValues" dxfId="137" priority="97"/>
  </conditionalFormatting>
  <conditionalFormatting sqref="U782">
    <cfRule type="duplicateValues" dxfId="136" priority="96"/>
  </conditionalFormatting>
  <conditionalFormatting sqref="U782">
    <cfRule type="duplicateValues" dxfId="135" priority="95"/>
  </conditionalFormatting>
  <conditionalFormatting sqref="U782">
    <cfRule type="duplicateValues" dxfId="134" priority="94"/>
  </conditionalFormatting>
  <conditionalFormatting sqref="U782">
    <cfRule type="duplicateValues" dxfId="133" priority="93"/>
  </conditionalFormatting>
  <conditionalFormatting sqref="U782">
    <cfRule type="duplicateValues" dxfId="132" priority="92"/>
  </conditionalFormatting>
  <conditionalFormatting sqref="U782">
    <cfRule type="duplicateValues" dxfId="131" priority="91"/>
  </conditionalFormatting>
  <conditionalFormatting sqref="U782">
    <cfRule type="duplicateValues" dxfId="130" priority="90"/>
  </conditionalFormatting>
  <conditionalFormatting sqref="U782">
    <cfRule type="duplicateValues" dxfId="129" priority="89"/>
  </conditionalFormatting>
  <conditionalFormatting sqref="U782">
    <cfRule type="duplicateValues" dxfId="128" priority="88"/>
  </conditionalFormatting>
  <conditionalFormatting sqref="U782">
    <cfRule type="duplicateValues" dxfId="127" priority="87"/>
  </conditionalFormatting>
  <conditionalFormatting sqref="U782">
    <cfRule type="duplicateValues" dxfId="126" priority="86"/>
  </conditionalFormatting>
  <conditionalFormatting sqref="U782">
    <cfRule type="duplicateValues" dxfId="125" priority="85"/>
  </conditionalFormatting>
  <conditionalFormatting sqref="U782">
    <cfRule type="duplicateValues" dxfId="124" priority="84"/>
  </conditionalFormatting>
  <conditionalFormatting sqref="U782">
    <cfRule type="duplicateValues" dxfId="123" priority="83"/>
  </conditionalFormatting>
  <conditionalFormatting sqref="U782">
    <cfRule type="duplicateValues" dxfId="122" priority="82"/>
  </conditionalFormatting>
  <conditionalFormatting sqref="U782">
    <cfRule type="duplicateValues" dxfId="121" priority="81"/>
  </conditionalFormatting>
  <conditionalFormatting sqref="U782">
    <cfRule type="duplicateValues" dxfId="120" priority="80"/>
  </conditionalFormatting>
  <conditionalFormatting sqref="U782">
    <cfRule type="duplicateValues" dxfId="119" priority="79"/>
  </conditionalFormatting>
  <conditionalFormatting sqref="U782">
    <cfRule type="duplicateValues" dxfId="118" priority="78"/>
  </conditionalFormatting>
  <conditionalFormatting sqref="U782">
    <cfRule type="duplicateValues" dxfId="117" priority="77"/>
  </conditionalFormatting>
  <conditionalFormatting sqref="U782">
    <cfRule type="duplicateValues" dxfId="116" priority="76"/>
  </conditionalFormatting>
  <conditionalFormatting sqref="U782">
    <cfRule type="duplicateValues" dxfId="115" priority="75"/>
  </conditionalFormatting>
  <conditionalFormatting sqref="U782">
    <cfRule type="duplicateValues" dxfId="114" priority="74"/>
  </conditionalFormatting>
  <conditionalFormatting sqref="U782">
    <cfRule type="duplicateValues" dxfId="113" priority="73"/>
  </conditionalFormatting>
  <conditionalFormatting sqref="U782">
    <cfRule type="duplicateValues" dxfId="112" priority="72"/>
  </conditionalFormatting>
  <conditionalFormatting sqref="U782">
    <cfRule type="duplicateValues" dxfId="111" priority="71"/>
  </conditionalFormatting>
  <conditionalFormatting sqref="U782">
    <cfRule type="duplicateValues" dxfId="110" priority="70"/>
  </conditionalFormatting>
  <conditionalFormatting sqref="U782">
    <cfRule type="duplicateValues" dxfId="109" priority="69"/>
  </conditionalFormatting>
  <conditionalFormatting sqref="U782">
    <cfRule type="duplicateValues" dxfId="108" priority="68"/>
  </conditionalFormatting>
  <conditionalFormatting sqref="U782">
    <cfRule type="duplicateValues" dxfId="107" priority="67"/>
  </conditionalFormatting>
  <conditionalFormatting sqref="U782">
    <cfRule type="duplicateValues" dxfId="106" priority="66"/>
  </conditionalFormatting>
  <conditionalFormatting sqref="U782">
    <cfRule type="duplicateValues" dxfId="105" priority="65"/>
  </conditionalFormatting>
  <conditionalFormatting sqref="U782">
    <cfRule type="duplicateValues" dxfId="104" priority="64"/>
  </conditionalFormatting>
  <conditionalFormatting sqref="U782">
    <cfRule type="duplicateValues" dxfId="103" priority="63"/>
  </conditionalFormatting>
  <conditionalFormatting sqref="U782">
    <cfRule type="duplicateValues" dxfId="102" priority="62"/>
  </conditionalFormatting>
  <conditionalFormatting sqref="U782">
    <cfRule type="duplicateValues" dxfId="101" priority="61"/>
  </conditionalFormatting>
  <conditionalFormatting sqref="U782">
    <cfRule type="duplicateValues" dxfId="100" priority="60"/>
  </conditionalFormatting>
  <conditionalFormatting sqref="U782">
    <cfRule type="duplicateValues" dxfId="99" priority="59"/>
  </conditionalFormatting>
  <conditionalFormatting sqref="U782">
    <cfRule type="duplicateValues" dxfId="98" priority="58"/>
  </conditionalFormatting>
  <conditionalFormatting sqref="U782">
    <cfRule type="duplicateValues" dxfId="97" priority="57"/>
  </conditionalFormatting>
  <conditionalFormatting sqref="U782">
    <cfRule type="duplicateValues" dxfId="96" priority="56"/>
  </conditionalFormatting>
  <conditionalFormatting sqref="U782">
    <cfRule type="duplicateValues" dxfId="95" priority="55"/>
  </conditionalFormatting>
  <conditionalFormatting sqref="U782">
    <cfRule type="duplicateValues" dxfId="94" priority="54"/>
  </conditionalFormatting>
  <conditionalFormatting sqref="U782">
    <cfRule type="duplicateValues" dxfId="93" priority="53"/>
  </conditionalFormatting>
  <conditionalFormatting sqref="U782">
    <cfRule type="duplicateValues" dxfId="92" priority="52"/>
  </conditionalFormatting>
  <conditionalFormatting sqref="U782">
    <cfRule type="duplicateValues" dxfId="91" priority="51"/>
  </conditionalFormatting>
  <conditionalFormatting sqref="U782">
    <cfRule type="duplicateValues" dxfId="90" priority="50"/>
  </conditionalFormatting>
  <conditionalFormatting sqref="U782">
    <cfRule type="duplicateValues" dxfId="89" priority="49"/>
  </conditionalFormatting>
  <conditionalFormatting sqref="U782">
    <cfRule type="duplicateValues" dxfId="88" priority="48"/>
  </conditionalFormatting>
  <conditionalFormatting sqref="U782">
    <cfRule type="duplicateValues" dxfId="87" priority="47"/>
  </conditionalFormatting>
  <conditionalFormatting sqref="U782">
    <cfRule type="duplicateValues" dxfId="86" priority="46"/>
  </conditionalFormatting>
  <conditionalFormatting sqref="U782">
    <cfRule type="duplicateValues" dxfId="85" priority="45"/>
  </conditionalFormatting>
  <conditionalFormatting sqref="U782">
    <cfRule type="duplicateValues" dxfId="84" priority="44"/>
  </conditionalFormatting>
  <conditionalFormatting sqref="U782">
    <cfRule type="duplicateValues" dxfId="83" priority="43"/>
  </conditionalFormatting>
  <conditionalFormatting sqref="U782">
    <cfRule type="duplicateValues" dxfId="82" priority="42"/>
  </conditionalFormatting>
  <conditionalFormatting sqref="U782">
    <cfRule type="duplicateValues" dxfId="81" priority="41"/>
  </conditionalFormatting>
  <conditionalFormatting sqref="U782">
    <cfRule type="duplicateValues" dxfId="80" priority="40"/>
  </conditionalFormatting>
  <conditionalFormatting sqref="U782">
    <cfRule type="duplicateValues" dxfId="79" priority="39"/>
  </conditionalFormatting>
  <conditionalFormatting sqref="U782">
    <cfRule type="duplicateValues" dxfId="78" priority="38"/>
  </conditionalFormatting>
  <conditionalFormatting sqref="U782">
    <cfRule type="duplicateValues" dxfId="77" priority="37"/>
  </conditionalFormatting>
  <conditionalFormatting sqref="U782">
    <cfRule type="duplicateValues" dxfId="76" priority="36"/>
  </conditionalFormatting>
  <conditionalFormatting sqref="U782">
    <cfRule type="duplicateValues" dxfId="75" priority="35"/>
  </conditionalFormatting>
  <conditionalFormatting sqref="U782">
    <cfRule type="duplicateValues" dxfId="74" priority="34"/>
  </conditionalFormatting>
  <conditionalFormatting sqref="U782">
    <cfRule type="duplicateValues" dxfId="73" priority="33"/>
  </conditionalFormatting>
  <conditionalFormatting sqref="U782">
    <cfRule type="duplicateValues" dxfId="72" priority="32"/>
  </conditionalFormatting>
  <conditionalFormatting sqref="U782">
    <cfRule type="duplicateValues" dxfId="71" priority="31"/>
  </conditionalFormatting>
  <conditionalFormatting sqref="U782">
    <cfRule type="duplicateValues" dxfId="70" priority="30"/>
  </conditionalFormatting>
  <conditionalFormatting sqref="U782">
    <cfRule type="duplicateValues" dxfId="69" priority="29"/>
  </conditionalFormatting>
  <conditionalFormatting sqref="U782">
    <cfRule type="duplicateValues" dxfId="68" priority="28"/>
  </conditionalFormatting>
  <conditionalFormatting sqref="U782">
    <cfRule type="duplicateValues" dxfId="67" priority="27"/>
  </conditionalFormatting>
  <conditionalFormatting sqref="U782">
    <cfRule type="duplicateValues" dxfId="66" priority="26"/>
  </conditionalFormatting>
  <conditionalFormatting sqref="U782">
    <cfRule type="duplicateValues" dxfId="65" priority="25"/>
  </conditionalFormatting>
  <conditionalFormatting sqref="U782">
    <cfRule type="duplicateValues" dxfId="64" priority="24"/>
  </conditionalFormatting>
  <conditionalFormatting sqref="U782">
    <cfRule type="duplicateValues" dxfId="63" priority="23"/>
  </conditionalFormatting>
  <conditionalFormatting sqref="U782">
    <cfRule type="duplicateValues" dxfId="62" priority="22"/>
  </conditionalFormatting>
  <conditionalFormatting sqref="U782">
    <cfRule type="duplicateValues" dxfId="61" priority="21"/>
  </conditionalFormatting>
  <conditionalFormatting sqref="U782">
    <cfRule type="duplicateValues" dxfId="60" priority="20"/>
  </conditionalFormatting>
  <conditionalFormatting sqref="U782">
    <cfRule type="duplicateValues" dxfId="59" priority="19"/>
  </conditionalFormatting>
  <conditionalFormatting sqref="U782">
    <cfRule type="duplicateValues" dxfId="58" priority="18"/>
  </conditionalFormatting>
  <conditionalFormatting sqref="U782">
    <cfRule type="duplicateValues" dxfId="57" priority="17"/>
  </conditionalFormatting>
  <conditionalFormatting sqref="U782">
    <cfRule type="duplicateValues" dxfId="56" priority="16"/>
  </conditionalFormatting>
  <conditionalFormatting sqref="U782">
    <cfRule type="duplicateValues" dxfId="55" priority="15"/>
  </conditionalFormatting>
  <conditionalFormatting sqref="U782">
    <cfRule type="duplicateValues" dxfId="54" priority="14"/>
  </conditionalFormatting>
  <conditionalFormatting sqref="U782">
    <cfRule type="duplicateValues" dxfId="53" priority="13"/>
  </conditionalFormatting>
  <conditionalFormatting sqref="U782">
    <cfRule type="duplicateValues" dxfId="52" priority="12"/>
  </conditionalFormatting>
  <conditionalFormatting sqref="U782">
    <cfRule type="duplicateValues" dxfId="51" priority="11"/>
  </conditionalFormatting>
  <conditionalFormatting sqref="U782">
    <cfRule type="duplicateValues" dxfId="50" priority="10"/>
  </conditionalFormatting>
  <conditionalFormatting sqref="U782">
    <cfRule type="duplicateValues" dxfId="49" priority="9"/>
  </conditionalFormatting>
  <conditionalFormatting sqref="U782">
    <cfRule type="duplicateValues" dxfId="48" priority="8"/>
  </conditionalFormatting>
  <conditionalFormatting sqref="U782">
    <cfRule type="duplicateValues" dxfId="47" priority="7"/>
  </conditionalFormatting>
  <conditionalFormatting sqref="U782">
    <cfRule type="duplicateValues" dxfId="46" priority="6"/>
  </conditionalFormatting>
  <conditionalFormatting sqref="U782">
    <cfRule type="duplicateValues" dxfId="45" priority="5"/>
  </conditionalFormatting>
  <conditionalFormatting sqref="U782">
    <cfRule type="duplicateValues" dxfId="44" priority="4"/>
  </conditionalFormatting>
  <conditionalFormatting sqref="U782">
    <cfRule type="duplicateValues" dxfId="43" priority="3"/>
  </conditionalFormatting>
  <conditionalFormatting sqref="U782">
    <cfRule type="duplicateValues" dxfId="42" priority="2"/>
  </conditionalFormatting>
  <conditionalFormatting sqref="U782">
    <cfRule type="duplicateValues" dxfId="41" priority="1"/>
  </conditionalFormatting>
  <hyperlinks>
    <hyperlink ref="AG252" r:id="rId1"/>
    <hyperlink ref="AG281" r:id="rId2"/>
    <hyperlink ref="AG266" r:id="rId3"/>
    <hyperlink ref="AG273" r:id="rId4"/>
    <hyperlink ref="AG265" r:id="rId5"/>
    <hyperlink ref="AG264" r:id="rId6"/>
    <hyperlink ref="AG258" r:id="rId7"/>
    <hyperlink ref="AG153" r:id="rId8"/>
    <hyperlink ref="AG154" r:id="rId9"/>
    <hyperlink ref="AG117" r:id="rId10"/>
    <hyperlink ref="AG141" r:id="rId11"/>
    <hyperlink ref="AG284" r:id="rId12"/>
    <hyperlink ref="AG182" r:id="rId13"/>
    <hyperlink ref="AG83" r:id="rId14"/>
    <hyperlink ref="AG173" r:id="rId15"/>
    <hyperlink ref="AG121" r:id="rId16"/>
    <hyperlink ref="AG41" r:id="rId17"/>
    <hyperlink ref="AG7" r:id="rId18"/>
    <hyperlink ref="AG51" r:id="rId19"/>
    <hyperlink ref="AG48" r:id="rId20"/>
    <hyperlink ref="AG239" r:id="rId21"/>
    <hyperlink ref="AG306" r:id="rId22"/>
    <hyperlink ref="AG183" r:id="rId23"/>
    <hyperlink ref="AG84" r:id="rId24"/>
    <hyperlink ref="AG78" r:id="rId25"/>
    <hyperlink ref="AG262" r:id="rId26"/>
    <hyperlink ref="AG131" r:id="rId27"/>
    <hyperlink ref="AG66" r:id="rId28"/>
    <hyperlink ref="AG13" r:id="rId29"/>
    <hyperlink ref="AG259" r:id="rId30"/>
    <hyperlink ref="AG72" r:id="rId31"/>
    <hyperlink ref="AG237" r:id="rId32"/>
    <hyperlink ref="AG98" r:id="rId33"/>
    <hyperlink ref="AG90" r:id="rId34"/>
    <hyperlink ref="AG69" r:id="rId35"/>
    <hyperlink ref="AG255" r:id="rId36"/>
    <hyperlink ref="AG130" r:id="rId37"/>
    <hyperlink ref="AG176" r:id="rId38"/>
    <hyperlink ref="AG46" r:id="rId39"/>
    <hyperlink ref="AG263" r:id="rId40"/>
    <hyperlink ref="AG62" r:id="rId41"/>
    <hyperlink ref="AG43" r:id="rId42"/>
    <hyperlink ref="AG67" r:id="rId43"/>
    <hyperlink ref="AG388" r:id="rId44"/>
    <hyperlink ref="AG89" r:id="rId45"/>
    <hyperlink ref="AG175" r:id="rId46"/>
    <hyperlink ref="AG354" r:id="rId47"/>
    <hyperlink ref="AG340" r:id="rId48"/>
    <hyperlink ref="AG156" r:id="rId49"/>
    <hyperlink ref="AG143" r:id="rId50"/>
    <hyperlink ref="AG178" r:id="rId51"/>
    <hyperlink ref="AG144" r:id="rId52"/>
    <hyperlink ref="AG174" r:id="rId53"/>
    <hyperlink ref="AG179" r:id="rId54"/>
    <hyperlink ref="AG177" r:id="rId55"/>
    <hyperlink ref="AG313" r:id="rId56"/>
    <hyperlink ref="AG358" r:id="rId57"/>
    <hyperlink ref="AG359" r:id="rId58"/>
    <hyperlink ref="AG360" r:id="rId59"/>
    <hyperlink ref="AG363" r:id="rId60"/>
    <hyperlink ref="AG357" r:id="rId61"/>
    <hyperlink ref="AG331" r:id="rId62"/>
    <hyperlink ref="AG361" r:id="rId63"/>
    <hyperlink ref="AG362" r:id="rId64"/>
    <hyperlink ref="AG355" r:id="rId65"/>
    <hyperlink ref="AG351" r:id="rId66"/>
    <hyperlink ref="AG353" r:id="rId67"/>
    <hyperlink ref="AG339" r:id="rId68"/>
    <hyperlink ref="AG330" r:id="rId69"/>
    <hyperlink ref="AG366" r:id="rId70"/>
    <hyperlink ref="AG365" r:id="rId71"/>
    <hyperlink ref="AG350" r:id="rId72"/>
    <hyperlink ref="AG349" r:id="rId73"/>
    <hyperlink ref="AG348" r:id="rId74"/>
    <hyperlink ref="AG338" r:id="rId75"/>
    <hyperlink ref="AG371" r:id="rId76"/>
    <hyperlink ref="AG375" r:id="rId77"/>
    <hyperlink ref="AG381" r:id="rId78"/>
    <hyperlink ref="AG380" r:id="rId79"/>
    <hyperlink ref="AG391" r:id="rId80"/>
    <hyperlink ref="AG390" r:id="rId81"/>
    <hyperlink ref="AG387" r:id="rId82"/>
    <hyperlink ref="AG214" r:id="rId83"/>
    <hyperlink ref="AG326" r:id="rId84"/>
    <hyperlink ref="AG203" r:id="rId85"/>
    <hyperlink ref="AG221" r:id="rId86"/>
    <hyperlink ref="AG199" r:id="rId87"/>
    <hyperlink ref="AG219" r:id="rId88"/>
    <hyperlink ref="AG213" r:id="rId89"/>
    <hyperlink ref="AG225" r:id="rId90"/>
    <hyperlink ref="AG227" r:id="rId91"/>
    <hyperlink ref="AG223" r:id="rId92"/>
    <hyperlink ref="AG218" r:id="rId93"/>
    <hyperlink ref="AG234" r:id="rId94"/>
    <hyperlink ref="AG232" r:id="rId95"/>
    <hyperlink ref="AG231" r:id="rId96"/>
    <hyperlink ref="AG233" r:id="rId97"/>
    <hyperlink ref="AG324" r:id="rId98"/>
    <hyperlink ref="AG204" r:id="rId99"/>
    <hyperlink ref="AG323" r:id="rId100"/>
    <hyperlink ref="AG226" r:id="rId101"/>
    <hyperlink ref="AG342" r:id="rId102"/>
    <hyperlink ref="AG230" r:id="rId103"/>
    <hyperlink ref="AG335" r:id="rId104"/>
    <hyperlink ref="AG333" r:id="rId105"/>
    <hyperlink ref="AG345" r:id="rId106"/>
    <hyperlink ref="AG344" r:id="rId107"/>
    <hyperlink ref="AG336" r:id="rId108"/>
    <hyperlink ref="AG334" r:id="rId109"/>
    <hyperlink ref="AG346" r:id="rId110"/>
    <hyperlink ref="AG343" r:id="rId111"/>
    <hyperlink ref="AG341" r:id="rId112"/>
    <hyperlink ref="AG384" r:id="rId113"/>
    <hyperlink ref="AG400" r:id="rId114"/>
    <hyperlink ref="AG202" r:id="rId115"/>
    <hyperlink ref="AG205" r:id="rId116"/>
    <hyperlink ref="AG198" r:id="rId117"/>
    <hyperlink ref="AG200" r:id="rId118"/>
    <hyperlink ref="AG216" r:id="rId119"/>
    <hyperlink ref="AG201" r:id="rId120"/>
    <hyperlink ref="AG206" r:id="rId121"/>
    <hyperlink ref="AG215" r:id="rId122"/>
    <hyperlink ref="AG195" r:id="rId123"/>
    <hyperlink ref="AG196" r:id="rId124"/>
    <hyperlink ref="AG194" r:id="rId125"/>
    <hyperlink ref="AG197" r:id="rId126"/>
    <hyperlink ref="AG217" r:id="rId127"/>
    <hyperlink ref="AG212" r:id="rId128"/>
    <hyperlink ref="AG193" r:id="rId129"/>
    <hyperlink ref="AG208" r:id="rId130"/>
    <hyperlink ref="AG209" r:id="rId131"/>
    <hyperlink ref="AG210" r:id="rId132"/>
    <hyperlink ref="AG211" r:id="rId133"/>
    <hyperlink ref="AG220" r:id="rId134"/>
    <hyperlink ref="AG222" r:id="rId135"/>
    <hyperlink ref="AG337" r:id="rId136"/>
    <hyperlink ref="AG385" r:id="rId137"/>
    <hyperlink ref="AG274" r:id="rId138"/>
    <hyperlink ref="AG305" r:id="rId139"/>
    <hyperlink ref="AG256" r:id="rId140"/>
    <hyperlink ref="AG261" r:id="rId141"/>
    <hyperlink ref="AG272" r:id="rId142"/>
    <hyperlink ref="AG243" r:id="rId143"/>
    <hyperlink ref="AG287" r:id="rId144"/>
    <hyperlink ref="AG289" r:id="rId145"/>
    <hyperlink ref="AG294" r:id="rId146"/>
    <hyperlink ref="AG268" r:id="rId147"/>
    <hyperlink ref="AG61" r:id="rId148"/>
    <hyperlink ref="AG310" r:id="rId149"/>
    <hyperlink ref="AG65" r:id="rId150"/>
    <hyperlink ref="AG253" r:id="rId151"/>
    <hyperlink ref="AG55" r:id="rId152"/>
    <hyperlink ref="AG244" r:id="rId153"/>
    <hyperlink ref="AG376" r:id="rId154"/>
    <hyperlink ref="AG407" r:id="rId155"/>
    <hyperlink ref="AG409" r:id="rId156"/>
    <hyperlink ref="AG246" r:id="rId157"/>
    <hyperlink ref="AG307" r:id="rId158"/>
    <hyperlink ref="AG236" r:id="rId159"/>
    <hyperlink ref="AG275" r:id="rId160"/>
    <hyperlink ref="AG296" r:id="rId161"/>
    <hyperlink ref="AG240" r:id="rId162"/>
    <hyperlink ref="AG250" r:id="rId163"/>
    <hyperlink ref="AG293" r:id="rId164"/>
    <hyperlink ref="AG311" r:id="rId165"/>
    <hyperlink ref="AG269" r:id="rId166"/>
    <hyperlink ref="AG277" r:id="rId167"/>
    <hyperlink ref="AG276" r:id="rId168"/>
    <hyperlink ref="AG352" r:id="rId169"/>
    <hyperlink ref="AG308" r:id="rId170"/>
    <hyperlink ref="AG298" r:id="rId171"/>
    <hyperlink ref="AG291" r:id="rId172"/>
    <hyperlink ref="AG100" r:id="rId173"/>
    <hyperlink ref="AG285" r:id="rId174"/>
    <hyperlink ref="AG248" r:id="rId175"/>
    <hyperlink ref="AG26" r:id="rId176"/>
    <hyperlink ref="AG270" r:id="rId177"/>
    <hyperlink ref="AG278" r:id="rId178"/>
    <hyperlink ref="AG290" r:id="rId179"/>
    <hyperlink ref="AG300" r:id="rId180"/>
    <hyperlink ref="AG302" r:id="rId181"/>
    <hyperlink ref="AG267" r:id="rId182"/>
    <hyperlink ref="AG251" r:id="rId183"/>
    <hyperlink ref="AG249" r:id="rId184"/>
    <hyperlink ref="AG235" r:id="rId185"/>
    <hyperlink ref="AG245" r:id="rId186"/>
    <hyperlink ref="AG247" r:id="rId187"/>
    <hyperlink ref="AG312" r:id="rId188"/>
    <hyperlink ref="AG279" r:id="rId189"/>
    <hyperlink ref="AG309" r:id="rId190"/>
    <hyperlink ref="AG283" r:id="rId191"/>
    <hyperlink ref="AG295" r:id="rId192"/>
    <hyperlink ref="AG260" r:id="rId193"/>
    <hyperlink ref="AG238" r:id="rId194"/>
    <hyperlink ref="AG282" r:id="rId195"/>
    <hyperlink ref="AG292" r:id="rId196"/>
    <hyperlink ref="AG280" r:id="rId197"/>
    <hyperlink ref="AG297" r:id="rId198"/>
    <hyperlink ref="AG254" r:id="rId199"/>
    <hyperlink ref="AG136" r:id="rId200"/>
    <hyperlink ref="AG150" r:id="rId201"/>
    <hyperlink ref="AG184" r:id="rId202"/>
    <hyperlink ref="AG157" r:id="rId203"/>
    <hyperlink ref="AG110" r:id="rId204"/>
    <hyperlink ref="AG116" r:id="rId205"/>
    <hyperlink ref="AG42" r:id="rId206"/>
    <hyperlink ref="AG54" r:id="rId207"/>
    <hyperlink ref="AG4" r:id="rId208"/>
    <hyperlink ref="AG119" r:id="rId209"/>
    <hyperlink ref="AG145" r:id="rId210"/>
    <hyperlink ref="AG106" r:id="rId211"/>
    <hyperlink ref="AG118" r:id="rId212"/>
    <hyperlink ref="AG155" r:id="rId213"/>
    <hyperlink ref="AG169" r:id="rId214"/>
    <hyperlink ref="AG148" r:id="rId215"/>
    <hyperlink ref="AG185" r:id="rId216"/>
    <hyperlink ref="AG73" r:id="rId217"/>
    <hyperlink ref="AG112" r:id="rId218"/>
    <hyperlink ref="AG39" r:id="rId219"/>
    <hyperlink ref="AG15" r:id="rId220"/>
    <hyperlink ref="AG146" r:id="rId221"/>
    <hyperlink ref="AG160" r:id="rId222"/>
    <hyperlink ref="AG165" r:id="rId223"/>
    <hyperlink ref="AG181" r:id="rId224"/>
    <hyperlink ref="AG17" r:id="rId225"/>
    <hyperlink ref="AG45" r:id="rId226"/>
    <hyperlink ref="AG71" r:id="rId227"/>
    <hyperlink ref="AG52" r:id="rId228"/>
    <hyperlink ref="AG76" r:id="rId229"/>
    <hyperlink ref="AG36" r:id="rId230"/>
    <hyperlink ref="AG95" r:id="rId231"/>
    <hyperlink ref="AG103" r:id="rId232"/>
    <hyperlink ref="AG111" r:id="rId233"/>
    <hyperlink ref="AG149" r:id="rId234"/>
    <hyperlink ref="AG163" r:id="rId235"/>
    <hyperlink ref="AG372" r:id="rId236"/>
    <hyperlink ref="AG367" r:id="rId237"/>
    <hyperlink ref="AG373" r:id="rId238"/>
    <hyperlink ref="AG369" r:id="rId239"/>
    <hyperlink ref="AG377" r:id="rId240"/>
    <hyperlink ref="AG383" r:id="rId241"/>
    <hyperlink ref="AG382" r:id="rId242"/>
    <hyperlink ref="AG389" r:id="rId243"/>
    <hyperlink ref="AG403" r:id="rId244"/>
    <hyperlink ref="AG404" r:id="rId245"/>
    <hyperlink ref="AG405" r:id="rId246"/>
    <hyperlink ref="AG30" r:id="rId247"/>
    <hyperlink ref="AG8" r:id="rId248"/>
    <hyperlink ref="AG168" r:id="rId249"/>
    <hyperlink ref="AG14" r:id="rId250"/>
    <hyperlink ref="AG53" r:id="rId251"/>
    <hyperlink ref="AG49" r:id="rId252"/>
    <hyperlink ref="AG166" r:id="rId253"/>
    <hyperlink ref="AG109" r:id="rId254"/>
    <hyperlink ref="AG58" r:id="rId255"/>
    <hyperlink ref="AG18" r:id="rId256"/>
    <hyperlink ref="AG162" r:id="rId257"/>
    <hyperlink ref="AG75" r:id="rId258"/>
    <hyperlink ref="AG167" r:id="rId259"/>
    <hyperlink ref="AG6" r:id="rId260"/>
    <hyperlink ref="AG77" r:id="rId261"/>
    <hyperlink ref="AG5" r:id="rId262"/>
    <hyperlink ref="AG21" r:id="rId263"/>
    <hyperlink ref="AG158" r:id="rId264"/>
    <hyperlink ref="AG180" r:id="rId265"/>
    <hyperlink ref="AG152" r:id="rId266"/>
    <hyperlink ref="AG139" r:id="rId267"/>
    <hyperlink ref="AG171" r:id="rId268"/>
    <hyperlink ref="AG134" r:id="rId269"/>
    <hyperlink ref="AG81" r:id="rId270"/>
    <hyperlink ref="AG126" r:id="rId271"/>
    <hyperlink ref="AG57" r:id="rId272"/>
    <hyperlink ref="AG20" r:id="rId273"/>
    <hyperlink ref="AG133" r:id="rId274"/>
    <hyperlink ref="AG127" r:id="rId275"/>
    <hyperlink ref="AG12" r:id="rId276"/>
    <hyperlink ref="AG120" r:id="rId277"/>
    <hyperlink ref="AG105" r:id="rId278"/>
    <hyperlink ref="AG123" r:id="rId279"/>
    <hyperlink ref="AG91" r:id="rId280"/>
    <hyperlink ref="AG32" r:id="rId281"/>
    <hyperlink ref="AG28" r:id="rId282"/>
    <hyperlink ref="AG94" r:id="rId283"/>
    <hyperlink ref="AG108" r:id="rId284"/>
    <hyperlink ref="AG102" r:id="rId285"/>
    <hyperlink ref="AG11" r:id="rId286"/>
    <hyperlink ref="AG3" r:id="rId287"/>
    <hyperlink ref="AG122" r:id="rId288"/>
    <hyperlink ref="AG60" r:id="rId289"/>
    <hyperlink ref="AG164" r:id="rId290"/>
    <hyperlink ref="AG27" r:id="rId291"/>
    <hyperlink ref="AG35" r:id="rId292"/>
    <hyperlink ref="AG104" r:id="rId293"/>
    <hyperlink ref="AG161" r:id="rId294"/>
    <hyperlink ref="AG9" r:id="rId295"/>
    <hyperlink ref="AG170" r:id="rId296"/>
    <hyperlink ref="AG124" r:id="rId297"/>
    <hyperlink ref="AG24" r:id="rId298"/>
    <hyperlink ref="AG147" r:id="rId299"/>
    <hyperlink ref="AG132" r:id="rId300"/>
    <hyperlink ref="AG38" r:id="rId301"/>
    <hyperlink ref="AG29" r:id="rId302"/>
    <hyperlink ref="AG74" r:id="rId303"/>
    <hyperlink ref="AG59" r:id="rId304"/>
    <hyperlink ref="AG172" r:id="rId305"/>
    <hyperlink ref="AG70" r:id="rId306"/>
    <hyperlink ref="AG101" r:id="rId307"/>
    <hyperlink ref="AG19" r:id="rId308"/>
    <hyperlink ref="AG88" r:id="rId309"/>
    <hyperlink ref="AG396" r:id="rId310"/>
    <hyperlink ref="AG151" r:id="rId311"/>
    <hyperlink ref="AG96" r:id="rId312"/>
    <hyperlink ref="AG128" r:id="rId313"/>
    <hyperlink ref="AG125" r:id="rId314"/>
    <hyperlink ref="AG322" r:id="rId315"/>
    <hyperlink ref="AG257" r:id="rId316"/>
    <hyperlink ref="AG325" r:id="rId317"/>
    <hyperlink ref="AG327" r:id="rId318"/>
    <hyperlink ref="AG329" r:id="rId319"/>
    <hyperlink ref="AG301" r:id="rId320"/>
    <hyperlink ref="AG271" r:id="rId321"/>
    <hyperlink ref="AG315" r:id="rId322"/>
    <hyperlink ref="AG321" r:id="rId323"/>
    <hyperlink ref="AG189" r:id="rId324"/>
    <hyperlink ref="AG286" r:id="rId325"/>
    <hyperlink ref="AG191" r:id="rId326"/>
    <hyperlink ref="AG192" r:id="rId327"/>
    <hyperlink ref="AG320" r:id="rId328"/>
    <hyperlink ref="AG188" r:id="rId329"/>
    <hyperlink ref="AG314" r:id="rId330"/>
    <hyperlink ref="AG318" r:id="rId331"/>
    <hyperlink ref="AG317" r:id="rId332"/>
    <hyperlink ref="AG224" r:id="rId333"/>
    <hyperlink ref="AG319" r:id="rId334"/>
    <hyperlink ref="AG187" r:id="rId335"/>
    <hyperlink ref="AG228" r:id="rId336"/>
    <hyperlink ref="AG288" r:id="rId337"/>
    <hyperlink ref="AG328" r:id="rId338"/>
    <hyperlink ref="AG316" r:id="rId339"/>
    <hyperlink ref="AG229" r:id="rId340"/>
    <hyperlink ref="AG190" r:id="rId341"/>
    <hyperlink ref="AG370" r:id="rId342"/>
    <hyperlink ref="AG392" r:id="rId343"/>
    <hyperlink ref="AG398" r:id="rId344"/>
    <hyperlink ref="AG402" r:id="rId345"/>
    <hyperlink ref="AG408" r:id="rId346"/>
    <hyperlink ref="AG410" r:id="rId347"/>
    <hyperlink ref="AG241" r:id="rId348"/>
    <hyperlink ref="AG16" r:id="rId349"/>
    <hyperlink ref="AG186" r:id="rId350"/>
    <hyperlink ref="AG68" r:id="rId351"/>
    <hyperlink ref="AG34" r:id="rId352"/>
    <hyperlink ref="AG92" r:id="rId353"/>
    <hyperlink ref="AG47" r:id="rId354"/>
    <hyperlink ref="AG138" r:id="rId355"/>
    <hyperlink ref="AG87" r:id="rId356"/>
    <hyperlink ref="AG129" r:id="rId357"/>
    <hyperlink ref="AG22" r:id="rId358"/>
    <hyperlink ref="AG33" r:id="rId359"/>
    <hyperlink ref="AG97" r:id="rId360"/>
    <hyperlink ref="AG37" r:id="rId361"/>
    <hyperlink ref="AG64" r:id="rId362"/>
    <hyperlink ref="AG82" r:id="rId363"/>
    <hyperlink ref="AG140" r:id="rId364"/>
    <hyperlink ref="AG159" r:id="rId365"/>
    <hyperlink ref="AG63" r:id="rId366"/>
    <hyperlink ref="AG242" r:id="rId367"/>
    <hyperlink ref="AG135" r:id="rId368"/>
    <hyperlink ref="AG31" r:id="rId369"/>
    <hyperlink ref="AG10" r:id="rId370"/>
    <hyperlink ref="AG56" r:id="rId371"/>
    <hyperlink ref="AG386" r:id="rId372"/>
    <hyperlink ref="AG93" r:id="rId373"/>
    <hyperlink ref="AG99" r:id="rId374"/>
    <hyperlink ref="AG25" r:id="rId375"/>
    <hyperlink ref="AG50" r:id="rId376"/>
    <hyperlink ref="AG44" r:id="rId377"/>
    <hyperlink ref="AG86" r:id="rId378"/>
    <hyperlink ref="AG364" r:id="rId379"/>
    <hyperlink ref="AG332" r:id="rId380"/>
    <hyperlink ref="AG137" r:id="rId381"/>
    <hyperlink ref="AG368" r:id="rId382"/>
    <hyperlink ref="AG395" r:id="rId383"/>
    <hyperlink ref="AG394" r:id="rId384"/>
    <hyperlink ref="AG393" r:id="rId385"/>
    <hyperlink ref="AG399" r:id="rId386"/>
    <hyperlink ref="AG397" r:id="rId387"/>
    <hyperlink ref="AG401" r:id="rId388"/>
    <hyperlink ref="AG406" r:id="rId389"/>
    <hyperlink ref="AG379" r:id="rId390"/>
    <hyperlink ref="AG374" r:id="rId391"/>
    <hyperlink ref="AG23" r:id="rId392"/>
    <hyperlink ref="AG142" r:id="rId393"/>
    <hyperlink ref="AG411" r:id="rId394"/>
    <hyperlink ref="AG412" r:id="rId395"/>
    <hyperlink ref="AG413" r:id="rId396"/>
    <hyperlink ref="AG414" r:id="rId397"/>
    <hyperlink ref="AG415" r:id="rId398"/>
    <hyperlink ref="AG416" r:id="rId399"/>
    <hyperlink ref="AG417" r:id="rId400"/>
    <hyperlink ref="AG419" r:id="rId401"/>
    <hyperlink ref="AG420" r:id="rId402"/>
    <hyperlink ref="AG421" r:id="rId403"/>
    <hyperlink ref="AG378" r:id="rId404"/>
    <hyperlink ref="AG422" r:id="rId405"/>
    <hyperlink ref="AG423" r:id="rId406"/>
    <hyperlink ref="AG40" r:id="rId407"/>
    <hyperlink ref="AG207" r:id="rId408"/>
    <hyperlink ref="AG299" r:id="rId409"/>
    <hyperlink ref="AK431" r:id="rId410"/>
    <hyperlink ref="AK432" r:id="rId411"/>
    <hyperlink ref="AK433" r:id="rId412"/>
    <hyperlink ref="AK434" r:id="rId413"/>
    <hyperlink ref="AK435" r:id="rId414"/>
    <hyperlink ref="AK438" r:id="rId415"/>
    <hyperlink ref="AK439" r:id="rId416"/>
    <hyperlink ref="AK440" r:id="rId417"/>
    <hyperlink ref="AK437" r:id="rId418"/>
    <hyperlink ref="AK441" r:id="rId419"/>
    <hyperlink ref="AK442" r:id="rId420"/>
    <hyperlink ref="AK443" r:id="rId421"/>
    <hyperlink ref="AK444" r:id="rId422"/>
    <hyperlink ref="AK445" r:id="rId423"/>
    <hyperlink ref="AK447" r:id="rId424"/>
    <hyperlink ref="AK448" r:id="rId425"/>
    <hyperlink ref="AK449" r:id="rId426"/>
    <hyperlink ref="AK450" r:id="rId427"/>
    <hyperlink ref="AK452" r:id="rId428"/>
    <hyperlink ref="AG425" r:id="rId429"/>
    <hyperlink ref="AG427" r:id="rId430"/>
    <hyperlink ref="AG428" r:id="rId431"/>
    <hyperlink ref="AG429" r:id="rId432"/>
    <hyperlink ref="AG430" r:id="rId433"/>
    <hyperlink ref="AG431" r:id="rId434"/>
    <hyperlink ref="AG432" r:id="rId435"/>
    <hyperlink ref="AG433" r:id="rId436"/>
    <hyperlink ref="AG435" r:id="rId437"/>
    <hyperlink ref="AG436" r:id="rId438"/>
    <hyperlink ref="AG437" r:id="rId439"/>
    <hyperlink ref="AG438" r:id="rId440"/>
    <hyperlink ref="AG439" r:id="rId441"/>
    <hyperlink ref="AG440" r:id="rId442"/>
    <hyperlink ref="AG441" r:id="rId443"/>
    <hyperlink ref="AG442" r:id="rId444"/>
    <hyperlink ref="AG443" r:id="rId445"/>
    <hyperlink ref="AG444" r:id="rId446"/>
    <hyperlink ref="AG445" r:id="rId447"/>
    <hyperlink ref="AG446" r:id="rId448"/>
    <hyperlink ref="AG447" r:id="rId449"/>
    <hyperlink ref="AG448" r:id="rId450"/>
    <hyperlink ref="AG449" r:id="rId451"/>
    <hyperlink ref="AG450" r:id="rId452"/>
    <hyperlink ref="AG452" r:id="rId453"/>
    <hyperlink ref="AG85" r:id="rId454"/>
    <hyperlink ref="AG303" r:id="rId455"/>
    <hyperlink ref="AG424" r:id="rId456"/>
    <hyperlink ref="AG451" r:id="rId457"/>
    <hyperlink ref="AG453" r:id="rId458"/>
    <hyperlink ref="AG304" r:id="rId459"/>
    <hyperlink ref="AG418" r:id="rId460"/>
    <hyperlink ref="AG79" r:id="rId461"/>
    <hyperlink ref="AG107" r:id="rId462"/>
    <hyperlink ref="AG434" r:id="rId463"/>
    <hyperlink ref="AG80" r:id="rId464"/>
    <hyperlink ref="AK454" r:id="rId465"/>
    <hyperlink ref="AK460" r:id="rId466"/>
    <hyperlink ref="AG455" r:id="rId467"/>
    <hyperlink ref="AG456" r:id="rId468"/>
    <hyperlink ref="AG457" r:id="rId469"/>
    <hyperlink ref="AG458" r:id="rId470"/>
    <hyperlink ref="AG454" r:id="rId471"/>
    <hyperlink ref="AK462" r:id="rId472"/>
    <hyperlink ref="AK463" r:id="rId473"/>
    <hyperlink ref="AK464" r:id="rId474"/>
    <hyperlink ref="AK465" r:id="rId475"/>
    <hyperlink ref="AK467" r:id="rId476"/>
    <hyperlink ref="AK466" r:id="rId477"/>
    <hyperlink ref="AK468" r:id="rId478"/>
    <hyperlink ref="AK469" r:id="rId479"/>
    <hyperlink ref="AK470" r:id="rId480"/>
    <hyperlink ref="AK472" r:id="rId481"/>
    <hyperlink ref="AK473" r:id="rId482"/>
    <hyperlink ref="AK474" r:id="rId483"/>
    <hyperlink ref="AK478" r:id="rId484"/>
    <hyperlink ref="AK476" r:id="rId485"/>
    <hyperlink ref="AK479" r:id="rId486"/>
    <hyperlink ref="AK475" r:id="rId487"/>
    <hyperlink ref="AK481" r:id="rId488"/>
    <hyperlink ref="AK482" r:id="rId489"/>
    <hyperlink ref="AK483" r:id="rId490"/>
    <hyperlink ref="AK484" r:id="rId491"/>
    <hyperlink ref="AK486" r:id="rId492"/>
    <hyperlink ref="AK458" r:id="rId493"/>
    <hyperlink ref="AK457" r:id="rId494"/>
    <hyperlink ref="AK456" r:id="rId495"/>
    <hyperlink ref="AK455" r:id="rId496"/>
    <hyperlink ref="AK488" r:id="rId497"/>
    <hyperlink ref="AK485" r:id="rId498"/>
    <hyperlink ref="AK490" r:id="rId499"/>
    <hyperlink ref="AK489" r:id="rId500"/>
    <hyperlink ref="AK493" r:id="rId501"/>
    <hyperlink ref="AK494" r:id="rId502"/>
    <hyperlink ref="AK496" r:id="rId503"/>
    <hyperlink ref="AK497" r:id="rId504"/>
    <hyperlink ref="AK498" r:id="rId505"/>
    <hyperlink ref="AK499" r:id="rId506"/>
    <hyperlink ref="AK500" r:id="rId507"/>
    <hyperlink ref="AK501" r:id="rId508"/>
    <hyperlink ref="AK502" r:id="rId509"/>
    <hyperlink ref="AK503" r:id="rId510"/>
    <hyperlink ref="AK504" r:id="rId511"/>
    <hyperlink ref="AK505" r:id="rId512"/>
    <hyperlink ref="AK507" r:id="rId513"/>
    <hyperlink ref="AK508" r:id="rId514"/>
    <hyperlink ref="AK509" r:id="rId515"/>
    <hyperlink ref="AK511" r:id="rId516"/>
    <hyperlink ref="AK512" r:id="rId517"/>
    <hyperlink ref="AK513" r:id="rId518"/>
    <hyperlink ref="AK514" r:id="rId519"/>
    <hyperlink ref="AK515" r:id="rId520"/>
    <hyperlink ref="AK516" r:id="rId521"/>
    <hyperlink ref="AK517" r:id="rId522"/>
    <hyperlink ref="AK518" r:id="rId523"/>
    <hyperlink ref="AK519" r:id="rId524"/>
    <hyperlink ref="AK520" r:id="rId525"/>
    <hyperlink ref="AK521" r:id="rId526"/>
    <hyperlink ref="AK522" r:id="rId527"/>
    <hyperlink ref="AK523" r:id="rId528"/>
    <hyperlink ref="AK524" r:id="rId529"/>
    <hyperlink ref="AK525" r:id="rId530"/>
    <hyperlink ref="AK527" r:id="rId531"/>
    <hyperlink ref="AK528" r:id="rId532"/>
    <hyperlink ref="AK529" r:id="rId533"/>
    <hyperlink ref="AK530" r:id="rId534"/>
    <hyperlink ref="AK526" r:id="rId535"/>
    <hyperlink ref="AK532" r:id="rId536"/>
    <hyperlink ref="AK531" r:id="rId537"/>
    <hyperlink ref="AK533" r:id="rId538"/>
    <hyperlink ref="AK534" r:id="rId539"/>
    <hyperlink ref="AK536" r:id="rId540"/>
    <hyperlink ref="AK535" r:id="rId541"/>
    <hyperlink ref="AK538" r:id="rId542"/>
    <hyperlink ref="AK539" r:id="rId543"/>
    <hyperlink ref="AK537" r:id="rId544"/>
    <hyperlink ref="AK540" r:id="rId545"/>
    <hyperlink ref="AK541" r:id="rId546"/>
    <hyperlink ref="AK543" r:id="rId547"/>
    <hyperlink ref="AK544" r:id="rId548"/>
    <hyperlink ref="AK545" r:id="rId549"/>
    <hyperlink ref="AK546" r:id="rId550"/>
    <hyperlink ref="AK547" r:id="rId551"/>
    <hyperlink ref="AK548" r:id="rId552"/>
    <hyperlink ref="AK551" r:id="rId553"/>
    <hyperlink ref="AK550" r:id="rId554"/>
    <hyperlink ref="AK549" r:id="rId555"/>
    <hyperlink ref="AK552" r:id="rId556"/>
    <hyperlink ref="AK542" r:id="rId557"/>
    <hyperlink ref="AK553" r:id="rId558"/>
    <hyperlink ref="AK554" r:id="rId559"/>
    <hyperlink ref="AK555" r:id="rId560"/>
    <hyperlink ref="AK557" r:id="rId561"/>
    <hyperlink ref="AK556" r:id="rId562"/>
    <hyperlink ref="AK558" r:id="rId563"/>
    <hyperlink ref="AK559" r:id="rId564"/>
    <hyperlink ref="AK560" r:id="rId565"/>
    <hyperlink ref="AK561" r:id="rId566"/>
    <hyperlink ref="AK562" r:id="rId567"/>
    <hyperlink ref="AK564" r:id="rId568"/>
    <hyperlink ref="AK565" r:id="rId569"/>
    <hyperlink ref="AK566" r:id="rId570"/>
    <hyperlink ref="AK568" r:id="rId571"/>
    <hyperlink ref="AK567" r:id="rId572"/>
    <hyperlink ref="AK569" r:id="rId573"/>
    <hyperlink ref="AK570" r:id="rId574"/>
    <hyperlink ref="AK571" r:id="rId575"/>
    <hyperlink ref="AK572" r:id="rId576"/>
    <hyperlink ref="AK574" r:id="rId577"/>
    <hyperlink ref="AK575" r:id="rId578"/>
    <hyperlink ref="AK573" r:id="rId579"/>
    <hyperlink ref="AK577" r:id="rId580"/>
    <hyperlink ref="AK576" r:id="rId581"/>
    <hyperlink ref="AK580" r:id="rId582"/>
    <hyperlink ref="AK579" r:id="rId583"/>
    <hyperlink ref="AK582" r:id="rId584"/>
    <hyperlink ref="AK583" r:id="rId585"/>
    <hyperlink ref="AK584" r:id="rId586"/>
    <hyperlink ref="AK585" r:id="rId587"/>
    <hyperlink ref="AK586" r:id="rId588"/>
    <hyperlink ref="AK587" r:id="rId589"/>
    <hyperlink ref="AL578" r:id="rId590"/>
    <hyperlink ref="AL581" r:id="rId591"/>
    <hyperlink ref="AK588" r:id="rId592"/>
    <hyperlink ref="AK590" r:id="rId593"/>
    <hyperlink ref="AK591" r:id="rId594"/>
    <hyperlink ref="AK593" r:id="rId595"/>
    <hyperlink ref="AK596" r:id="rId596"/>
    <hyperlink ref="AK594" r:id="rId597"/>
    <hyperlink ref="AK595" r:id="rId598"/>
    <hyperlink ref="AK597" r:id="rId599"/>
    <hyperlink ref="AK598" r:id="rId600"/>
    <hyperlink ref="AK599" r:id="rId601"/>
    <hyperlink ref="AK600" r:id="rId602"/>
    <hyperlink ref="AK601" r:id="rId603"/>
    <hyperlink ref="AK602" r:id="rId604"/>
    <hyperlink ref="AK604" r:id="rId605"/>
    <hyperlink ref="AK605" r:id="rId606"/>
    <hyperlink ref="AK606" r:id="rId607"/>
    <hyperlink ref="AK607" r:id="rId608"/>
    <hyperlink ref="AK608" r:id="rId609"/>
    <hyperlink ref="AK611" r:id="rId610"/>
    <hyperlink ref="AK612" r:id="rId611"/>
    <hyperlink ref="AK613" r:id="rId612"/>
    <hyperlink ref="AK609" r:id="rId613"/>
    <hyperlink ref="AK610" r:id="rId614"/>
    <hyperlink ref="AK614" r:id="rId615"/>
    <hyperlink ref="AK615" r:id="rId616"/>
    <hyperlink ref="AK616" r:id="rId617"/>
    <hyperlink ref="AK617" r:id="rId618"/>
    <hyperlink ref="AK619" r:id="rId619"/>
    <hyperlink ref="AK621" r:id="rId620"/>
    <hyperlink ref="AK622" r:id="rId621"/>
    <hyperlink ref="AK623" r:id="rId622"/>
    <hyperlink ref="AK624" r:id="rId623"/>
    <hyperlink ref="AK625" r:id="rId624"/>
    <hyperlink ref="AK626" r:id="rId625"/>
    <hyperlink ref="AK627" r:id="rId626"/>
    <hyperlink ref="AK628" r:id="rId627"/>
    <hyperlink ref="AK632" r:id="rId628"/>
    <hyperlink ref="AK633" r:id="rId629"/>
    <hyperlink ref="AK629" r:id="rId630"/>
    <hyperlink ref="AK630" r:id="rId631"/>
    <hyperlink ref="AK631" r:id="rId632"/>
    <hyperlink ref="AK634" r:id="rId633"/>
    <hyperlink ref="AK635" r:id="rId634"/>
    <hyperlink ref="AK637" r:id="rId635"/>
    <hyperlink ref="AK640" r:id="rId636"/>
    <hyperlink ref="AK638" r:id="rId637"/>
    <hyperlink ref="AK639" r:id="rId638"/>
    <hyperlink ref="AK641" r:id="rId639"/>
    <hyperlink ref="AK642" r:id="rId640"/>
    <hyperlink ref="AK643" r:id="rId641"/>
    <hyperlink ref="AK644" r:id="rId642"/>
    <hyperlink ref="AK645" r:id="rId643"/>
    <hyperlink ref="AK646" r:id="rId644"/>
    <hyperlink ref="AK647" r:id="rId645"/>
    <hyperlink ref="AK648" r:id="rId646"/>
    <hyperlink ref="AK649" r:id="rId647"/>
    <hyperlink ref="AL650" r:id="rId648"/>
    <hyperlink ref="AK656" r:id="rId649"/>
    <hyperlink ref="AK657" r:id="rId650"/>
    <hyperlink ref="AK651" r:id="rId651"/>
    <hyperlink ref="AK652" r:id="rId652"/>
    <hyperlink ref="AK653" r:id="rId653"/>
    <hyperlink ref="AK654" r:id="rId654"/>
    <hyperlink ref="AK655" r:id="rId655"/>
    <hyperlink ref="AK659" r:id="rId656"/>
    <hyperlink ref="AK660" r:id="rId657"/>
    <hyperlink ref="AK661" r:id="rId658"/>
    <hyperlink ref="AK662" r:id="rId659"/>
    <hyperlink ref="AK663" r:id="rId660"/>
    <hyperlink ref="AK664" r:id="rId661"/>
    <hyperlink ref="AK665" r:id="rId662" display="mailto:poojanayak932@gmail.com"/>
    <hyperlink ref="AK669" r:id="rId663"/>
    <hyperlink ref="AK670" r:id="rId664"/>
    <hyperlink ref="AK671" r:id="rId665"/>
    <hyperlink ref="AK672" r:id="rId666"/>
    <hyperlink ref="AK666" r:id="rId667"/>
    <hyperlink ref="AL673" r:id="rId668"/>
    <hyperlink ref="AK674" r:id="rId669"/>
    <hyperlink ref="AL675" r:id="rId670"/>
    <hyperlink ref="AL676" r:id="rId671"/>
    <hyperlink ref="AL677" r:id="rId672"/>
    <hyperlink ref="AL678" r:id="rId673"/>
    <hyperlink ref="AL679" r:id="rId674"/>
    <hyperlink ref="AL680" r:id="rId675"/>
    <hyperlink ref="AL681" r:id="rId676"/>
    <hyperlink ref="AL682" r:id="rId677"/>
    <hyperlink ref="AL683" r:id="rId678"/>
    <hyperlink ref="AL684" r:id="rId679"/>
    <hyperlink ref="AL685" r:id="rId680"/>
    <hyperlink ref="AL686" r:id="rId681"/>
    <hyperlink ref="AL687" r:id="rId682"/>
    <hyperlink ref="AL689" r:id="rId683"/>
    <hyperlink ref="AL690" r:id="rId684"/>
    <hyperlink ref="AL691" r:id="rId685"/>
    <hyperlink ref="AL692" r:id="rId686"/>
    <hyperlink ref="AL693" r:id="rId687"/>
    <hyperlink ref="AL694" r:id="rId688"/>
    <hyperlink ref="AL695" r:id="rId689"/>
    <hyperlink ref="AL703" r:id="rId690"/>
    <hyperlink ref="AL704" r:id="rId691"/>
    <hyperlink ref="AL705" r:id="rId692"/>
    <hyperlink ref="AL706" r:id="rId693"/>
    <hyperlink ref="AL707" r:id="rId694"/>
    <hyperlink ref="AL702" r:id="rId695"/>
    <hyperlink ref="AL688" r:id="rId696"/>
    <hyperlink ref="AL697" r:id="rId697"/>
    <hyperlink ref="AL699" r:id="rId698"/>
    <hyperlink ref="AL710" r:id="rId699"/>
    <hyperlink ref="AL711" r:id="rId700"/>
    <hyperlink ref="AL714" r:id="rId701"/>
    <hyperlink ref="AL715" r:id="rId702"/>
    <hyperlink ref="AL716" r:id="rId703"/>
    <hyperlink ref="AL717" r:id="rId704"/>
    <hyperlink ref="AL718" r:id="rId705"/>
    <hyperlink ref="AL719" r:id="rId706"/>
    <hyperlink ref="AL723" r:id="rId707"/>
    <hyperlink ref="AL725" r:id="rId708"/>
    <hyperlink ref="AL721" r:id="rId709"/>
    <hyperlink ref="AL724" r:id="rId710"/>
    <hyperlink ref="AL726" r:id="rId711"/>
    <hyperlink ref="AL727" r:id="rId712"/>
    <hyperlink ref="AL728" r:id="rId713"/>
    <hyperlink ref="AL729" r:id="rId714"/>
    <hyperlink ref="AL730" r:id="rId715"/>
    <hyperlink ref="AL731" r:id="rId716"/>
    <hyperlink ref="AL732" r:id="rId717"/>
    <hyperlink ref="AL733" r:id="rId718"/>
    <hyperlink ref="AL734" r:id="rId719"/>
    <hyperlink ref="AL735" r:id="rId720"/>
    <hyperlink ref="AL736" r:id="rId721"/>
    <hyperlink ref="AL739" r:id="rId722"/>
    <hyperlink ref="AL740" r:id="rId723"/>
    <hyperlink ref="AL741" r:id="rId724"/>
    <hyperlink ref="AL742" r:id="rId725"/>
    <hyperlink ref="AL743" r:id="rId726"/>
    <hyperlink ref="AL744" r:id="rId727"/>
    <hyperlink ref="AL745" r:id="rId728"/>
    <hyperlink ref="AL746" r:id="rId729"/>
    <hyperlink ref="AL747" r:id="rId730"/>
    <hyperlink ref="AL748" r:id="rId731"/>
    <hyperlink ref="AL750" r:id="rId732"/>
    <hyperlink ref="AL751" r:id="rId733"/>
    <hyperlink ref="AL752" r:id="rId734"/>
    <hyperlink ref="AL753" r:id="rId735"/>
    <hyperlink ref="AL754" r:id="rId736"/>
    <hyperlink ref="AL755" r:id="rId737"/>
    <hyperlink ref="AL756" r:id="rId738"/>
    <hyperlink ref="AL757" r:id="rId739"/>
    <hyperlink ref="AL758" r:id="rId740"/>
    <hyperlink ref="AL759" r:id="rId741"/>
    <hyperlink ref="AL761" r:id="rId742"/>
    <hyperlink ref="AL762" r:id="rId743"/>
    <hyperlink ref="AL760" r:id="rId744"/>
    <hyperlink ref="AL763" r:id="rId745"/>
    <hyperlink ref="AL764" r:id="rId746"/>
    <hyperlink ref="AL765" r:id="rId747"/>
  </hyperlinks>
  <pageMargins left="0" right="0" top="0" bottom="0" header="0.31496062992125984" footer="0.31496062992125984"/>
  <pageSetup paperSize="9" scale="85" orientation="portrait" r:id="rId748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1"/>
  <sheetViews>
    <sheetView workbookViewId="0">
      <pane ySplit="3" topLeftCell="A4" activePane="bottomLeft" state="frozen"/>
      <selection activeCell="N1" sqref="N1"/>
      <selection pane="bottomLeft" activeCell="C15" sqref="C15"/>
    </sheetView>
  </sheetViews>
  <sheetFormatPr defaultColWidth="8.85546875" defaultRowHeight="15"/>
  <cols>
    <col min="1" max="1" width="7.140625" style="22" customWidth="1"/>
    <col min="2" max="2" width="9.42578125" style="12" customWidth="1"/>
    <col min="3" max="3" width="33.5703125" style="12" customWidth="1"/>
    <col min="4" max="4" width="32.85546875" style="12" customWidth="1"/>
    <col min="5" max="5" width="12.28515625" style="12" customWidth="1"/>
    <col min="6" max="6" width="14.28515625" style="12" customWidth="1"/>
    <col min="7" max="7" width="18.42578125" style="12" customWidth="1"/>
    <col min="8" max="8" width="8.85546875" style="12" customWidth="1"/>
    <col min="9" max="9" width="8.140625" style="12" customWidth="1"/>
    <col min="10" max="10" width="11.28515625" style="12" customWidth="1"/>
    <col min="11" max="12" width="8.85546875" style="12" customWidth="1"/>
    <col min="13" max="13" width="15.140625" style="12" customWidth="1"/>
    <col min="14" max="14" width="10.7109375" style="12" customWidth="1"/>
    <col min="15" max="15" width="26.42578125" style="12" customWidth="1"/>
    <col min="16" max="16" width="12.42578125" style="12" customWidth="1"/>
    <col min="17" max="17" width="10.42578125" style="12" customWidth="1"/>
    <col min="18" max="18" width="12.140625" style="12" customWidth="1"/>
    <col min="19" max="19" width="15.140625" style="21" customWidth="1"/>
    <col min="20" max="20" width="9" style="12" customWidth="1"/>
    <col min="21" max="21" width="11.7109375" style="12" customWidth="1"/>
    <col min="22" max="22" width="15.28515625" style="12" customWidth="1"/>
    <col min="23" max="23" width="13.140625" style="12" customWidth="1"/>
    <col min="24" max="24" width="16.140625" style="12" customWidth="1"/>
    <col min="25" max="25" width="15.28515625" style="12" customWidth="1"/>
    <col min="26" max="26" width="21.7109375" style="12" customWidth="1"/>
    <col min="27" max="27" width="45.28515625" style="12" customWidth="1"/>
    <col min="28" max="28" width="55.140625" style="12" customWidth="1"/>
    <col min="29" max="29" width="18.85546875" style="12" customWidth="1"/>
    <col min="30" max="30" width="14" style="12" customWidth="1"/>
    <col min="31" max="31" width="17.42578125" style="12" customWidth="1"/>
    <col min="32" max="32" width="8.85546875" style="12" customWidth="1"/>
    <col min="33" max="33" width="24" style="12" bestFit="1" customWidth="1"/>
    <col min="34" max="38" width="8.85546875" style="12" customWidth="1"/>
    <col min="39" max="16384" width="8.85546875" style="12"/>
  </cols>
  <sheetData>
    <row r="1" spans="1:38" ht="15.75">
      <c r="A1" s="235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 ht="31.15" customHeight="1">
      <c r="A2" s="52" t="s">
        <v>3917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</row>
    <row r="3" spans="1:38" s="16" customFormat="1" ht="58.15" customHeight="1">
      <c r="A3" s="14" t="s">
        <v>3758</v>
      </c>
      <c r="B3" s="14" t="s">
        <v>3759</v>
      </c>
      <c r="C3" s="89" t="s">
        <v>1</v>
      </c>
      <c r="D3" s="89" t="s">
        <v>2</v>
      </c>
      <c r="E3" s="89" t="s">
        <v>3</v>
      </c>
      <c r="F3" s="89" t="s">
        <v>4</v>
      </c>
      <c r="G3" s="89" t="s">
        <v>3674</v>
      </c>
      <c r="H3" s="90" t="s">
        <v>3761</v>
      </c>
      <c r="I3" s="14" t="s">
        <v>7</v>
      </c>
      <c r="J3" s="91" t="s">
        <v>6</v>
      </c>
      <c r="K3" s="14" t="s">
        <v>3762</v>
      </c>
      <c r="L3" s="14" t="s">
        <v>9</v>
      </c>
      <c r="M3" s="14" t="s">
        <v>10</v>
      </c>
      <c r="N3" s="92" t="s">
        <v>11</v>
      </c>
      <c r="O3" s="14" t="s">
        <v>12</v>
      </c>
      <c r="P3" s="14" t="s">
        <v>13</v>
      </c>
      <c r="Q3" s="14" t="s">
        <v>14</v>
      </c>
      <c r="R3" s="14" t="s">
        <v>3763</v>
      </c>
      <c r="S3" s="93" t="s">
        <v>17</v>
      </c>
      <c r="T3" s="14" t="s">
        <v>3764</v>
      </c>
      <c r="U3" s="14" t="s">
        <v>18</v>
      </c>
      <c r="V3" s="14" t="s">
        <v>19</v>
      </c>
      <c r="W3" s="94" t="s">
        <v>20</v>
      </c>
      <c r="X3" s="14" t="s">
        <v>21</v>
      </c>
      <c r="Y3" s="14" t="s">
        <v>3765</v>
      </c>
      <c r="Z3" s="14" t="s">
        <v>3766</v>
      </c>
      <c r="AA3" s="14" t="s">
        <v>22</v>
      </c>
      <c r="AB3" s="14" t="s">
        <v>23</v>
      </c>
      <c r="AC3" s="14" t="s">
        <v>24</v>
      </c>
      <c r="AD3" s="14" t="s">
        <v>25</v>
      </c>
      <c r="AE3" s="14" t="s">
        <v>26</v>
      </c>
      <c r="AF3" s="14" t="s">
        <v>27</v>
      </c>
      <c r="AG3" s="14" t="s">
        <v>28</v>
      </c>
      <c r="AH3" s="14" t="s">
        <v>29</v>
      </c>
      <c r="AI3" s="14" t="s">
        <v>30</v>
      </c>
      <c r="AJ3" s="14" t="s">
        <v>31</v>
      </c>
      <c r="AK3" s="14" t="s">
        <v>32</v>
      </c>
      <c r="AL3" s="14" t="s">
        <v>33</v>
      </c>
    </row>
    <row r="4" spans="1:38" ht="30">
      <c r="A4" s="76">
        <v>1</v>
      </c>
      <c r="B4" s="88" t="s">
        <v>3767</v>
      </c>
      <c r="C4" s="76" t="s">
        <v>3768</v>
      </c>
      <c r="D4" s="76" t="s">
        <v>3768</v>
      </c>
      <c r="E4" s="76" t="s">
        <v>2432</v>
      </c>
      <c r="F4" s="76" t="s">
        <v>2904</v>
      </c>
      <c r="G4" s="76" t="s">
        <v>3769</v>
      </c>
      <c r="H4" s="76" t="s">
        <v>2389</v>
      </c>
      <c r="I4" s="76" t="s">
        <v>40</v>
      </c>
      <c r="J4" s="95" t="s">
        <v>3770</v>
      </c>
      <c r="K4" s="76" t="s">
        <v>2389</v>
      </c>
      <c r="L4" s="76" t="s">
        <v>42</v>
      </c>
      <c r="M4" s="76" t="s">
        <v>3771</v>
      </c>
      <c r="N4" s="95">
        <v>44866</v>
      </c>
      <c r="O4" s="76" t="s">
        <v>3772</v>
      </c>
      <c r="P4" s="76" t="s">
        <v>2347</v>
      </c>
      <c r="Q4" s="76" t="s">
        <v>3676</v>
      </c>
      <c r="R4" s="76">
        <v>9978047688</v>
      </c>
      <c r="S4" s="77">
        <v>101275388071</v>
      </c>
      <c r="T4" s="77">
        <v>24638</v>
      </c>
      <c r="U4" s="96" t="s">
        <v>3773</v>
      </c>
      <c r="V4" s="76" t="s">
        <v>3774</v>
      </c>
      <c r="W4" s="96" t="s">
        <v>3775</v>
      </c>
      <c r="X4" s="97" t="s">
        <v>3776</v>
      </c>
      <c r="Y4" s="76" t="s">
        <v>50</v>
      </c>
      <c r="Z4" s="76" t="s">
        <v>51</v>
      </c>
      <c r="AA4" s="76" t="s">
        <v>3777</v>
      </c>
      <c r="AB4" s="76" t="s">
        <v>3777</v>
      </c>
      <c r="AC4" s="88" t="s">
        <v>3767</v>
      </c>
      <c r="AD4" s="17"/>
      <c r="AE4" s="17"/>
      <c r="AF4" s="17"/>
      <c r="AG4" s="84" t="s">
        <v>6077</v>
      </c>
      <c r="AH4" s="17"/>
      <c r="AI4" s="17"/>
      <c r="AJ4" s="17"/>
      <c r="AK4" s="17"/>
      <c r="AL4" s="17"/>
    </row>
    <row r="5" spans="1:38" ht="45">
      <c r="A5" s="76">
        <v>2</v>
      </c>
      <c r="B5" s="88" t="s">
        <v>3778</v>
      </c>
      <c r="C5" s="76" t="s">
        <v>3779</v>
      </c>
      <c r="D5" s="76" t="s">
        <v>3780</v>
      </c>
      <c r="E5" s="76" t="s">
        <v>3781</v>
      </c>
      <c r="F5" s="76" t="s">
        <v>3782</v>
      </c>
      <c r="G5" s="76" t="s">
        <v>3783</v>
      </c>
      <c r="H5" s="76" t="s">
        <v>2389</v>
      </c>
      <c r="I5" s="76" t="s">
        <v>40</v>
      </c>
      <c r="J5" s="98" t="s">
        <v>3784</v>
      </c>
      <c r="K5" s="76" t="s">
        <v>3785</v>
      </c>
      <c r="L5" s="76" t="s">
        <v>42</v>
      </c>
      <c r="M5" s="76" t="s">
        <v>3786</v>
      </c>
      <c r="N5" s="95">
        <v>44866</v>
      </c>
      <c r="O5" s="76" t="s">
        <v>3787</v>
      </c>
      <c r="P5" s="76" t="s">
        <v>2347</v>
      </c>
      <c r="Q5" s="76" t="s">
        <v>3676</v>
      </c>
      <c r="R5" s="76">
        <v>9558805305</v>
      </c>
      <c r="S5" s="77">
        <v>101746285595</v>
      </c>
      <c r="T5" s="77">
        <v>24642</v>
      </c>
      <c r="U5" s="99" t="s">
        <v>3788</v>
      </c>
      <c r="V5" s="76" t="s">
        <v>3789</v>
      </c>
      <c r="W5" s="96" t="s">
        <v>3790</v>
      </c>
      <c r="X5" s="97" t="s">
        <v>3791</v>
      </c>
      <c r="Y5" s="76" t="s">
        <v>3792</v>
      </c>
      <c r="Z5" s="76" t="s">
        <v>146</v>
      </c>
      <c r="AA5" s="76" t="s">
        <v>3793</v>
      </c>
      <c r="AB5" s="76" t="s">
        <v>3793</v>
      </c>
      <c r="AC5" s="88" t="s">
        <v>3778</v>
      </c>
      <c r="AD5" s="17"/>
      <c r="AE5" s="17"/>
      <c r="AF5" s="17"/>
      <c r="AG5" s="84" t="s">
        <v>6113</v>
      </c>
      <c r="AH5" s="17"/>
      <c r="AI5" s="17"/>
      <c r="AJ5" s="17"/>
      <c r="AK5" s="17"/>
      <c r="AL5" s="17"/>
    </row>
    <row r="6" spans="1:38" ht="45">
      <c r="A6" s="76">
        <v>3</v>
      </c>
      <c r="B6" s="88" t="s">
        <v>3794</v>
      </c>
      <c r="C6" s="76" t="s">
        <v>3795</v>
      </c>
      <c r="D6" s="76" t="s">
        <v>3796</v>
      </c>
      <c r="E6" s="76" t="s">
        <v>3781</v>
      </c>
      <c r="F6" s="76" t="s">
        <v>3796</v>
      </c>
      <c r="G6" s="76" t="s">
        <v>3797</v>
      </c>
      <c r="H6" s="76" t="s">
        <v>2345</v>
      </c>
      <c r="I6" s="76" t="s">
        <v>40</v>
      </c>
      <c r="J6" s="98" t="s">
        <v>3798</v>
      </c>
      <c r="K6" s="76" t="s">
        <v>3785</v>
      </c>
      <c r="L6" s="76" t="s">
        <v>42</v>
      </c>
      <c r="M6" s="76" t="s">
        <v>3786</v>
      </c>
      <c r="N6" s="95">
        <v>44866</v>
      </c>
      <c r="O6" s="76" t="s">
        <v>3787</v>
      </c>
      <c r="P6" s="76" t="s">
        <v>2347</v>
      </c>
      <c r="Q6" s="76" t="s">
        <v>3676</v>
      </c>
      <c r="R6" s="76">
        <v>7055455286</v>
      </c>
      <c r="S6" s="77">
        <v>101792808462</v>
      </c>
      <c r="T6" s="77">
        <v>24643</v>
      </c>
      <c r="U6" s="96" t="s">
        <v>3799</v>
      </c>
      <c r="V6" s="76" t="s">
        <v>3800</v>
      </c>
      <c r="W6" s="96" t="s">
        <v>3801</v>
      </c>
      <c r="X6" s="97" t="s">
        <v>3802</v>
      </c>
      <c r="Y6" s="76" t="s">
        <v>3803</v>
      </c>
      <c r="Z6" s="76" t="s">
        <v>65</v>
      </c>
      <c r="AA6" s="76" t="s">
        <v>3804</v>
      </c>
      <c r="AB6" s="76" t="s">
        <v>3804</v>
      </c>
      <c r="AC6" s="88" t="s">
        <v>3794</v>
      </c>
      <c r="AD6" s="17"/>
      <c r="AE6" s="17"/>
      <c r="AF6" s="17"/>
      <c r="AG6" s="84" t="s">
        <v>6057</v>
      </c>
      <c r="AH6" s="17"/>
      <c r="AI6" s="17"/>
      <c r="AJ6" s="17"/>
      <c r="AK6" s="17"/>
      <c r="AL6" s="17"/>
    </row>
    <row r="7" spans="1:38" ht="30">
      <c r="A7" s="76">
        <v>4</v>
      </c>
      <c r="B7" s="88" t="s">
        <v>3805</v>
      </c>
      <c r="C7" s="76" t="s">
        <v>3806</v>
      </c>
      <c r="D7" s="76" t="s">
        <v>3806</v>
      </c>
      <c r="E7" s="76" t="s">
        <v>3807</v>
      </c>
      <c r="F7" s="76" t="s">
        <v>3808</v>
      </c>
      <c r="G7" s="76" t="s">
        <v>3809</v>
      </c>
      <c r="H7" s="76" t="s">
        <v>2345</v>
      </c>
      <c r="I7" s="76" t="s">
        <v>40</v>
      </c>
      <c r="J7" s="98" t="s">
        <v>3810</v>
      </c>
      <c r="K7" s="76" t="s">
        <v>3785</v>
      </c>
      <c r="L7" s="76" t="s">
        <v>42</v>
      </c>
      <c r="M7" s="76" t="s">
        <v>3811</v>
      </c>
      <c r="N7" s="95">
        <v>44866</v>
      </c>
      <c r="O7" s="76" t="s">
        <v>2621</v>
      </c>
      <c r="P7" s="76" t="s">
        <v>2347</v>
      </c>
      <c r="Q7" s="76" t="s">
        <v>3676</v>
      </c>
      <c r="R7" s="76">
        <v>8200641212</v>
      </c>
      <c r="S7" s="77">
        <v>101742424054</v>
      </c>
      <c r="T7" s="77">
        <v>24641</v>
      </c>
      <c r="U7" s="99" t="s">
        <v>3812</v>
      </c>
      <c r="V7" s="76" t="s">
        <v>3813</v>
      </c>
      <c r="W7" s="96" t="s">
        <v>3814</v>
      </c>
      <c r="X7" s="97" t="s">
        <v>3815</v>
      </c>
      <c r="Y7" s="76" t="s">
        <v>3816</v>
      </c>
      <c r="Z7" s="76" t="s">
        <v>326</v>
      </c>
      <c r="AA7" s="76" t="s">
        <v>3817</v>
      </c>
      <c r="AB7" s="76" t="s">
        <v>3817</v>
      </c>
      <c r="AC7" s="88" t="s">
        <v>3805</v>
      </c>
      <c r="AD7" s="17"/>
      <c r="AE7" s="17"/>
      <c r="AF7" s="17"/>
      <c r="AG7" s="84" t="s">
        <v>6058</v>
      </c>
      <c r="AH7" s="17"/>
      <c r="AI7" s="17"/>
      <c r="AJ7" s="17"/>
      <c r="AK7" s="17"/>
      <c r="AL7" s="17"/>
    </row>
    <row r="8" spans="1:38" ht="60">
      <c r="A8" s="76">
        <v>6</v>
      </c>
      <c r="B8" s="88" t="s">
        <v>3818</v>
      </c>
      <c r="C8" s="76" t="s">
        <v>3819</v>
      </c>
      <c r="D8" s="76" t="s">
        <v>3819</v>
      </c>
      <c r="E8" s="76" t="s">
        <v>808</v>
      </c>
      <c r="F8" s="76" t="s">
        <v>3820</v>
      </c>
      <c r="G8" s="76" t="s">
        <v>3821</v>
      </c>
      <c r="H8" s="76" t="s">
        <v>2345</v>
      </c>
      <c r="I8" s="76" t="s">
        <v>40</v>
      </c>
      <c r="J8" s="98" t="s">
        <v>3822</v>
      </c>
      <c r="K8" s="76" t="s">
        <v>3785</v>
      </c>
      <c r="L8" s="76" t="s">
        <v>42</v>
      </c>
      <c r="M8" s="76" t="s">
        <v>3823</v>
      </c>
      <c r="N8" s="95">
        <v>44866</v>
      </c>
      <c r="O8" s="76" t="s">
        <v>44</v>
      </c>
      <c r="P8" s="76" t="s">
        <v>2347</v>
      </c>
      <c r="Q8" s="76" t="s">
        <v>3676</v>
      </c>
      <c r="R8" s="76">
        <v>7228910280</v>
      </c>
      <c r="S8" s="77">
        <v>101405365152</v>
      </c>
      <c r="T8" s="77">
        <v>24655</v>
      </c>
      <c r="U8" s="99" t="s">
        <v>3824</v>
      </c>
      <c r="V8" s="76" t="s">
        <v>3825</v>
      </c>
      <c r="W8" s="96" t="s">
        <v>3826</v>
      </c>
      <c r="X8" s="97" t="s">
        <v>3827</v>
      </c>
      <c r="Y8" s="76" t="s">
        <v>3651</v>
      </c>
      <c r="Z8" s="76" t="s">
        <v>65</v>
      </c>
      <c r="AA8" s="76" t="s">
        <v>3828</v>
      </c>
      <c r="AB8" s="76" t="s">
        <v>3828</v>
      </c>
      <c r="AC8" s="88" t="s">
        <v>3818</v>
      </c>
      <c r="AD8" s="17"/>
      <c r="AE8" s="17"/>
      <c r="AF8" s="17"/>
      <c r="AG8" s="84" t="s">
        <v>6060</v>
      </c>
      <c r="AH8" s="17"/>
      <c r="AI8" s="17"/>
      <c r="AJ8" s="17"/>
      <c r="AK8" s="17"/>
      <c r="AL8" s="17"/>
    </row>
    <row r="9" spans="1:38" ht="30">
      <c r="A9" s="76">
        <v>7</v>
      </c>
      <c r="B9" s="88" t="s">
        <v>3829</v>
      </c>
      <c r="C9" s="76" t="s">
        <v>3830</v>
      </c>
      <c r="D9" s="76" t="s">
        <v>3830</v>
      </c>
      <c r="E9" s="76" t="s">
        <v>3831</v>
      </c>
      <c r="F9" s="76" t="s">
        <v>3832</v>
      </c>
      <c r="G9" s="76" t="s">
        <v>810</v>
      </c>
      <c r="H9" s="76" t="s">
        <v>2345</v>
      </c>
      <c r="I9" s="76" t="s">
        <v>40</v>
      </c>
      <c r="J9" s="98" t="s">
        <v>3833</v>
      </c>
      <c r="K9" s="76" t="s">
        <v>3785</v>
      </c>
      <c r="L9" s="76" t="s">
        <v>42</v>
      </c>
      <c r="M9" s="76" t="s">
        <v>3834</v>
      </c>
      <c r="N9" s="95">
        <v>44866</v>
      </c>
      <c r="O9" s="76" t="s">
        <v>44</v>
      </c>
      <c r="P9" s="76" t="s">
        <v>2347</v>
      </c>
      <c r="Q9" s="76" t="s">
        <v>3676</v>
      </c>
      <c r="R9" s="76">
        <v>9510326426</v>
      </c>
      <c r="S9" s="77">
        <v>101482541278</v>
      </c>
      <c r="T9" s="77">
        <v>24650</v>
      </c>
      <c r="U9" s="99" t="s">
        <v>3835</v>
      </c>
      <c r="V9" s="76" t="s">
        <v>3836</v>
      </c>
      <c r="W9" s="96" t="s">
        <v>3837</v>
      </c>
      <c r="X9" s="97" t="s">
        <v>3838</v>
      </c>
      <c r="Y9" s="76" t="s">
        <v>3651</v>
      </c>
      <c r="Z9" s="76" t="s">
        <v>65</v>
      </c>
      <c r="AA9" s="76" t="s">
        <v>3839</v>
      </c>
      <c r="AB9" s="76" t="s">
        <v>3839</v>
      </c>
      <c r="AC9" s="88" t="s">
        <v>3829</v>
      </c>
      <c r="AD9" s="17"/>
      <c r="AE9" s="17"/>
      <c r="AF9" s="17"/>
      <c r="AG9" s="84" t="s">
        <v>6061</v>
      </c>
      <c r="AH9" s="17"/>
      <c r="AI9" s="17"/>
      <c r="AJ9" s="17"/>
      <c r="AK9" s="17"/>
      <c r="AL9" s="17"/>
    </row>
    <row r="10" spans="1:38" ht="60">
      <c r="A10" s="76">
        <v>8</v>
      </c>
      <c r="B10" s="88" t="s">
        <v>3840</v>
      </c>
      <c r="C10" s="76" t="s">
        <v>3841</v>
      </c>
      <c r="D10" s="76" t="s">
        <v>3841</v>
      </c>
      <c r="E10" s="76" t="s">
        <v>291</v>
      </c>
      <c r="F10" s="76" t="s">
        <v>3842</v>
      </c>
      <c r="G10" s="76" t="s">
        <v>3843</v>
      </c>
      <c r="H10" s="76" t="s">
        <v>2345</v>
      </c>
      <c r="I10" s="76" t="s">
        <v>40</v>
      </c>
      <c r="J10" s="98" t="s">
        <v>3844</v>
      </c>
      <c r="K10" s="76" t="s">
        <v>3785</v>
      </c>
      <c r="L10" s="76" t="s">
        <v>42</v>
      </c>
      <c r="M10" s="76" t="s">
        <v>3823</v>
      </c>
      <c r="N10" s="95">
        <v>44866</v>
      </c>
      <c r="O10" s="76" t="s">
        <v>44</v>
      </c>
      <c r="P10" s="76" t="s">
        <v>2347</v>
      </c>
      <c r="Q10" s="76" t="s">
        <v>3676</v>
      </c>
      <c r="R10" s="76">
        <v>9429009493</v>
      </c>
      <c r="S10" s="77">
        <v>101738251503</v>
      </c>
      <c r="T10" s="77">
        <v>24648</v>
      </c>
      <c r="U10" s="96" t="s">
        <v>3845</v>
      </c>
      <c r="V10" s="76" t="s">
        <v>3846</v>
      </c>
      <c r="W10" s="96" t="s">
        <v>3847</v>
      </c>
      <c r="X10" s="97" t="s">
        <v>3848</v>
      </c>
      <c r="Y10" s="76" t="s">
        <v>3651</v>
      </c>
      <c r="Z10" s="76" t="s">
        <v>65</v>
      </c>
      <c r="AA10" s="76" t="s">
        <v>3849</v>
      </c>
      <c r="AB10" s="76" t="s">
        <v>3849</v>
      </c>
      <c r="AC10" s="88" t="s">
        <v>3840</v>
      </c>
      <c r="AD10" s="17"/>
      <c r="AE10" s="17"/>
      <c r="AF10" s="17"/>
      <c r="AG10" s="84" t="s">
        <v>6062</v>
      </c>
      <c r="AH10" s="17"/>
      <c r="AI10" s="17"/>
      <c r="AJ10" s="17"/>
      <c r="AK10" s="17"/>
      <c r="AL10" s="17"/>
    </row>
    <row r="11" spans="1:38" ht="60">
      <c r="A11" s="76">
        <v>9</v>
      </c>
      <c r="B11" s="88" t="s">
        <v>3850</v>
      </c>
      <c r="C11" s="76" t="s">
        <v>3851</v>
      </c>
      <c r="D11" s="76" t="s">
        <v>3851</v>
      </c>
      <c r="E11" s="76" t="s">
        <v>3852</v>
      </c>
      <c r="F11" s="76" t="s">
        <v>1666</v>
      </c>
      <c r="G11" s="76" t="s">
        <v>3853</v>
      </c>
      <c r="H11" s="76" t="s">
        <v>2345</v>
      </c>
      <c r="I11" s="76" t="s">
        <v>40</v>
      </c>
      <c r="J11" s="98" t="s">
        <v>3854</v>
      </c>
      <c r="K11" s="76" t="s">
        <v>3785</v>
      </c>
      <c r="L11" s="76" t="s">
        <v>42</v>
      </c>
      <c r="M11" s="76" t="s">
        <v>3823</v>
      </c>
      <c r="N11" s="95">
        <v>44866</v>
      </c>
      <c r="O11" s="76" t="s">
        <v>44</v>
      </c>
      <c r="P11" s="76" t="s">
        <v>2347</v>
      </c>
      <c r="Q11" s="76" t="s">
        <v>3676</v>
      </c>
      <c r="R11" s="76">
        <v>8320207904</v>
      </c>
      <c r="S11" s="77">
        <v>101728846928</v>
      </c>
      <c r="T11" s="77">
        <v>24647</v>
      </c>
      <c r="U11" s="99" t="s">
        <v>3855</v>
      </c>
      <c r="V11" s="76" t="s">
        <v>3856</v>
      </c>
      <c r="W11" s="96" t="s">
        <v>3857</v>
      </c>
      <c r="X11" s="97" t="s">
        <v>3858</v>
      </c>
      <c r="Y11" s="76" t="s">
        <v>3482</v>
      </c>
      <c r="Z11" s="76" t="s">
        <v>65</v>
      </c>
      <c r="AA11" s="76" t="s">
        <v>3859</v>
      </c>
      <c r="AB11" s="76" t="s">
        <v>3859</v>
      </c>
      <c r="AC11" s="88" t="s">
        <v>3850</v>
      </c>
      <c r="AD11" s="17"/>
      <c r="AE11" s="17"/>
      <c r="AF11" s="17"/>
      <c r="AG11" s="84" t="s">
        <v>6063</v>
      </c>
      <c r="AH11" s="17"/>
      <c r="AI11" s="17"/>
      <c r="AJ11" s="17"/>
      <c r="AK11" s="17"/>
      <c r="AL11" s="17"/>
    </row>
    <row r="12" spans="1:38" ht="30">
      <c r="A12" s="76">
        <v>10</v>
      </c>
      <c r="B12" s="88" t="s">
        <v>3860</v>
      </c>
      <c r="C12" s="76" t="s">
        <v>3861</v>
      </c>
      <c r="D12" s="76" t="s">
        <v>3861</v>
      </c>
      <c r="E12" s="76" t="s">
        <v>3862</v>
      </c>
      <c r="F12" s="76" t="s">
        <v>3863</v>
      </c>
      <c r="G12" s="76" t="s">
        <v>3864</v>
      </c>
      <c r="H12" s="76" t="s">
        <v>2389</v>
      </c>
      <c r="I12" s="76" t="s">
        <v>40</v>
      </c>
      <c r="J12" s="98" t="s">
        <v>3865</v>
      </c>
      <c r="K12" s="76" t="s">
        <v>2389</v>
      </c>
      <c r="L12" s="76" t="s">
        <v>42</v>
      </c>
      <c r="M12" s="76" t="s">
        <v>3866</v>
      </c>
      <c r="N12" s="95">
        <v>44866</v>
      </c>
      <c r="O12" s="76" t="s">
        <v>3772</v>
      </c>
      <c r="P12" s="76" t="s">
        <v>2347</v>
      </c>
      <c r="Q12" s="76" t="s">
        <v>3676</v>
      </c>
      <c r="R12" s="76">
        <v>9624655760</v>
      </c>
      <c r="S12" s="77">
        <v>101711446676</v>
      </c>
      <c r="T12" s="77">
        <v>24637</v>
      </c>
      <c r="U12" s="99" t="s">
        <v>3867</v>
      </c>
      <c r="V12" s="76" t="s">
        <v>3868</v>
      </c>
      <c r="W12" s="96" t="s">
        <v>3869</v>
      </c>
      <c r="X12" s="97" t="s">
        <v>3870</v>
      </c>
      <c r="Y12" s="76" t="s">
        <v>3871</v>
      </c>
      <c r="Z12" s="76" t="s">
        <v>65</v>
      </c>
      <c r="AA12" s="76" t="s">
        <v>3872</v>
      </c>
      <c r="AB12" s="76" t="s">
        <v>3872</v>
      </c>
      <c r="AC12" s="88" t="s">
        <v>3860</v>
      </c>
      <c r="AD12" s="17"/>
      <c r="AE12" s="17"/>
      <c r="AF12" s="17"/>
      <c r="AG12" s="84" t="s">
        <v>6078</v>
      </c>
      <c r="AH12" s="17"/>
      <c r="AI12" s="17"/>
      <c r="AJ12" s="17"/>
      <c r="AK12" s="17"/>
      <c r="AL12" s="17"/>
    </row>
    <row r="13" spans="1:38" ht="30">
      <c r="A13" s="76">
        <v>12</v>
      </c>
      <c r="B13" s="88" t="s">
        <v>3873</v>
      </c>
      <c r="C13" s="76" t="s">
        <v>3874</v>
      </c>
      <c r="D13" s="76" t="s">
        <v>3875</v>
      </c>
      <c r="E13" s="76" t="s">
        <v>3876</v>
      </c>
      <c r="F13" s="76" t="s">
        <v>3877</v>
      </c>
      <c r="G13" s="76" t="s">
        <v>1469</v>
      </c>
      <c r="H13" s="76" t="s">
        <v>2389</v>
      </c>
      <c r="I13" s="76" t="s">
        <v>40</v>
      </c>
      <c r="J13" s="98" t="s">
        <v>3878</v>
      </c>
      <c r="K13" s="76" t="s">
        <v>3785</v>
      </c>
      <c r="L13" s="76" t="s">
        <v>42</v>
      </c>
      <c r="M13" s="76" t="s">
        <v>3879</v>
      </c>
      <c r="N13" s="95">
        <v>44866</v>
      </c>
      <c r="O13" s="76" t="s">
        <v>3880</v>
      </c>
      <c r="P13" s="76" t="s">
        <v>2347</v>
      </c>
      <c r="Q13" s="76" t="s">
        <v>3676</v>
      </c>
      <c r="R13" s="76" t="s">
        <v>3881</v>
      </c>
      <c r="S13" s="77" t="s">
        <v>3882</v>
      </c>
      <c r="T13" s="77">
        <v>25911</v>
      </c>
      <c r="U13" s="96" t="s">
        <v>3883</v>
      </c>
      <c r="V13" s="76" t="s">
        <v>3884</v>
      </c>
      <c r="W13" s="96" t="s">
        <v>3885</v>
      </c>
      <c r="X13" s="96" t="s">
        <v>3886</v>
      </c>
      <c r="Y13" s="76" t="s">
        <v>3887</v>
      </c>
      <c r="Z13" s="76" t="s">
        <v>132</v>
      </c>
      <c r="AA13" s="76" t="s">
        <v>3888</v>
      </c>
      <c r="AB13" s="76" t="s">
        <v>3888</v>
      </c>
      <c r="AC13" s="88" t="s">
        <v>3873</v>
      </c>
      <c r="AD13" s="17"/>
      <c r="AE13" s="17"/>
      <c r="AF13" s="17"/>
      <c r="AG13" s="84" t="s">
        <v>6056</v>
      </c>
      <c r="AH13" s="17"/>
      <c r="AI13" s="17"/>
      <c r="AJ13" s="17"/>
      <c r="AK13" s="17"/>
      <c r="AL13" s="17"/>
    </row>
    <row r="14" spans="1:38" ht="30">
      <c r="A14" s="76">
        <v>13</v>
      </c>
      <c r="B14" s="88" t="s">
        <v>3889</v>
      </c>
      <c r="C14" s="76" t="s">
        <v>3890</v>
      </c>
      <c r="D14" s="76" t="s">
        <v>3891</v>
      </c>
      <c r="E14" s="76" t="s">
        <v>3892</v>
      </c>
      <c r="F14" s="76" t="s">
        <v>3893</v>
      </c>
      <c r="G14" s="76" t="s">
        <v>3894</v>
      </c>
      <c r="H14" s="76" t="s">
        <v>2389</v>
      </c>
      <c r="I14" s="76" t="s">
        <v>40</v>
      </c>
      <c r="J14" s="98" t="s">
        <v>3895</v>
      </c>
      <c r="K14" s="76" t="s">
        <v>3785</v>
      </c>
      <c r="L14" s="76" t="s">
        <v>42</v>
      </c>
      <c r="M14" s="76" t="s">
        <v>3896</v>
      </c>
      <c r="N14" s="95">
        <v>44866</v>
      </c>
      <c r="O14" s="76" t="s">
        <v>3787</v>
      </c>
      <c r="P14" s="76" t="s">
        <v>2347</v>
      </c>
      <c r="Q14" s="76" t="s">
        <v>3676</v>
      </c>
      <c r="R14" s="76">
        <v>9322163914</v>
      </c>
      <c r="S14" s="77" t="s">
        <v>3897</v>
      </c>
      <c r="T14" s="77">
        <v>27152</v>
      </c>
      <c r="U14" s="96" t="s">
        <v>3898</v>
      </c>
      <c r="V14" s="76" t="s">
        <v>3899</v>
      </c>
      <c r="W14" s="96" t="s">
        <v>3900</v>
      </c>
      <c r="X14" s="96" t="s">
        <v>3901</v>
      </c>
      <c r="Y14" s="76" t="s">
        <v>3902</v>
      </c>
      <c r="Z14" s="76" t="s">
        <v>1548</v>
      </c>
      <c r="AA14" s="76" t="s">
        <v>3903</v>
      </c>
      <c r="AB14" s="76" t="s">
        <v>3903</v>
      </c>
      <c r="AC14" s="88" t="s">
        <v>3889</v>
      </c>
      <c r="AD14" s="17"/>
      <c r="AE14" s="17"/>
      <c r="AF14" s="17"/>
      <c r="AG14" s="84" t="s">
        <v>6079</v>
      </c>
      <c r="AH14" s="17"/>
      <c r="AI14" s="17"/>
      <c r="AJ14" s="17"/>
      <c r="AK14" s="17"/>
      <c r="AL14" s="17"/>
    </row>
    <row r="15" spans="1:38" ht="30">
      <c r="A15" s="76">
        <v>14</v>
      </c>
      <c r="B15" s="88" t="s">
        <v>3904</v>
      </c>
      <c r="C15" s="76" t="s">
        <v>3905</v>
      </c>
      <c r="D15" s="76" t="s">
        <v>3905</v>
      </c>
      <c r="E15" s="76" t="s">
        <v>3906</v>
      </c>
      <c r="F15" s="76" t="s">
        <v>464</v>
      </c>
      <c r="G15" s="76" t="s">
        <v>3907</v>
      </c>
      <c r="H15" s="76" t="s">
        <v>2345</v>
      </c>
      <c r="I15" s="76" t="s">
        <v>40</v>
      </c>
      <c r="J15" s="98" t="s">
        <v>3908</v>
      </c>
      <c r="K15" s="76" t="s">
        <v>3909</v>
      </c>
      <c r="L15" s="76" t="s">
        <v>42</v>
      </c>
      <c r="M15" s="76" t="s">
        <v>4016</v>
      </c>
      <c r="N15" s="95">
        <v>44866</v>
      </c>
      <c r="O15" s="76" t="s">
        <v>44</v>
      </c>
      <c r="P15" s="76" t="s">
        <v>2347</v>
      </c>
      <c r="Q15" s="76" t="s">
        <v>3676</v>
      </c>
      <c r="R15" s="76" t="s">
        <v>3910</v>
      </c>
      <c r="S15" s="77">
        <v>101711802623</v>
      </c>
      <c r="T15" s="77">
        <v>28051</v>
      </c>
      <c r="U15" s="96" t="s">
        <v>3911</v>
      </c>
      <c r="V15" s="76" t="s">
        <v>3912</v>
      </c>
      <c r="W15" s="96" t="s">
        <v>3913</v>
      </c>
      <c r="X15" s="96" t="s">
        <v>3914</v>
      </c>
      <c r="Y15" s="76" t="s">
        <v>3915</v>
      </c>
      <c r="Z15" s="76" t="s">
        <v>65</v>
      </c>
      <c r="AA15" s="76" t="s">
        <v>3916</v>
      </c>
      <c r="AB15" s="76" t="s">
        <v>3916</v>
      </c>
      <c r="AC15" s="88" t="s">
        <v>3904</v>
      </c>
      <c r="AD15" s="17"/>
      <c r="AE15" s="17"/>
      <c r="AF15" s="17"/>
      <c r="AG15" s="84" t="s">
        <v>6059</v>
      </c>
      <c r="AH15" s="17"/>
      <c r="AI15" s="17"/>
      <c r="AJ15" s="17"/>
      <c r="AK15" s="17"/>
      <c r="AL15" s="17"/>
    </row>
    <row r="16" spans="1:38" ht="30">
      <c r="A16" s="76">
        <v>17</v>
      </c>
      <c r="B16" s="88" t="s">
        <v>6038</v>
      </c>
      <c r="C16" s="76" t="s">
        <v>4345</v>
      </c>
      <c r="D16" s="76" t="s">
        <v>4345</v>
      </c>
      <c r="E16" s="76" t="s">
        <v>70</v>
      </c>
      <c r="F16" s="76" t="s">
        <v>3699</v>
      </c>
      <c r="G16" s="76" t="s">
        <v>4346</v>
      </c>
      <c r="H16" s="76" t="s">
        <v>2345</v>
      </c>
      <c r="I16" s="76" t="s">
        <v>40</v>
      </c>
      <c r="J16" s="100">
        <v>34359</v>
      </c>
      <c r="K16" s="76" t="s">
        <v>2389</v>
      </c>
      <c r="L16" s="76" t="s">
        <v>42</v>
      </c>
      <c r="M16" s="76" t="s">
        <v>4016</v>
      </c>
      <c r="N16" s="100">
        <v>44866</v>
      </c>
      <c r="O16" s="76" t="s">
        <v>44</v>
      </c>
      <c r="P16" s="76" t="s">
        <v>2347</v>
      </c>
      <c r="Q16" s="76" t="s">
        <v>3676</v>
      </c>
      <c r="R16" s="76">
        <v>9714702943</v>
      </c>
      <c r="S16" s="77">
        <v>101020467704</v>
      </c>
      <c r="T16" s="76">
        <v>28793</v>
      </c>
      <c r="U16" s="76">
        <v>3713864660</v>
      </c>
      <c r="V16" s="76" t="s">
        <v>4347</v>
      </c>
      <c r="W16" s="76" t="s">
        <v>4348</v>
      </c>
      <c r="X16" s="76">
        <v>33379748756</v>
      </c>
      <c r="Y16" s="76" t="s">
        <v>4349</v>
      </c>
      <c r="Z16" s="76" t="s">
        <v>65</v>
      </c>
      <c r="AA16" s="76" t="s">
        <v>4350</v>
      </c>
      <c r="AB16" s="76" t="s">
        <v>4350</v>
      </c>
      <c r="AC16" s="88" t="s">
        <v>6038</v>
      </c>
      <c r="AD16" s="17"/>
      <c r="AE16" s="17"/>
      <c r="AF16" s="17"/>
      <c r="AG16" s="84" t="s">
        <v>6064</v>
      </c>
      <c r="AH16" s="17"/>
      <c r="AI16" s="17"/>
      <c r="AJ16" s="17"/>
      <c r="AK16" s="17"/>
      <c r="AL16" s="17"/>
    </row>
    <row r="17" spans="1:38" ht="30">
      <c r="A17" s="76">
        <v>18</v>
      </c>
      <c r="B17" s="88" t="s">
        <v>6039</v>
      </c>
      <c r="C17" s="76" t="s">
        <v>6040</v>
      </c>
      <c r="D17" s="76" t="s">
        <v>6040</v>
      </c>
      <c r="E17" s="76" t="s">
        <v>6041</v>
      </c>
      <c r="F17" s="76" t="s">
        <v>6042</v>
      </c>
      <c r="G17" s="76" t="s">
        <v>6043</v>
      </c>
      <c r="H17" s="76" t="s">
        <v>2389</v>
      </c>
      <c r="I17" s="76" t="s">
        <v>40</v>
      </c>
      <c r="J17" s="100">
        <v>33786</v>
      </c>
      <c r="K17" s="76" t="s">
        <v>3785</v>
      </c>
      <c r="L17" s="76" t="s">
        <v>42</v>
      </c>
      <c r="M17" s="76" t="s">
        <v>6044</v>
      </c>
      <c r="N17" s="100">
        <v>45027</v>
      </c>
      <c r="O17" s="76" t="s">
        <v>3787</v>
      </c>
      <c r="P17" s="76" t="s">
        <v>2347</v>
      </c>
      <c r="Q17" s="76" t="s">
        <v>3676</v>
      </c>
      <c r="R17" s="76">
        <v>7983649485</v>
      </c>
      <c r="S17" s="77">
        <v>101934468653</v>
      </c>
      <c r="T17" s="76">
        <v>28969</v>
      </c>
      <c r="U17" s="76">
        <v>3714785952</v>
      </c>
      <c r="V17" s="76" t="s">
        <v>3727</v>
      </c>
      <c r="W17" s="99" t="s">
        <v>6045</v>
      </c>
      <c r="X17" s="99" t="s">
        <v>6046</v>
      </c>
      <c r="Y17" s="76" t="s">
        <v>6047</v>
      </c>
      <c r="Z17" s="76" t="s">
        <v>677</v>
      </c>
      <c r="AA17" s="76" t="s">
        <v>6048</v>
      </c>
      <c r="AB17" s="76" t="s">
        <v>6048</v>
      </c>
      <c r="AC17" s="88" t="s">
        <v>6039</v>
      </c>
      <c r="AD17" s="17"/>
      <c r="AE17" s="17"/>
      <c r="AF17" s="17"/>
      <c r="AG17" s="85"/>
      <c r="AH17" s="17"/>
      <c r="AI17" s="17"/>
      <c r="AJ17" s="17"/>
      <c r="AK17" s="17"/>
      <c r="AL17" s="17"/>
    </row>
    <row r="18" spans="1:38" ht="30">
      <c r="A18" s="76">
        <v>19</v>
      </c>
      <c r="B18" s="88" t="s">
        <v>6049</v>
      </c>
      <c r="C18" s="76" t="s">
        <v>6050</v>
      </c>
      <c r="D18" s="76" t="s">
        <v>6050</v>
      </c>
      <c r="E18" s="76" t="s">
        <v>2421</v>
      </c>
      <c r="F18" s="76" t="s">
        <v>6051</v>
      </c>
      <c r="G18" s="76" t="s">
        <v>6052</v>
      </c>
      <c r="H18" s="76" t="s">
        <v>2345</v>
      </c>
      <c r="I18" s="76" t="s">
        <v>40</v>
      </c>
      <c r="J18" s="100">
        <v>36789</v>
      </c>
      <c r="K18" s="76" t="s">
        <v>3785</v>
      </c>
      <c r="L18" s="76" t="s">
        <v>42</v>
      </c>
      <c r="M18" s="76" t="s">
        <v>4016</v>
      </c>
      <c r="N18" s="100">
        <v>45044</v>
      </c>
      <c r="O18" s="76" t="s">
        <v>44</v>
      </c>
      <c r="P18" s="76" t="s">
        <v>2347</v>
      </c>
      <c r="Q18" s="76" t="s">
        <v>3676</v>
      </c>
      <c r="R18" s="76">
        <v>9265844932</v>
      </c>
      <c r="S18" s="77">
        <v>101939845791</v>
      </c>
      <c r="T18" s="76">
        <v>29044</v>
      </c>
      <c r="U18" s="76">
        <v>3714823234</v>
      </c>
      <c r="V18" s="76" t="s">
        <v>6053</v>
      </c>
      <c r="W18" s="99" t="s">
        <v>6054</v>
      </c>
      <c r="X18" s="76">
        <v>38139436186</v>
      </c>
      <c r="Y18" s="76" t="s">
        <v>3651</v>
      </c>
      <c r="Z18" s="76" t="s">
        <v>65</v>
      </c>
      <c r="AA18" s="76" t="s">
        <v>6055</v>
      </c>
      <c r="AB18" s="76" t="s">
        <v>6055</v>
      </c>
      <c r="AC18" s="88" t="s">
        <v>6049</v>
      </c>
      <c r="AD18" s="17"/>
      <c r="AE18" s="17"/>
      <c r="AF18" s="17"/>
      <c r="AG18" s="84" t="s">
        <v>6065</v>
      </c>
      <c r="AH18" s="17"/>
      <c r="AI18" s="17"/>
      <c r="AJ18" s="17"/>
      <c r="AK18" s="17"/>
      <c r="AL18" s="17"/>
    </row>
    <row r="19" spans="1:38" ht="30">
      <c r="A19" s="22">
        <v>20</v>
      </c>
      <c r="C19" s="12" t="s">
        <v>6713</v>
      </c>
      <c r="D19" s="12" t="s">
        <v>6713</v>
      </c>
      <c r="E19" s="12" t="s">
        <v>6714</v>
      </c>
      <c r="F19" s="12" t="s">
        <v>6715</v>
      </c>
      <c r="G19" s="12" t="s">
        <v>6716</v>
      </c>
      <c r="H19" s="12" t="s">
        <v>2389</v>
      </c>
      <c r="I19" s="12" t="s">
        <v>40</v>
      </c>
      <c r="J19" s="75">
        <v>35531</v>
      </c>
      <c r="K19" s="12" t="s">
        <v>2389</v>
      </c>
      <c r="L19" s="12" t="s">
        <v>42</v>
      </c>
      <c r="M19" s="76" t="s">
        <v>6044</v>
      </c>
      <c r="N19" s="75"/>
      <c r="O19" s="76" t="s">
        <v>3787</v>
      </c>
      <c r="P19" s="12" t="s">
        <v>2347</v>
      </c>
      <c r="Q19" s="12" t="s">
        <v>3676</v>
      </c>
      <c r="R19" s="12">
        <v>8804174630</v>
      </c>
      <c r="V19" s="12" t="s">
        <v>6717</v>
      </c>
      <c r="W19" s="12">
        <v>564299486087</v>
      </c>
      <c r="X19" s="12">
        <v>1572000100093330</v>
      </c>
      <c r="Y19" s="12" t="s">
        <v>6718</v>
      </c>
      <c r="Z19" s="12" t="s">
        <v>677</v>
      </c>
      <c r="AA19" s="12" t="s">
        <v>6719</v>
      </c>
      <c r="AB19" s="12" t="s">
        <v>6719</v>
      </c>
    </row>
    <row r="20" spans="1:38">
      <c r="J20" s="75"/>
      <c r="N20" s="75"/>
    </row>
    <row r="21" spans="1:38">
      <c r="J21" s="75"/>
      <c r="N21" s="75"/>
    </row>
  </sheetData>
  <autoFilter ref="A3:AL18">
    <filterColumn colId="8"/>
  </autoFilter>
  <mergeCells count="1">
    <mergeCell ref="A1:M1"/>
  </mergeCells>
  <conditionalFormatting sqref="A3:B3">
    <cfRule type="duplicateValues" dxfId="40" priority="16"/>
  </conditionalFormatting>
  <conditionalFormatting sqref="X3">
    <cfRule type="duplicateValues" dxfId="39" priority="15"/>
  </conditionalFormatting>
  <conditionalFormatting sqref="S3:U3">
    <cfRule type="duplicateValues" dxfId="38" priority="14"/>
  </conditionalFormatting>
  <conditionalFormatting sqref="U3">
    <cfRule type="duplicateValues" dxfId="37" priority="13"/>
  </conditionalFormatting>
  <conditionalFormatting sqref="S3:T3">
    <cfRule type="duplicateValues" dxfId="36" priority="12"/>
  </conditionalFormatting>
  <hyperlinks>
    <hyperlink ref="AG13" r:id="rId1"/>
    <hyperlink ref="AG6" r:id="rId2"/>
    <hyperlink ref="AG7" r:id="rId3"/>
    <hyperlink ref="AG15" r:id="rId4"/>
    <hyperlink ref="AG8" r:id="rId5"/>
    <hyperlink ref="AG9" r:id="rId6"/>
    <hyperlink ref="AG10" r:id="rId7"/>
    <hyperlink ref="AG11" r:id="rId8"/>
    <hyperlink ref="AG16" r:id="rId9"/>
    <hyperlink ref="AG18" r:id="rId10"/>
    <hyperlink ref="AG4" r:id="rId11"/>
    <hyperlink ref="AG12" r:id="rId12"/>
    <hyperlink ref="AG14" r:id="rId13"/>
    <hyperlink ref="AG5" r:id="rId14"/>
  </hyperlinks>
  <pageMargins left="0.70866141732283472" right="0.53" top="0.74803149606299213" bottom="0.74803149606299213" header="0.31496062992125984" footer="0.31496062992125984"/>
  <pageSetup paperSize="9" scale="113" orientation="portrait" verticalDpi="0" r:id="rId1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5"/>
  <sheetViews>
    <sheetView workbookViewId="0">
      <pane ySplit="3" topLeftCell="A4" activePane="bottomLeft" state="frozen"/>
      <selection activeCell="N1" sqref="N1"/>
      <selection pane="bottomLeft" activeCell="O25" sqref="O25"/>
    </sheetView>
  </sheetViews>
  <sheetFormatPr defaultColWidth="8.85546875" defaultRowHeight="15"/>
  <cols>
    <col min="1" max="1" width="4.140625" style="22" customWidth="1"/>
    <col min="2" max="2" width="7.7109375" style="12" customWidth="1"/>
    <col min="3" max="3" width="37.85546875" style="12" bestFit="1" customWidth="1"/>
    <col min="4" max="4" width="37.85546875" style="12" customWidth="1"/>
    <col min="5" max="5" width="12.7109375" style="12" customWidth="1"/>
    <col min="6" max="6" width="12.28515625" style="12" customWidth="1"/>
    <col min="7" max="7" width="16.42578125" style="12" customWidth="1"/>
    <col min="8" max="9" width="8.7109375" style="12" customWidth="1"/>
    <col min="10" max="10" width="11.85546875" style="12" customWidth="1"/>
    <col min="11" max="11" width="11.28515625" style="12" customWidth="1"/>
    <col min="12" max="12" width="8.42578125" style="12" customWidth="1"/>
    <col min="13" max="13" width="18.5703125" style="12" customWidth="1"/>
    <col min="14" max="14" width="10.7109375" style="12" customWidth="1"/>
    <col min="15" max="15" width="28.7109375" style="12" customWidth="1"/>
    <col min="16" max="16" width="12.28515625" style="12" customWidth="1"/>
    <col min="17" max="17" width="14.42578125" style="12" customWidth="1"/>
    <col min="18" max="18" width="12.42578125" style="12" customWidth="1"/>
    <col min="19" max="19" width="15.42578125" style="48" customWidth="1"/>
    <col min="20" max="20" width="13.140625" style="12" bestFit="1" customWidth="1"/>
    <col min="21" max="21" width="12.42578125" style="12" customWidth="1"/>
    <col min="22" max="22" width="13.42578125" style="12" customWidth="1"/>
    <col min="23" max="23" width="21.5703125" style="12" customWidth="1"/>
    <col min="24" max="24" width="19.7109375" style="12" customWidth="1"/>
    <col min="25" max="25" width="15.28515625" style="12" customWidth="1"/>
    <col min="26" max="26" width="24.42578125" style="12" customWidth="1"/>
    <col min="27" max="27" width="86.85546875" style="12" customWidth="1"/>
    <col min="28" max="28" width="82.42578125" style="12" customWidth="1"/>
    <col min="29" max="29" width="10.140625" style="12" customWidth="1"/>
    <col min="30" max="30" width="14" style="12" customWidth="1"/>
    <col min="31" max="31" width="10.28515625" style="12" bestFit="1" customWidth="1"/>
    <col min="32" max="32" width="16.140625" style="12" customWidth="1"/>
    <col min="33" max="33" width="14.28515625" style="12" bestFit="1" customWidth="1"/>
    <col min="34" max="34" width="20.5703125" style="12" customWidth="1"/>
    <col min="35" max="35" width="11.140625" style="12" customWidth="1"/>
    <col min="36" max="36" width="13.85546875" style="12" customWidth="1"/>
    <col min="37" max="37" width="12.140625" style="12" customWidth="1"/>
    <col min="38" max="38" width="10.140625" style="12" customWidth="1"/>
    <col min="39" max="16384" width="8.85546875" style="12"/>
  </cols>
  <sheetData>
    <row r="1" spans="1:38">
      <c r="A1" s="237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"/>
      <c r="M1" s="23"/>
      <c r="N1" s="23"/>
      <c r="O1" s="23"/>
      <c r="P1" s="23"/>
      <c r="Q1" s="23"/>
      <c r="R1" s="24"/>
      <c r="S1" s="25"/>
      <c r="T1" s="26"/>
      <c r="U1" s="26"/>
      <c r="V1" s="26"/>
      <c r="W1" s="25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8" ht="38.450000000000003" customHeight="1">
      <c r="A2" s="52" t="s">
        <v>4084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4"/>
      <c r="S2" s="25"/>
      <c r="T2" s="33"/>
      <c r="U2" s="26"/>
      <c r="V2" s="26"/>
      <c r="W2" s="25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 spans="1:38" s="27" customFormat="1" ht="67.150000000000006" customHeight="1">
      <c r="A3" s="14" t="s">
        <v>3758</v>
      </c>
      <c r="B3" s="14" t="s">
        <v>3759</v>
      </c>
      <c r="C3" s="89" t="s">
        <v>1</v>
      </c>
      <c r="D3" s="89" t="s">
        <v>2</v>
      </c>
      <c r="E3" s="89" t="s">
        <v>3</v>
      </c>
      <c r="F3" s="89" t="s">
        <v>4</v>
      </c>
      <c r="G3" s="89" t="s">
        <v>3674</v>
      </c>
      <c r="H3" s="90" t="s">
        <v>3761</v>
      </c>
      <c r="I3" s="14" t="s">
        <v>7</v>
      </c>
      <c r="J3" s="91" t="s">
        <v>6</v>
      </c>
      <c r="K3" s="14" t="s">
        <v>3762</v>
      </c>
      <c r="L3" s="14" t="s">
        <v>9</v>
      </c>
      <c r="M3" s="14" t="s">
        <v>10</v>
      </c>
      <c r="N3" s="92" t="s">
        <v>11</v>
      </c>
      <c r="O3" s="14" t="s">
        <v>12</v>
      </c>
      <c r="P3" s="14" t="s">
        <v>13</v>
      </c>
      <c r="Q3" s="14" t="s">
        <v>14</v>
      </c>
      <c r="R3" s="14" t="s">
        <v>3763</v>
      </c>
      <c r="S3" s="94" t="s">
        <v>17</v>
      </c>
      <c r="T3" s="14" t="s">
        <v>3764</v>
      </c>
      <c r="U3" s="14" t="s">
        <v>18</v>
      </c>
      <c r="V3" s="14" t="s">
        <v>19</v>
      </c>
      <c r="W3" s="94" t="s">
        <v>20</v>
      </c>
      <c r="X3" s="14" t="s">
        <v>21</v>
      </c>
      <c r="Y3" s="14" t="s">
        <v>3765</v>
      </c>
      <c r="Z3" s="14" t="s">
        <v>3766</v>
      </c>
      <c r="AA3" s="14" t="s">
        <v>22</v>
      </c>
      <c r="AB3" s="14" t="s">
        <v>23</v>
      </c>
      <c r="AC3" s="14" t="s">
        <v>24</v>
      </c>
      <c r="AD3" s="14" t="s">
        <v>25</v>
      </c>
      <c r="AE3" s="14" t="s">
        <v>26</v>
      </c>
      <c r="AF3" s="14" t="s">
        <v>27</v>
      </c>
      <c r="AG3" s="14" t="s">
        <v>28</v>
      </c>
      <c r="AH3" s="14" t="s">
        <v>29</v>
      </c>
      <c r="AI3" s="14" t="s">
        <v>30</v>
      </c>
      <c r="AJ3" s="14" t="s">
        <v>31</v>
      </c>
      <c r="AK3" s="14" t="s">
        <v>32</v>
      </c>
      <c r="AL3" s="14" t="s">
        <v>33</v>
      </c>
    </row>
    <row r="4" spans="1:38" s="37" customFormat="1" ht="22.15" customHeight="1">
      <c r="A4" s="28">
        <v>1</v>
      </c>
      <c r="B4" s="87" t="s">
        <v>3918</v>
      </c>
      <c r="C4" s="49" t="s">
        <v>3919</v>
      </c>
      <c r="D4" s="28" t="s">
        <v>3920</v>
      </c>
      <c r="E4" s="28" t="s">
        <v>70</v>
      </c>
      <c r="F4" s="28" t="s">
        <v>3921</v>
      </c>
      <c r="G4" s="28" t="s">
        <v>3922</v>
      </c>
      <c r="H4" s="28" t="s">
        <v>2389</v>
      </c>
      <c r="I4" s="28" t="s">
        <v>40</v>
      </c>
      <c r="J4" s="29" t="s">
        <v>3923</v>
      </c>
      <c r="K4" s="28" t="s">
        <v>2389</v>
      </c>
      <c r="L4" s="28" t="s">
        <v>42</v>
      </c>
      <c r="M4" s="28" t="s">
        <v>1044</v>
      </c>
      <c r="N4" s="19">
        <v>44866</v>
      </c>
      <c r="O4" s="31" t="s">
        <v>4085</v>
      </c>
      <c r="P4" s="32" t="s">
        <v>2347</v>
      </c>
      <c r="Q4" s="28" t="s">
        <v>3676</v>
      </c>
      <c r="R4" s="28">
        <v>9624444401</v>
      </c>
      <c r="S4" s="33">
        <v>101330685190</v>
      </c>
      <c r="T4" s="30">
        <v>24699</v>
      </c>
      <c r="U4" s="28">
        <v>3712876280</v>
      </c>
      <c r="V4" s="28" t="s">
        <v>3924</v>
      </c>
      <c r="W4" s="30" t="s">
        <v>3925</v>
      </c>
      <c r="X4" s="34" t="s">
        <v>3926</v>
      </c>
      <c r="Y4" s="35" t="s">
        <v>3927</v>
      </c>
      <c r="Z4" s="28" t="s">
        <v>65</v>
      </c>
      <c r="AA4" s="28" t="s">
        <v>3928</v>
      </c>
      <c r="AB4" s="28" t="s">
        <v>3928</v>
      </c>
      <c r="AC4" s="87" t="s">
        <v>3918</v>
      </c>
      <c r="AD4" s="28"/>
      <c r="AE4" s="28"/>
      <c r="AF4" s="28"/>
      <c r="AG4" s="82" t="s">
        <v>6080</v>
      </c>
      <c r="AH4" s="28"/>
      <c r="AI4" s="28"/>
      <c r="AJ4" s="28"/>
      <c r="AK4" s="28"/>
      <c r="AL4" s="36"/>
    </row>
    <row r="5" spans="1:38" s="37" customFormat="1" ht="22.15" customHeight="1">
      <c r="A5" s="28">
        <v>2</v>
      </c>
      <c r="B5" s="87" t="s">
        <v>3929</v>
      </c>
      <c r="C5" s="49" t="s">
        <v>3930</v>
      </c>
      <c r="D5" s="28" t="s">
        <v>3930</v>
      </c>
      <c r="E5" s="28" t="s">
        <v>263</v>
      </c>
      <c r="F5" s="28" t="s">
        <v>1255</v>
      </c>
      <c r="G5" s="28" t="s">
        <v>3931</v>
      </c>
      <c r="H5" s="28" t="s">
        <v>2389</v>
      </c>
      <c r="I5" s="28" t="s">
        <v>40</v>
      </c>
      <c r="J5" s="29" t="s">
        <v>3932</v>
      </c>
      <c r="K5" s="28" t="s">
        <v>3785</v>
      </c>
      <c r="L5" s="28" t="s">
        <v>42</v>
      </c>
      <c r="M5" s="28" t="s">
        <v>3933</v>
      </c>
      <c r="N5" s="19">
        <v>44866</v>
      </c>
      <c r="O5" s="31" t="s">
        <v>44</v>
      </c>
      <c r="P5" s="32" t="s">
        <v>2347</v>
      </c>
      <c r="Q5" s="28" t="s">
        <v>3676</v>
      </c>
      <c r="R5" s="28">
        <v>7600974776</v>
      </c>
      <c r="S5" s="33">
        <v>101655620105</v>
      </c>
      <c r="T5" s="30">
        <v>24667</v>
      </c>
      <c r="U5" s="28">
        <v>3713699045</v>
      </c>
      <c r="V5" s="28" t="s">
        <v>3934</v>
      </c>
      <c r="W5" s="30" t="s">
        <v>3935</v>
      </c>
      <c r="X5" s="38">
        <v>310016510000489</v>
      </c>
      <c r="Y5" s="35" t="s">
        <v>3936</v>
      </c>
      <c r="Z5" s="28" t="s">
        <v>65</v>
      </c>
      <c r="AA5" s="28" t="s">
        <v>3937</v>
      </c>
      <c r="AB5" s="28" t="s">
        <v>3937</v>
      </c>
      <c r="AC5" s="87" t="s">
        <v>3929</v>
      </c>
      <c r="AD5" s="28"/>
      <c r="AE5" s="28"/>
      <c r="AF5" s="28"/>
      <c r="AG5" s="82" t="s">
        <v>6081</v>
      </c>
      <c r="AH5" s="28"/>
      <c r="AI5" s="28"/>
      <c r="AJ5" s="28"/>
      <c r="AK5" s="28"/>
      <c r="AL5" s="36"/>
    </row>
    <row r="6" spans="1:38" s="37" customFormat="1" ht="22.15" customHeight="1">
      <c r="A6" s="28">
        <v>3</v>
      </c>
      <c r="B6" s="87" t="s">
        <v>3938</v>
      </c>
      <c r="C6" s="49" t="s">
        <v>3939</v>
      </c>
      <c r="D6" s="28" t="s">
        <v>3939</v>
      </c>
      <c r="E6" s="28" t="s">
        <v>3365</v>
      </c>
      <c r="F6" s="28" t="s">
        <v>3940</v>
      </c>
      <c r="G6" s="28" t="s">
        <v>3941</v>
      </c>
      <c r="H6" s="28" t="s">
        <v>2345</v>
      </c>
      <c r="I6" s="28" t="s">
        <v>40</v>
      </c>
      <c r="J6" s="28" t="s">
        <v>3942</v>
      </c>
      <c r="K6" s="28" t="s">
        <v>3785</v>
      </c>
      <c r="L6" s="28" t="s">
        <v>42</v>
      </c>
      <c r="M6" s="28" t="s">
        <v>3933</v>
      </c>
      <c r="N6" s="19">
        <v>44866</v>
      </c>
      <c r="O6" s="31" t="s">
        <v>44</v>
      </c>
      <c r="P6" s="32" t="s">
        <v>2347</v>
      </c>
      <c r="Q6" s="28" t="s">
        <v>3676</v>
      </c>
      <c r="R6" s="28">
        <v>9510637978</v>
      </c>
      <c r="S6" s="33">
        <v>101193206630</v>
      </c>
      <c r="T6" s="30">
        <v>24675</v>
      </c>
      <c r="U6" s="28">
        <v>3713699085</v>
      </c>
      <c r="V6" s="28"/>
      <c r="W6" s="30" t="s">
        <v>3943</v>
      </c>
      <c r="X6" s="38">
        <v>4146569711</v>
      </c>
      <c r="Y6" s="35" t="s">
        <v>3944</v>
      </c>
      <c r="Z6" s="28" t="s">
        <v>1548</v>
      </c>
      <c r="AA6" s="28"/>
      <c r="AB6" s="28"/>
      <c r="AC6" s="87" t="s">
        <v>3938</v>
      </c>
      <c r="AD6" s="28"/>
      <c r="AE6" s="28"/>
      <c r="AF6" s="28"/>
      <c r="AG6" s="82" t="s">
        <v>6082</v>
      </c>
      <c r="AH6" s="28"/>
      <c r="AI6" s="28"/>
      <c r="AJ6" s="28"/>
      <c r="AK6" s="28"/>
      <c r="AL6" s="36"/>
    </row>
    <row r="7" spans="1:38" s="37" customFormat="1" ht="22.15" customHeight="1">
      <c r="A7" s="28">
        <v>4</v>
      </c>
      <c r="B7" s="87" t="s">
        <v>3945</v>
      </c>
      <c r="C7" s="49" t="s">
        <v>3946</v>
      </c>
      <c r="D7" s="28" t="s">
        <v>3947</v>
      </c>
      <c r="E7" s="28" t="s">
        <v>3948</v>
      </c>
      <c r="F7" s="28" t="s">
        <v>3949</v>
      </c>
      <c r="G7" s="28" t="s">
        <v>3950</v>
      </c>
      <c r="H7" s="28" t="s">
        <v>2345</v>
      </c>
      <c r="I7" s="28" t="s">
        <v>40</v>
      </c>
      <c r="J7" s="28" t="s">
        <v>3951</v>
      </c>
      <c r="K7" s="28" t="s">
        <v>3785</v>
      </c>
      <c r="L7" s="28" t="s">
        <v>42</v>
      </c>
      <c r="M7" s="28" t="s">
        <v>3952</v>
      </c>
      <c r="N7" s="19">
        <v>44866</v>
      </c>
      <c r="O7" s="31" t="s">
        <v>3953</v>
      </c>
      <c r="P7" s="32" t="s">
        <v>2347</v>
      </c>
      <c r="Q7" s="28" t="s">
        <v>3676</v>
      </c>
      <c r="R7" s="28">
        <v>9428548687</v>
      </c>
      <c r="S7" s="33">
        <v>101599572329</v>
      </c>
      <c r="T7" s="30">
        <v>24677</v>
      </c>
      <c r="U7" s="28">
        <v>3713459400</v>
      </c>
      <c r="V7" s="28" t="s">
        <v>3954</v>
      </c>
      <c r="W7" s="30" t="s">
        <v>3955</v>
      </c>
      <c r="X7" s="38">
        <v>20322967712</v>
      </c>
      <c r="Y7" s="35" t="s">
        <v>3956</v>
      </c>
      <c r="Z7" s="28" t="s">
        <v>65</v>
      </c>
      <c r="AA7" s="28" t="s">
        <v>3957</v>
      </c>
      <c r="AB7" s="28" t="s">
        <v>3957</v>
      </c>
      <c r="AC7" s="87" t="s">
        <v>3945</v>
      </c>
      <c r="AD7" s="28"/>
      <c r="AE7" s="28"/>
      <c r="AF7" s="28"/>
      <c r="AG7" s="82" t="s">
        <v>6083</v>
      </c>
      <c r="AH7" s="28"/>
      <c r="AI7" s="28"/>
      <c r="AJ7" s="28"/>
      <c r="AK7" s="28"/>
      <c r="AL7" s="36"/>
    </row>
    <row r="8" spans="1:38" s="37" customFormat="1" ht="22.15" customHeight="1">
      <c r="A8" s="28">
        <v>5</v>
      </c>
      <c r="B8" s="87" t="s">
        <v>3958</v>
      </c>
      <c r="C8" s="49" t="s">
        <v>3959</v>
      </c>
      <c r="D8" s="28" t="s">
        <v>3959</v>
      </c>
      <c r="E8" s="28" t="s">
        <v>3960</v>
      </c>
      <c r="F8" s="28" t="s">
        <v>3961</v>
      </c>
      <c r="G8" s="28" t="s">
        <v>84</v>
      </c>
      <c r="H8" s="28" t="s">
        <v>2389</v>
      </c>
      <c r="I8" s="28" t="s">
        <v>40</v>
      </c>
      <c r="J8" s="30" t="s">
        <v>3962</v>
      </c>
      <c r="K8" s="28" t="s">
        <v>3785</v>
      </c>
      <c r="L8" s="28" t="s">
        <v>42</v>
      </c>
      <c r="M8" s="28" t="s">
        <v>1151</v>
      </c>
      <c r="N8" s="19">
        <v>44866</v>
      </c>
      <c r="O8" s="31" t="s">
        <v>4085</v>
      </c>
      <c r="P8" s="32" t="s">
        <v>2347</v>
      </c>
      <c r="Q8" s="28" t="s">
        <v>3676</v>
      </c>
      <c r="R8" s="28">
        <v>7698893127</v>
      </c>
      <c r="S8" s="33" t="s">
        <v>3963</v>
      </c>
      <c r="T8" s="30">
        <v>27183</v>
      </c>
      <c r="U8" s="28" t="s">
        <v>3964</v>
      </c>
      <c r="V8" s="28" t="s">
        <v>3965</v>
      </c>
      <c r="W8" s="30" t="s">
        <v>3966</v>
      </c>
      <c r="X8" s="34" t="s">
        <v>3967</v>
      </c>
      <c r="Y8" s="35" t="s">
        <v>3968</v>
      </c>
      <c r="Z8" s="28" t="s">
        <v>65</v>
      </c>
      <c r="AA8" s="28" t="s">
        <v>3969</v>
      </c>
      <c r="AB8" s="28" t="s">
        <v>3969</v>
      </c>
      <c r="AC8" s="87" t="s">
        <v>3958</v>
      </c>
      <c r="AD8" s="30"/>
      <c r="AE8" s="28"/>
      <c r="AF8" s="28"/>
      <c r="AG8" s="82" t="s">
        <v>6084</v>
      </c>
      <c r="AH8" s="28"/>
      <c r="AI8" s="28"/>
      <c r="AJ8" s="28"/>
      <c r="AK8" s="28"/>
      <c r="AL8" s="36"/>
    </row>
    <row r="9" spans="1:38" s="37" customFormat="1" ht="22.15" customHeight="1">
      <c r="A9" s="28">
        <v>7</v>
      </c>
      <c r="B9" s="87" t="s">
        <v>3970</v>
      </c>
      <c r="C9" s="49" t="s">
        <v>3971</v>
      </c>
      <c r="D9" s="28" t="s">
        <v>3972</v>
      </c>
      <c r="E9" s="28" t="s">
        <v>544</v>
      </c>
      <c r="F9" s="28" t="s">
        <v>3973</v>
      </c>
      <c r="G9" s="28" t="s">
        <v>3974</v>
      </c>
      <c r="H9" s="28" t="s">
        <v>2389</v>
      </c>
      <c r="I9" s="28" t="s">
        <v>40</v>
      </c>
      <c r="J9" s="39" t="s">
        <v>3975</v>
      </c>
      <c r="K9" s="28" t="s">
        <v>3785</v>
      </c>
      <c r="L9" s="28" t="s">
        <v>42</v>
      </c>
      <c r="M9" s="28" t="s">
        <v>1044</v>
      </c>
      <c r="N9" s="19">
        <v>44866</v>
      </c>
      <c r="O9" s="31" t="s">
        <v>4085</v>
      </c>
      <c r="P9" s="32" t="s">
        <v>2347</v>
      </c>
      <c r="Q9" s="28" t="s">
        <v>3676</v>
      </c>
      <c r="R9" s="28">
        <v>8320858506</v>
      </c>
      <c r="S9" s="33">
        <v>101169673700</v>
      </c>
      <c r="T9" s="30">
        <v>24693</v>
      </c>
      <c r="U9" s="28">
        <v>3713908860</v>
      </c>
      <c r="V9" s="28" t="s">
        <v>3976</v>
      </c>
      <c r="W9" s="30" t="s">
        <v>3977</v>
      </c>
      <c r="X9" s="34" t="s">
        <v>3978</v>
      </c>
      <c r="Y9" s="35" t="s">
        <v>3979</v>
      </c>
      <c r="Z9" s="28" t="s">
        <v>1289</v>
      </c>
      <c r="AA9" s="28" t="s">
        <v>3980</v>
      </c>
      <c r="AB9" s="28" t="s">
        <v>3980</v>
      </c>
      <c r="AC9" s="87" t="s">
        <v>3970</v>
      </c>
      <c r="AD9" s="28"/>
      <c r="AE9" s="28"/>
      <c r="AF9" s="28"/>
      <c r="AG9" s="82" t="s">
        <v>6085</v>
      </c>
      <c r="AH9" s="28"/>
      <c r="AI9" s="28"/>
      <c r="AJ9" s="28"/>
      <c r="AK9" s="28"/>
      <c r="AL9" s="36"/>
    </row>
    <row r="10" spans="1:38" s="37" customFormat="1">
      <c r="A10" s="28">
        <v>8</v>
      </c>
      <c r="B10" s="87" t="s">
        <v>3981</v>
      </c>
      <c r="C10" s="49" t="s">
        <v>3982</v>
      </c>
      <c r="D10" s="28" t="s">
        <v>3982</v>
      </c>
      <c r="E10" s="28" t="s">
        <v>722</v>
      </c>
      <c r="F10" s="28" t="s">
        <v>3983</v>
      </c>
      <c r="G10" s="28" t="s">
        <v>251</v>
      </c>
      <c r="H10" s="28" t="s">
        <v>2345</v>
      </c>
      <c r="I10" s="28" t="s">
        <v>40</v>
      </c>
      <c r="J10" s="28" t="s">
        <v>3984</v>
      </c>
      <c r="K10" s="28" t="s">
        <v>3785</v>
      </c>
      <c r="L10" s="28" t="s">
        <v>42</v>
      </c>
      <c r="M10" s="28" t="s">
        <v>1044</v>
      </c>
      <c r="N10" s="19">
        <v>44866</v>
      </c>
      <c r="O10" s="31" t="s">
        <v>4085</v>
      </c>
      <c r="P10" s="32" t="s">
        <v>2347</v>
      </c>
      <c r="Q10" s="28" t="s">
        <v>3676</v>
      </c>
      <c r="R10" s="28">
        <v>7046008751</v>
      </c>
      <c r="S10" s="33">
        <v>101412594777</v>
      </c>
      <c r="T10" s="30">
        <v>24676</v>
      </c>
      <c r="U10" s="28">
        <v>3713860814</v>
      </c>
      <c r="V10" s="28"/>
      <c r="W10" s="30" t="s">
        <v>3985</v>
      </c>
      <c r="X10" s="38">
        <v>310310110012058</v>
      </c>
      <c r="Y10" s="35" t="s">
        <v>3986</v>
      </c>
      <c r="Z10" s="28" t="s">
        <v>65</v>
      </c>
      <c r="AA10" s="28"/>
      <c r="AB10" s="28"/>
      <c r="AC10" s="87" t="s">
        <v>3981</v>
      </c>
      <c r="AD10" s="28"/>
      <c r="AE10" s="28"/>
      <c r="AF10" s="28"/>
      <c r="AG10" s="82" t="s">
        <v>6086</v>
      </c>
      <c r="AH10" s="28"/>
      <c r="AI10" s="28"/>
      <c r="AJ10" s="28"/>
      <c r="AK10" s="28"/>
      <c r="AL10" s="36"/>
    </row>
    <row r="11" spans="1:38" s="37" customFormat="1">
      <c r="A11" s="28">
        <v>9</v>
      </c>
      <c r="B11" s="87" t="s">
        <v>3987</v>
      </c>
      <c r="C11" s="49" t="s">
        <v>3988</v>
      </c>
      <c r="D11" s="28" t="s">
        <v>3988</v>
      </c>
      <c r="E11" s="28" t="s">
        <v>3989</v>
      </c>
      <c r="F11" s="28" t="s">
        <v>3990</v>
      </c>
      <c r="G11" s="28" t="s">
        <v>3991</v>
      </c>
      <c r="H11" s="28" t="s">
        <v>2389</v>
      </c>
      <c r="I11" s="28" t="s">
        <v>40</v>
      </c>
      <c r="J11" s="29" t="s">
        <v>3992</v>
      </c>
      <c r="K11" s="28" t="s">
        <v>3785</v>
      </c>
      <c r="L11" s="28" t="s">
        <v>42</v>
      </c>
      <c r="M11" s="28" t="s">
        <v>3933</v>
      </c>
      <c r="N11" s="19">
        <v>44866</v>
      </c>
      <c r="O11" s="31" t="s">
        <v>44</v>
      </c>
      <c r="P11" s="32" t="s">
        <v>2347</v>
      </c>
      <c r="Q11" s="28" t="s">
        <v>3676</v>
      </c>
      <c r="R11" s="28">
        <v>8200620221</v>
      </c>
      <c r="S11" s="33">
        <v>101694755428</v>
      </c>
      <c r="T11" s="30">
        <v>24688</v>
      </c>
      <c r="U11" s="28">
        <v>3713802788</v>
      </c>
      <c r="V11" s="28" t="s">
        <v>3993</v>
      </c>
      <c r="W11" s="30" t="s">
        <v>3994</v>
      </c>
      <c r="X11" s="38">
        <v>32594825109</v>
      </c>
      <c r="Y11" s="35" t="s">
        <v>3995</v>
      </c>
      <c r="Z11" s="28" t="s">
        <v>65</v>
      </c>
      <c r="AA11" s="28" t="s">
        <v>3996</v>
      </c>
      <c r="AB11" s="28" t="s">
        <v>3996</v>
      </c>
      <c r="AC11" s="87" t="s">
        <v>3987</v>
      </c>
      <c r="AD11" s="28"/>
      <c r="AE11" s="28"/>
      <c r="AF11" s="28"/>
      <c r="AG11" s="82" t="s">
        <v>6087</v>
      </c>
      <c r="AH11" s="28"/>
      <c r="AI11" s="28"/>
      <c r="AJ11" s="28"/>
      <c r="AK11" s="28"/>
      <c r="AL11" s="36"/>
    </row>
    <row r="12" spans="1:38" s="37" customFormat="1">
      <c r="A12" s="28">
        <v>10</v>
      </c>
      <c r="B12" s="87" t="s">
        <v>3997</v>
      </c>
      <c r="C12" s="49" t="s">
        <v>3998</v>
      </c>
      <c r="D12" s="28" t="s">
        <v>3998</v>
      </c>
      <c r="E12" s="28" t="s">
        <v>291</v>
      </c>
      <c r="F12" s="28" t="s">
        <v>3999</v>
      </c>
      <c r="G12" s="28" t="s">
        <v>2849</v>
      </c>
      <c r="H12" s="28" t="s">
        <v>2389</v>
      </c>
      <c r="I12" s="28" t="s">
        <v>40</v>
      </c>
      <c r="J12" s="30" t="s">
        <v>4000</v>
      </c>
      <c r="K12" s="28" t="s">
        <v>2389</v>
      </c>
      <c r="L12" s="28" t="s">
        <v>42</v>
      </c>
      <c r="M12" s="28" t="s">
        <v>4001</v>
      </c>
      <c r="N12" s="19">
        <v>44866</v>
      </c>
      <c r="O12" s="31" t="s">
        <v>3880</v>
      </c>
      <c r="P12" s="32" t="s">
        <v>2347</v>
      </c>
      <c r="Q12" s="28" t="s">
        <v>3676</v>
      </c>
      <c r="R12" s="28" t="s">
        <v>4002</v>
      </c>
      <c r="S12" s="30" t="s">
        <v>4003</v>
      </c>
      <c r="T12" s="33" t="s">
        <v>4004</v>
      </c>
      <c r="U12" s="28" t="s">
        <v>4005</v>
      </c>
      <c r="V12" s="28" t="s">
        <v>4006</v>
      </c>
      <c r="W12" s="30" t="s">
        <v>4007</v>
      </c>
      <c r="X12" s="34" t="s">
        <v>4008</v>
      </c>
      <c r="Y12" s="35" t="s">
        <v>4009</v>
      </c>
      <c r="Z12" s="28" t="s">
        <v>146</v>
      </c>
      <c r="AA12" s="28" t="s">
        <v>4010</v>
      </c>
      <c r="AB12" s="28" t="s">
        <v>4010</v>
      </c>
      <c r="AC12" s="87" t="s">
        <v>3997</v>
      </c>
      <c r="AD12" s="28"/>
      <c r="AE12" s="28"/>
      <c r="AF12" s="28"/>
      <c r="AG12" s="82" t="s">
        <v>6111</v>
      </c>
      <c r="AH12" s="28"/>
      <c r="AI12" s="28"/>
      <c r="AJ12" s="28"/>
      <c r="AK12" s="28"/>
      <c r="AL12" s="36"/>
    </row>
    <row r="13" spans="1:38" s="37" customFormat="1">
      <c r="A13" s="28">
        <v>12</v>
      </c>
      <c r="B13" s="87" t="s">
        <v>4011</v>
      </c>
      <c r="C13" s="49" t="s">
        <v>4012</v>
      </c>
      <c r="D13" s="28" t="s">
        <v>4012</v>
      </c>
      <c r="E13" s="28" t="s">
        <v>4013</v>
      </c>
      <c r="F13" s="28" t="s">
        <v>1505</v>
      </c>
      <c r="G13" s="28" t="s">
        <v>4014</v>
      </c>
      <c r="H13" s="28" t="s">
        <v>2345</v>
      </c>
      <c r="I13" s="28" t="s">
        <v>40</v>
      </c>
      <c r="J13" s="30" t="s">
        <v>4015</v>
      </c>
      <c r="K13" s="28" t="s">
        <v>2389</v>
      </c>
      <c r="L13" s="28" t="s">
        <v>42</v>
      </c>
      <c r="M13" s="28" t="s">
        <v>4016</v>
      </c>
      <c r="N13" s="19">
        <v>44866</v>
      </c>
      <c r="O13" s="31" t="s">
        <v>44</v>
      </c>
      <c r="P13" s="32" t="s">
        <v>2347</v>
      </c>
      <c r="Q13" s="28" t="s">
        <v>3676</v>
      </c>
      <c r="R13" s="28">
        <v>9998322519</v>
      </c>
      <c r="S13" s="33" t="s">
        <v>4017</v>
      </c>
      <c r="T13" s="30">
        <v>28058</v>
      </c>
      <c r="U13" s="28" t="s">
        <v>4018</v>
      </c>
      <c r="V13" s="28" t="s">
        <v>4019</v>
      </c>
      <c r="W13" s="78" t="s">
        <v>6115</v>
      </c>
      <c r="X13" s="34">
        <v>20478805004</v>
      </c>
      <c r="Y13" s="35" t="s">
        <v>4020</v>
      </c>
      <c r="Z13" s="28" t="s">
        <v>65</v>
      </c>
      <c r="AA13" s="28" t="s">
        <v>4021</v>
      </c>
      <c r="AB13" s="28" t="s">
        <v>4021</v>
      </c>
      <c r="AC13" s="87" t="s">
        <v>4011</v>
      </c>
      <c r="AD13" s="30"/>
      <c r="AE13" s="28"/>
      <c r="AF13" s="28"/>
      <c r="AG13" s="82" t="s">
        <v>6088</v>
      </c>
      <c r="AH13" s="28"/>
      <c r="AI13" s="28"/>
      <c r="AJ13" s="28"/>
      <c r="AK13" s="28"/>
      <c r="AL13" s="36"/>
    </row>
    <row r="14" spans="1:38">
      <c r="A14" s="28">
        <v>13</v>
      </c>
      <c r="B14" s="101" t="s">
        <v>4022</v>
      </c>
      <c r="C14" s="50" t="s">
        <v>4023</v>
      </c>
      <c r="D14" s="17" t="s">
        <v>4023</v>
      </c>
      <c r="E14" s="17" t="s">
        <v>3906</v>
      </c>
      <c r="F14" s="17" t="s">
        <v>151</v>
      </c>
      <c r="G14" s="17" t="s">
        <v>4024</v>
      </c>
      <c r="H14" s="17" t="s">
        <v>2345</v>
      </c>
      <c r="I14" s="17" t="s">
        <v>40</v>
      </c>
      <c r="J14" s="40">
        <v>36436</v>
      </c>
      <c r="K14" s="17" t="s">
        <v>3785</v>
      </c>
      <c r="L14" s="17" t="s">
        <v>42</v>
      </c>
      <c r="M14" s="17" t="s">
        <v>4016</v>
      </c>
      <c r="N14" s="19">
        <v>44866</v>
      </c>
      <c r="O14" s="31" t="s">
        <v>44</v>
      </c>
      <c r="P14" s="32" t="s">
        <v>2347</v>
      </c>
      <c r="Q14" s="28" t="s">
        <v>3676</v>
      </c>
      <c r="R14" s="17">
        <v>9023719794</v>
      </c>
      <c r="S14" s="41" t="s">
        <v>4025</v>
      </c>
      <c r="T14" s="20">
        <v>28228</v>
      </c>
      <c r="U14" s="41" t="s">
        <v>4026</v>
      </c>
      <c r="V14" s="17" t="s">
        <v>4027</v>
      </c>
      <c r="W14" s="41" t="s">
        <v>4028</v>
      </c>
      <c r="X14" s="41" t="s">
        <v>4029</v>
      </c>
      <c r="Y14" s="17" t="s">
        <v>3915</v>
      </c>
      <c r="Z14" s="17" t="s">
        <v>65</v>
      </c>
      <c r="AA14" s="17" t="s">
        <v>4030</v>
      </c>
      <c r="AB14" s="17" t="s">
        <v>4030</v>
      </c>
      <c r="AC14" s="101" t="s">
        <v>4022</v>
      </c>
      <c r="AD14" s="18"/>
      <c r="AE14" s="18"/>
      <c r="AF14" s="18"/>
      <c r="AG14" s="83" t="s">
        <v>6089</v>
      </c>
      <c r="AH14" s="18"/>
      <c r="AI14" s="18"/>
      <c r="AJ14" s="18"/>
      <c r="AK14" s="18"/>
      <c r="AL14" s="18"/>
    </row>
    <row r="15" spans="1:38">
      <c r="A15" s="28">
        <v>14</v>
      </c>
      <c r="B15" s="101" t="s">
        <v>4031</v>
      </c>
      <c r="C15" s="50" t="s">
        <v>4032</v>
      </c>
      <c r="D15" s="17" t="s">
        <v>4032</v>
      </c>
      <c r="E15" s="17" t="s">
        <v>3636</v>
      </c>
      <c r="F15" s="17" t="s">
        <v>3689</v>
      </c>
      <c r="G15" s="17" t="s">
        <v>4033</v>
      </c>
      <c r="H15" s="17" t="s">
        <v>2345</v>
      </c>
      <c r="I15" s="17" t="s">
        <v>40</v>
      </c>
      <c r="J15" s="40">
        <v>36167</v>
      </c>
      <c r="K15" s="17" t="s">
        <v>3785</v>
      </c>
      <c r="L15" s="17" t="s">
        <v>42</v>
      </c>
      <c r="M15" s="17" t="s">
        <v>4016</v>
      </c>
      <c r="N15" s="19">
        <v>44866</v>
      </c>
      <c r="O15" s="31" t="s">
        <v>44</v>
      </c>
      <c r="P15" s="32" t="s">
        <v>2347</v>
      </c>
      <c r="Q15" s="28" t="s">
        <v>3676</v>
      </c>
      <c r="R15" s="17">
        <v>6351612451</v>
      </c>
      <c r="S15" s="41" t="s">
        <v>4034</v>
      </c>
      <c r="T15" s="20">
        <v>28225</v>
      </c>
      <c r="U15" s="41" t="s">
        <v>4035</v>
      </c>
      <c r="V15" s="17" t="s">
        <v>4036</v>
      </c>
      <c r="W15" s="41" t="s">
        <v>4037</v>
      </c>
      <c r="X15" s="41" t="s">
        <v>4038</v>
      </c>
      <c r="Y15" s="17" t="s">
        <v>4039</v>
      </c>
      <c r="Z15" s="17" t="s">
        <v>4040</v>
      </c>
      <c r="AA15" s="17" t="s">
        <v>4041</v>
      </c>
      <c r="AB15" s="17" t="s">
        <v>4041</v>
      </c>
      <c r="AC15" s="101" t="s">
        <v>4031</v>
      </c>
      <c r="AD15" s="18"/>
      <c r="AE15" s="18"/>
      <c r="AF15" s="18"/>
      <c r="AG15" s="83" t="s">
        <v>6090</v>
      </c>
      <c r="AH15" s="18"/>
      <c r="AI15" s="18"/>
      <c r="AJ15" s="18"/>
      <c r="AK15" s="18"/>
      <c r="AL15" s="18"/>
    </row>
    <row r="16" spans="1:38">
      <c r="A16" s="28">
        <v>15</v>
      </c>
      <c r="B16" s="101" t="s">
        <v>4042</v>
      </c>
      <c r="C16" s="50" t="s">
        <v>4043</v>
      </c>
      <c r="D16" s="17" t="s">
        <v>4043</v>
      </c>
      <c r="E16" s="17" t="s">
        <v>4044</v>
      </c>
      <c r="F16" s="17" t="s">
        <v>4045</v>
      </c>
      <c r="G16" s="17" t="s">
        <v>4046</v>
      </c>
      <c r="H16" s="17" t="s">
        <v>2389</v>
      </c>
      <c r="I16" s="17" t="s">
        <v>40</v>
      </c>
      <c r="J16" s="41" t="s">
        <v>4047</v>
      </c>
      <c r="K16" s="17" t="s">
        <v>3785</v>
      </c>
      <c r="L16" s="17" t="s">
        <v>42</v>
      </c>
      <c r="M16" s="17" t="s">
        <v>4016</v>
      </c>
      <c r="N16" s="19">
        <v>44866</v>
      </c>
      <c r="O16" s="31" t="s">
        <v>44</v>
      </c>
      <c r="P16" s="32" t="s">
        <v>2347</v>
      </c>
      <c r="Q16" s="28" t="s">
        <v>3676</v>
      </c>
      <c r="R16" s="17">
        <v>7016854169</v>
      </c>
      <c r="S16" s="41" t="s">
        <v>4048</v>
      </c>
      <c r="T16" s="20">
        <v>28226</v>
      </c>
      <c r="U16" s="41" t="s">
        <v>4049</v>
      </c>
      <c r="V16" s="17" t="s">
        <v>4050</v>
      </c>
      <c r="W16" s="41" t="s">
        <v>4051</v>
      </c>
      <c r="X16" s="41" t="s">
        <v>4052</v>
      </c>
      <c r="Y16" s="17" t="s">
        <v>4053</v>
      </c>
      <c r="Z16" s="17" t="s">
        <v>65</v>
      </c>
      <c r="AA16" s="17" t="s">
        <v>4054</v>
      </c>
      <c r="AB16" s="17" t="s">
        <v>4054</v>
      </c>
      <c r="AC16" s="101" t="s">
        <v>4042</v>
      </c>
      <c r="AD16" s="18"/>
      <c r="AE16" s="18"/>
      <c r="AF16" s="18"/>
      <c r="AG16" s="83" t="s">
        <v>6091</v>
      </c>
      <c r="AH16" s="18"/>
      <c r="AI16" s="18"/>
      <c r="AJ16" s="18"/>
      <c r="AK16" s="18"/>
      <c r="AL16" s="18"/>
    </row>
    <row r="17" spans="1:38" s="47" customFormat="1">
      <c r="A17" s="28">
        <v>16</v>
      </c>
      <c r="B17" s="101" t="s">
        <v>4055</v>
      </c>
      <c r="C17" s="51" t="s">
        <v>4056</v>
      </c>
      <c r="D17" s="42" t="s">
        <v>4056</v>
      </c>
      <c r="E17" s="42" t="s">
        <v>4057</v>
      </c>
      <c r="F17" s="42" t="s">
        <v>4058</v>
      </c>
      <c r="G17" s="42" t="s">
        <v>4059</v>
      </c>
      <c r="H17" s="42" t="s">
        <v>2345</v>
      </c>
      <c r="I17" s="42" t="s">
        <v>40</v>
      </c>
      <c r="J17" s="43">
        <v>36247</v>
      </c>
      <c r="K17" s="42" t="s">
        <v>3785</v>
      </c>
      <c r="L17" s="42" t="s">
        <v>42</v>
      </c>
      <c r="M17" s="42" t="s">
        <v>4016</v>
      </c>
      <c r="N17" s="19">
        <v>44866</v>
      </c>
      <c r="O17" s="32" t="s">
        <v>44</v>
      </c>
      <c r="P17" s="42" t="s">
        <v>2347</v>
      </c>
      <c r="Q17" s="28" t="s">
        <v>3676</v>
      </c>
      <c r="R17" s="42">
        <v>9106137622</v>
      </c>
      <c r="S17" s="44" t="s">
        <v>4060</v>
      </c>
      <c r="T17" s="45">
        <v>28477</v>
      </c>
      <c r="U17" s="44" t="s">
        <v>4061</v>
      </c>
      <c r="V17" s="42" t="s">
        <v>4062</v>
      </c>
      <c r="W17" s="44" t="s">
        <v>4063</v>
      </c>
      <c r="X17" s="42">
        <v>33013078559</v>
      </c>
      <c r="Y17" s="42" t="s">
        <v>4064</v>
      </c>
      <c r="Z17" s="42" t="s">
        <v>65</v>
      </c>
      <c r="AA17" s="42" t="s">
        <v>4065</v>
      </c>
      <c r="AB17" s="42" t="s">
        <v>4065</v>
      </c>
      <c r="AC17" s="101" t="s">
        <v>4055</v>
      </c>
      <c r="AD17" s="46"/>
      <c r="AE17" s="46"/>
      <c r="AF17" s="46"/>
      <c r="AG17" s="83" t="s">
        <v>6092</v>
      </c>
      <c r="AH17" s="46"/>
      <c r="AI17" s="46"/>
      <c r="AJ17" s="46"/>
      <c r="AK17" s="46"/>
      <c r="AL17" s="46"/>
    </row>
    <row r="18" spans="1:38" s="47" customFormat="1">
      <c r="A18" s="28">
        <v>17</v>
      </c>
      <c r="B18" s="101" t="s">
        <v>4066</v>
      </c>
      <c r="C18" s="51" t="s">
        <v>4067</v>
      </c>
      <c r="D18" s="42" t="s">
        <v>4067</v>
      </c>
      <c r="E18" s="42" t="s">
        <v>4068</v>
      </c>
      <c r="F18" s="42" t="s">
        <v>3232</v>
      </c>
      <c r="G18" s="42" t="s">
        <v>3417</v>
      </c>
      <c r="H18" s="42" t="s">
        <v>2345</v>
      </c>
      <c r="I18" s="42" t="s">
        <v>40</v>
      </c>
      <c r="J18" s="43">
        <v>35067</v>
      </c>
      <c r="K18" s="42" t="s">
        <v>3785</v>
      </c>
      <c r="L18" s="42" t="s">
        <v>42</v>
      </c>
      <c r="M18" s="42" t="s">
        <v>4016</v>
      </c>
      <c r="N18" s="19">
        <v>44866</v>
      </c>
      <c r="O18" s="32" t="s">
        <v>44</v>
      </c>
      <c r="P18" s="42" t="s">
        <v>2347</v>
      </c>
      <c r="Q18" s="28" t="s">
        <v>3676</v>
      </c>
      <c r="R18" s="42">
        <v>7096269650</v>
      </c>
      <c r="S18" s="44" t="s">
        <v>4069</v>
      </c>
      <c r="T18" s="45">
        <v>28478</v>
      </c>
      <c r="U18" s="44" t="s">
        <v>4070</v>
      </c>
      <c r="V18" s="42" t="s">
        <v>4071</v>
      </c>
      <c r="W18" s="44" t="s">
        <v>4072</v>
      </c>
      <c r="X18" s="42">
        <v>39165880012</v>
      </c>
      <c r="Y18" s="42" t="s">
        <v>4073</v>
      </c>
      <c r="Z18" s="42" t="s">
        <v>65</v>
      </c>
      <c r="AA18" s="42" t="s">
        <v>4074</v>
      </c>
      <c r="AB18" s="42" t="s">
        <v>4074</v>
      </c>
      <c r="AC18" s="101" t="s">
        <v>4066</v>
      </c>
      <c r="AD18" s="46"/>
      <c r="AE18" s="46"/>
      <c r="AF18" s="46"/>
      <c r="AG18" s="83" t="s">
        <v>6093</v>
      </c>
      <c r="AH18" s="46"/>
      <c r="AI18" s="46"/>
      <c r="AJ18" s="46"/>
      <c r="AK18" s="46"/>
      <c r="AL18" s="46"/>
    </row>
    <row r="19" spans="1:38" s="47" customFormat="1" ht="30">
      <c r="A19" s="54">
        <v>18</v>
      </c>
      <c r="B19" s="102" t="s">
        <v>4075</v>
      </c>
      <c r="C19" s="55" t="s">
        <v>4076</v>
      </c>
      <c r="D19" s="56" t="s">
        <v>4076</v>
      </c>
      <c r="E19" s="56" t="s">
        <v>722</v>
      </c>
      <c r="F19" s="56" t="s">
        <v>4077</v>
      </c>
      <c r="G19" s="56" t="s">
        <v>4078</v>
      </c>
      <c r="H19" s="56" t="s">
        <v>2389</v>
      </c>
      <c r="I19" s="56" t="s">
        <v>40</v>
      </c>
      <c r="J19" s="57">
        <v>32920</v>
      </c>
      <c r="K19" s="56" t="s">
        <v>3785</v>
      </c>
      <c r="L19" s="56" t="s">
        <v>42</v>
      </c>
      <c r="M19" s="56" t="s">
        <v>4079</v>
      </c>
      <c r="N19" s="57">
        <v>44873</v>
      </c>
      <c r="O19" s="58" t="s">
        <v>4085</v>
      </c>
      <c r="P19" s="56" t="s">
        <v>2347</v>
      </c>
      <c r="Q19" s="54" t="s">
        <v>3676</v>
      </c>
      <c r="R19" s="56">
        <v>7777950626</v>
      </c>
      <c r="S19" s="59" t="s">
        <v>4086</v>
      </c>
      <c r="T19" s="60">
        <v>28117</v>
      </c>
      <c r="U19" s="60">
        <v>3714608378</v>
      </c>
      <c r="V19" s="56"/>
      <c r="W19" s="59" t="s">
        <v>4080</v>
      </c>
      <c r="X19" s="59" t="s">
        <v>4081</v>
      </c>
      <c r="Y19" s="56" t="s">
        <v>4082</v>
      </c>
      <c r="Z19" s="56" t="s">
        <v>146</v>
      </c>
      <c r="AA19" s="58" t="s">
        <v>4083</v>
      </c>
      <c r="AB19" s="58" t="s">
        <v>4083</v>
      </c>
      <c r="AC19" s="102" t="s">
        <v>4075</v>
      </c>
      <c r="AD19" s="46"/>
      <c r="AE19" s="46"/>
      <c r="AF19" s="46"/>
      <c r="AG19" s="83" t="s">
        <v>6094</v>
      </c>
      <c r="AH19" s="46"/>
      <c r="AI19" s="46"/>
      <c r="AJ19" s="46"/>
      <c r="AK19" s="46"/>
      <c r="AL19" s="46"/>
    </row>
    <row r="20" spans="1:38" s="47" customFormat="1" ht="30">
      <c r="A20" s="54">
        <v>19</v>
      </c>
      <c r="B20" s="102" t="s">
        <v>6066</v>
      </c>
      <c r="C20" s="55" t="s">
        <v>6067</v>
      </c>
      <c r="D20" s="56" t="s">
        <v>6067</v>
      </c>
      <c r="E20" s="56" t="s">
        <v>6068</v>
      </c>
      <c r="F20" s="56" t="s">
        <v>6069</v>
      </c>
      <c r="G20" s="56" t="s">
        <v>6070</v>
      </c>
      <c r="H20" s="56" t="s">
        <v>2389</v>
      </c>
      <c r="I20" s="56" t="s">
        <v>40</v>
      </c>
      <c r="J20" s="57">
        <v>35312</v>
      </c>
      <c r="K20" s="56" t="s">
        <v>3785</v>
      </c>
      <c r="L20" s="56" t="s">
        <v>42</v>
      </c>
      <c r="M20" s="28" t="s">
        <v>6071</v>
      </c>
      <c r="N20" s="57">
        <v>45017</v>
      </c>
      <c r="O20" s="58" t="s">
        <v>3953</v>
      </c>
      <c r="P20" s="56" t="s">
        <v>2347</v>
      </c>
      <c r="Q20" s="54" t="s">
        <v>3676</v>
      </c>
      <c r="R20" s="58" t="s">
        <v>6072</v>
      </c>
      <c r="S20" s="59" t="s">
        <v>6073</v>
      </c>
      <c r="T20" s="60">
        <v>28971</v>
      </c>
      <c r="U20" s="60">
        <v>3714786627</v>
      </c>
      <c r="V20" s="56" t="s">
        <v>6074</v>
      </c>
      <c r="W20" s="59" t="s">
        <v>6075</v>
      </c>
      <c r="X20" s="59">
        <v>20435834692</v>
      </c>
      <c r="Y20" s="56" t="s">
        <v>2250</v>
      </c>
      <c r="Z20" s="56" t="s">
        <v>65</v>
      </c>
      <c r="AA20" s="58" t="s">
        <v>6076</v>
      </c>
      <c r="AB20" s="58" t="s">
        <v>6076</v>
      </c>
      <c r="AC20" s="102" t="s">
        <v>6066</v>
      </c>
      <c r="AD20" s="46"/>
      <c r="AE20" s="46"/>
      <c r="AF20" s="46"/>
      <c r="AG20" s="83" t="s">
        <v>6112</v>
      </c>
      <c r="AH20" s="46"/>
      <c r="AI20" s="46"/>
      <c r="AJ20" s="46"/>
      <c r="AK20" s="46"/>
      <c r="AL20" s="46"/>
    </row>
    <row r="21" spans="1:38" ht="30">
      <c r="A21" s="109">
        <v>20</v>
      </c>
      <c r="B21" s="117" t="s">
        <v>6688</v>
      </c>
      <c r="C21" s="109" t="s">
        <v>6612</v>
      </c>
      <c r="D21" s="109" t="s">
        <v>6612</v>
      </c>
      <c r="E21" s="109" t="s">
        <v>6613</v>
      </c>
      <c r="F21" s="109" t="s">
        <v>506</v>
      </c>
      <c r="G21" s="109" t="s">
        <v>6614</v>
      </c>
      <c r="H21" s="109" t="s">
        <v>2345</v>
      </c>
      <c r="I21" s="109" t="s">
        <v>702</v>
      </c>
      <c r="J21" s="110">
        <v>28800</v>
      </c>
      <c r="K21" s="109" t="s">
        <v>2389</v>
      </c>
      <c r="L21" s="109" t="s">
        <v>42</v>
      </c>
      <c r="M21" s="109" t="s">
        <v>6615</v>
      </c>
      <c r="N21" s="110">
        <v>45142</v>
      </c>
      <c r="O21" s="109" t="s">
        <v>2981</v>
      </c>
      <c r="P21" s="109" t="s">
        <v>2347</v>
      </c>
      <c r="Q21" s="109" t="s">
        <v>3676</v>
      </c>
      <c r="R21" s="111" t="s">
        <v>6618</v>
      </c>
      <c r="S21" s="109"/>
      <c r="T21" s="109"/>
      <c r="U21" s="112">
        <v>3715000623</v>
      </c>
      <c r="V21" s="109" t="s">
        <v>6616</v>
      </c>
      <c r="W21" s="113">
        <v>689781002498</v>
      </c>
      <c r="X21" s="114" t="s">
        <v>6619</v>
      </c>
      <c r="Y21" s="109" t="s">
        <v>6620</v>
      </c>
      <c r="Z21" s="109" t="s">
        <v>6621</v>
      </c>
      <c r="AA21" s="109" t="s">
        <v>6617</v>
      </c>
      <c r="AB21" s="109" t="s">
        <v>6617</v>
      </c>
      <c r="AC21" s="117" t="s">
        <v>6688</v>
      </c>
      <c r="AD21" s="115"/>
      <c r="AE21" s="115"/>
      <c r="AF21" s="115"/>
      <c r="AG21" s="115"/>
      <c r="AH21" s="115"/>
      <c r="AI21" s="115"/>
      <c r="AJ21" s="115"/>
      <c r="AK21" s="115"/>
      <c r="AL21" s="115"/>
    </row>
    <row r="22" spans="1:38" s="107" customFormat="1">
      <c r="A22" s="28">
        <v>21</v>
      </c>
      <c r="B22" s="87" t="s">
        <v>6689</v>
      </c>
      <c r="C22" s="28" t="s">
        <v>6684</v>
      </c>
      <c r="D22" s="28" t="s">
        <v>6684</v>
      </c>
      <c r="E22" s="28" t="s">
        <v>6685</v>
      </c>
      <c r="F22" s="28" t="s">
        <v>6686</v>
      </c>
      <c r="G22" s="28" t="s">
        <v>4014</v>
      </c>
      <c r="H22" s="28" t="s">
        <v>2345</v>
      </c>
      <c r="I22" s="28" t="s">
        <v>40</v>
      </c>
      <c r="J22" s="28"/>
      <c r="K22" s="28" t="s">
        <v>3785</v>
      </c>
      <c r="L22" s="28" t="s">
        <v>42</v>
      </c>
      <c r="M22" s="28" t="s">
        <v>6071</v>
      </c>
      <c r="N22" s="39">
        <v>45146</v>
      </c>
      <c r="O22" s="31" t="s">
        <v>3953</v>
      </c>
      <c r="P22" s="28" t="s">
        <v>2347</v>
      </c>
      <c r="Q22" s="28" t="s">
        <v>3676</v>
      </c>
      <c r="R22" s="28">
        <v>7984683874</v>
      </c>
      <c r="S22" s="116"/>
      <c r="V22" s="107" t="s">
        <v>6690</v>
      </c>
      <c r="W22" s="118">
        <v>602936985316</v>
      </c>
      <c r="X22" s="119">
        <v>80420100001554</v>
      </c>
      <c r="Y22" s="118" t="s">
        <v>6691</v>
      </c>
      <c r="Z22" s="118" t="s">
        <v>146</v>
      </c>
      <c r="AA22" s="28" t="s">
        <v>6687</v>
      </c>
      <c r="AB22" s="28" t="s">
        <v>6687</v>
      </c>
      <c r="AC22" s="87" t="s">
        <v>6689</v>
      </c>
    </row>
    <row r="23" spans="1:38">
      <c r="C23" s="12" t="s">
        <v>6720</v>
      </c>
      <c r="D23" s="12" t="s">
        <v>6721</v>
      </c>
      <c r="E23" s="12" t="s">
        <v>6722</v>
      </c>
      <c r="F23" s="12" t="s">
        <v>6723</v>
      </c>
      <c r="G23" s="12" t="s">
        <v>6724</v>
      </c>
      <c r="H23" s="12" t="s">
        <v>2345</v>
      </c>
      <c r="I23" s="12" t="s">
        <v>40</v>
      </c>
      <c r="J23" s="75">
        <v>33754</v>
      </c>
      <c r="K23" s="12" t="s">
        <v>3785</v>
      </c>
      <c r="L23" s="12" t="s">
        <v>42</v>
      </c>
      <c r="M23" s="12" t="s">
        <v>4016</v>
      </c>
      <c r="O23" s="32" t="s">
        <v>44</v>
      </c>
      <c r="P23" s="12" t="s">
        <v>2347</v>
      </c>
      <c r="Q23" s="12" t="s">
        <v>3676</v>
      </c>
      <c r="R23" s="12">
        <v>8200879766</v>
      </c>
      <c r="W23" s="12">
        <v>243612289603</v>
      </c>
      <c r="X23" s="12">
        <v>6835292886</v>
      </c>
      <c r="Y23" s="12" t="s">
        <v>6018</v>
      </c>
      <c r="Z23" s="12" t="s">
        <v>619</v>
      </c>
      <c r="AA23" s="12" t="s">
        <v>6725</v>
      </c>
      <c r="AB23" s="12" t="s">
        <v>6725</v>
      </c>
    </row>
    <row r="24" spans="1:38">
      <c r="C24" s="12" t="s">
        <v>6726</v>
      </c>
      <c r="D24" s="12" t="s">
        <v>6726</v>
      </c>
      <c r="E24" s="12" t="s">
        <v>6727</v>
      </c>
      <c r="F24" s="12" t="s">
        <v>6728</v>
      </c>
      <c r="G24" s="12" t="s">
        <v>6729</v>
      </c>
      <c r="H24" s="12" t="s">
        <v>2389</v>
      </c>
      <c r="I24" s="12" t="s">
        <v>40</v>
      </c>
      <c r="J24" s="75">
        <v>36753</v>
      </c>
      <c r="K24" s="12" t="s">
        <v>3785</v>
      </c>
      <c r="L24" s="12" t="s">
        <v>42</v>
      </c>
      <c r="M24" s="12" t="s">
        <v>6730</v>
      </c>
      <c r="O24" s="12" t="s">
        <v>6731</v>
      </c>
      <c r="P24" s="12" t="s">
        <v>2347</v>
      </c>
      <c r="Q24" s="12" t="s">
        <v>3676</v>
      </c>
      <c r="R24" s="12">
        <v>9664996564</v>
      </c>
      <c r="W24" s="12">
        <v>231215574222</v>
      </c>
      <c r="X24" s="12">
        <v>50100582535715</v>
      </c>
      <c r="Z24" s="12" t="s">
        <v>1289</v>
      </c>
      <c r="AA24" s="12" t="s">
        <v>6732</v>
      </c>
      <c r="AB24" s="12" t="s">
        <v>6732</v>
      </c>
    </row>
    <row r="25" spans="1:38">
      <c r="C25" s="12" t="s">
        <v>6733</v>
      </c>
      <c r="D25" s="12" t="s">
        <v>6734</v>
      </c>
      <c r="E25" s="12" t="s">
        <v>6735</v>
      </c>
      <c r="F25" s="12" t="s">
        <v>6736</v>
      </c>
      <c r="G25" s="12" t="s">
        <v>1540</v>
      </c>
      <c r="H25" s="12" t="s">
        <v>2345</v>
      </c>
      <c r="I25" s="12" t="s">
        <v>40</v>
      </c>
      <c r="J25" s="75">
        <v>34817</v>
      </c>
      <c r="K25" s="12" t="s">
        <v>2389</v>
      </c>
      <c r="L25" s="12" t="s">
        <v>42</v>
      </c>
      <c r="M25" s="12" t="s">
        <v>4016</v>
      </c>
      <c r="O25" s="12" t="s">
        <v>44</v>
      </c>
      <c r="P25" s="12" t="s">
        <v>2347</v>
      </c>
      <c r="Q25" s="12" t="s">
        <v>3676</v>
      </c>
      <c r="R25" s="12">
        <v>8238821558</v>
      </c>
      <c r="W25" s="12">
        <v>631939200094</v>
      </c>
      <c r="X25" s="12">
        <v>71852200011090</v>
      </c>
      <c r="Y25" s="12" t="s">
        <v>6737</v>
      </c>
      <c r="Z25" s="12" t="s">
        <v>6738</v>
      </c>
      <c r="AA25" s="12" t="s">
        <v>6739</v>
      </c>
      <c r="AB25" s="12" t="s">
        <v>6739</v>
      </c>
    </row>
  </sheetData>
  <autoFilter ref="A3:AL19">
    <filterColumn colId="2"/>
    <filterColumn colId="8"/>
  </autoFilter>
  <mergeCells count="1">
    <mergeCell ref="A1:K1"/>
  </mergeCells>
  <conditionalFormatting sqref="X3">
    <cfRule type="duplicateValues" dxfId="35" priority="21"/>
  </conditionalFormatting>
  <conditionalFormatting sqref="S3:U3">
    <cfRule type="duplicateValues" dxfId="34" priority="20"/>
  </conditionalFormatting>
  <conditionalFormatting sqref="U3">
    <cfRule type="duplicateValues" dxfId="33" priority="19"/>
  </conditionalFormatting>
  <conditionalFormatting sqref="S3:T3">
    <cfRule type="duplicateValues" dxfId="32" priority="18"/>
  </conditionalFormatting>
  <conditionalFormatting sqref="X1">
    <cfRule type="duplicateValues" dxfId="31" priority="17"/>
  </conditionalFormatting>
  <conditionalFormatting sqref="S1:U1">
    <cfRule type="duplicateValues" dxfId="30" priority="16"/>
  </conditionalFormatting>
  <conditionalFormatting sqref="X2">
    <cfRule type="duplicateValues" dxfId="29" priority="15"/>
  </conditionalFormatting>
  <conditionalFormatting sqref="S2 U2">
    <cfRule type="duplicateValues" dxfId="28" priority="14"/>
  </conditionalFormatting>
  <conditionalFormatting sqref="A3">
    <cfRule type="duplicateValues" dxfId="27" priority="13"/>
  </conditionalFormatting>
  <conditionalFormatting sqref="B1:B13 B19:B1048576">
    <cfRule type="duplicateValues" dxfId="26" priority="12"/>
  </conditionalFormatting>
  <conditionalFormatting sqref="B14:B16">
    <cfRule type="duplicateValues" dxfId="25" priority="11"/>
  </conditionalFormatting>
  <conditionalFormatting sqref="AC14:AC16">
    <cfRule type="duplicateValues" dxfId="24" priority="10"/>
  </conditionalFormatting>
  <conditionalFormatting sqref="B18">
    <cfRule type="duplicateValues" dxfId="23" priority="8"/>
  </conditionalFormatting>
  <conditionalFormatting sqref="B17">
    <cfRule type="duplicateValues" dxfId="22" priority="7"/>
  </conditionalFormatting>
  <conditionalFormatting sqref="B19:B20">
    <cfRule type="duplicateValues" dxfId="21" priority="6"/>
  </conditionalFormatting>
  <conditionalFormatting sqref="AC4:AC10">
    <cfRule type="duplicateValues" dxfId="20" priority="35"/>
  </conditionalFormatting>
  <conditionalFormatting sqref="AC4:AC13 AC19:AC20">
    <cfRule type="duplicateValues" dxfId="19" priority="5"/>
  </conditionalFormatting>
  <conditionalFormatting sqref="AC18">
    <cfRule type="duplicateValues" dxfId="18" priority="3"/>
  </conditionalFormatting>
  <conditionalFormatting sqref="AC17">
    <cfRule type="duplicateValues" dxfId="17" priority="2"/>
  </conditionalFormatting>
  <conditionalFormatting sqref="AC19:AC20">
    <cfRule type="duplicateValues" dxfId="16" priority="1"/>
  </conditionalFormatting>
  <hyperlinks>
    <hyperlink ref="AG4" r:id="rId1"/>
    <hyperlink ref="AG5" r:id="rId2"/>
    <hyperlink ref="AG6" r:id="rId3"/>
    <hyperlink ref="AG7" r:id="rId4"/>
    <hyperlink ref="AG8" r:id="rId5"/>
    <hyperlink ref="AG9" r:id="rId6"/>
    <hyperlink ref="AG10" r:id="rId7"/>
    <hyperlink ref="AG11" r:id="rId8"/>
    <hyperlink ref="AG13" r:id="rId9"/>
    <hyperlink ref="AG14" r:id="rId10"/>
    <hyperlink ref="AG15" r:id="rId11"/>
    <hyperlink ref="AG16" r:id="rId12"/>
    <hyperlink ref="AG17" r:id="rId13"/>
    <hyperlink ref="AG18" r:id="rId14"/>
    <hyperlink ref="AG19" r:id="rId15"/>
    <hyperlink ref="AG12" r:id="rId16"/>
    <hyperlink ref="AG20" r:id="rId17"/>
  </hyperlinks>
  <pageMargins left="0.70866141732283472" right="0.53" top="0.74803149606299213" bottom="0.74803149606299213" header="0.31496062992125984" footer="0.31496062992125984"/>
  <pageSetup paperSize="9" scale="113" orientation="portrait" verticalDpi="0" r:id="rId18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20"/>
  <sheetViews>
    <sheetView workbookViewId="0">
      <pane ySplit="3" topLeftCell="A10" activePane="bottomLeft" state="frozen"/>
      <selection activeCell="N1" sqref="N1"/>
      <selection pane="bottomLeft" activeCell="C3" sqref="C3"/>
    </sheetView>
  </sheetViews>
  <sheetFormatPr defaultColWidth="8.85546875" defaultRowHeight="15"/>
  <cols>
    <col min="1" max="1" width="7.140625" style="22" customWidth="1"/>
    <col min="2" max="2" width="9.42578125" style="12" customWidth="1"/>
    <col min="3" max="3" width="36.42578125" style="12" customWidth="1"/>
    <col min="4" max="4" width="38.28515625" style="12" customWidth="1"/>
    <col min="5" max="5" width="12.28515625" style="12" customWidth="1"/>
    <col min="6" max="6" width="14.28515625" style="12" customWidth="1"/>
    <col min="7" max="7" width="18.42578125" style="12" customWidth="1"/>
    <col min="8" max="8" width="8.85546875" style="12" customWidth="1"/>
    <col min="9" max="9" width="10.85546875" style="12" customWidth="1"/>
    <col min="10" max="12" width="8.85546875" style="12" customWidth="1"/>
    <col min="13" max="13" width="16.85546875" style="12" customWidth="1"/>
    <col min="14" max="14" width="10.7109375" style="12" customWidth="1"/>
    <col min="15" max="15" width="44" style="12" bestFit="1" customWidth="1"/>
    <col min="16" max="16" width="9.28515625" style="12" customWidth="1"/>
    <col min="17" max="17" width="10.5703125" style="12" customWidth="1"/>
    <col min="18" max="18" width="12.140625" style="12" customWidth="1"/>
    <col min="19" max="19" width="18.140625" style="12" customWidth="1"/>
    <col min="20" max="20" width="8.140625" style="12" customWidth="1"/>
    <col min="21" max="21" width="11.7109375" style="12" customWidth="1"/>
    <col min="22" max="22" width="12.85546875" style="12" customWidth="1"/>
    <col min="23" max="23" width="13.140625" style="12" customWidth="1"/>
    <col min="24" max="24" width="16.140625" style="12" customWidth="1"/>
    <col min="25" max="25" width="15.28515625" style="12" customWidth="1"/>
    <col min="26" max="26" width="21.7109375" style="12" customWidth="1"/>
    <col min="27" max="27" width="51.28515625" style="12" customWidth="1"/>
    <col min="28" max="28" width="70.42578125" style="12" bestFit="1" customWidth="1"/>
    <col min="29" max="30" width="8.85546875" style="12" customWidth="1"/>
    <col min="31" max="31" width="10.28515625" style="12" bestFit="1" customWidth="1"/>
    <col min="32" max="32" width="8.85546875" style="12" customWidth="1"/>
    <col min="33" max="33" width="14.28515625" style="12" bestFit="1" customWidth="1"/>
    <col min="34" max="34" width="8.85546875" style="12" customWidth="1"/>
    <col min="35" max="35" width="7.7109375" style="12" customWidth="1"/>
    <col min="36" max="37" width="8.85546875" style="12" customWidth="1"/>
    <col min="38" max="38" width="5.7109375" style="12" customWidth="1"/>
    <col min="39" max="16384" width="8.85546875" style="12"/>
  </cols>
  <sheetData>
    <row r="1" spans="1:38" ht="24" customHeight="1">
      <c r="A1" s="239"/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1"/>
      <c r="M1" s="61"/>
      <c r="N1" s="61"/>
      <c r="O1" s="61"/>
      <c r="P1" s="61"/>
      <c r="Q1" s="61"/>
      <c r="R1" s="61"/>
      <c r="S1" s="15"/>
      <c r="T1" s="61"/>
      <c r="U1" s="61"/>
      <c r="V1" s="61"/>
      <c r="W1" s="62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18"/>
      <c r="AK1" s="18"/>
      <c r="AL1" s="18"/>
    </row>
    <row r="2" spans="1:38" ht="38.450000000000003" customHeight="1">
      <c r="A2" s="70" t="s">
        <v>4258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4"/>
      <c r="S2" s="25"/>
      <c r="T2" s="26"/>
      <c r="U2" s="26"/>
      <c r="V2" s="26"/>
      <c r="W2" s="25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71"/>
      <c r="AK2" s="71"/>
      <c r="AL2" s="72"/>
    </row>
    <row r="3" spans="1:38" s="16" customFormat="1" ht="55.9" customHeight="1">
      <c r="A3" s="14" t="s">
        <v>3758</v>
      </c>
      <c r="B3" s="14" t="s">
        <v>3759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3760</v>
      </c>
      <c r="H3" s="14" t="s">
        <v>3761</v>
      </c>
      <c r="I3" s="91" t="s">
        <v>6</v>
      </c>
      <c r="J3" s="14" t="s">
        <v>7</v>
      </c>
      <c r="K3" s="14" t="s">
        <v>3762</v>
      </c>
      <c r="L3" s="14" t="s">
        <v>9</v>
      </c>
      <c r="M3" s="14" t="s">
        <v>10</v>
      </c>
      <c r="N3" s="14" t="s">
        <v>11</v>
      </c>
      <c r="O3" s="14" t="s">
        <v>12</v>
      </c>
      <c r="P3" s="14" t="s">
        <v>13</v>
      </c>
      <c r="Q3" s="14" t="s">
        <v>14</v>
      </c>
      <c r="R3" s="14" t="s">
        <v>3763</v>
      </c>
      <c r="S3" s="14" t="s">
        <v>17</v>
      </c>
      <c r="T3" s="14" t="s">
        <v>3764</v>
      </c>
      <c r="U3" s="14" t="s">
        <v>4087</v>
      </c>
      <c r="V3" s="14" t="s">
        <v>19</v>
      </c>
      <c r="W3" s="94" t="s">
        <v>20</v>
      </c>
      <c r="X3" s="14" t="s">
        <v>21</v>
      </c>
      <c r="Y3" s="14" t="s">
        <v>3765</v>
      </c>
      <c r="Z3" s="14" t="s">
        <v>3766</v>
      </c>
      <c r="AA3" s="14" t="s">
        <v>22</v>
      </c>
      <c r="AB3" s="14" t="s">
        <v>23</v>
      </c>
      <c r="AC3" s="14" t="s">
        <v>24</v>
      </c>
      <c r="AD3" s="14" t="s">
        <v>25</v>
      </c>
      <c r="AE3" s="14" t="s">
        <v>26</v>
      </c>
      <c r="AF3" s="14" t="s">
        <v>27</v>
      </c>
      <c r="AG3" s="14" t="s">
        <v>28</v>
      </c>
      <c r="AH3" s="14" t="s">
        <v>29</v>
      </c>
      <c r="AI3" s="14" t="s">
        <v>30</v>
      </c>
      <c r="AJ3" s="14" t="s">
        <v>31</v>
      </c>
      <c r="AK3" s="14" t="s">
        <v>32</v>
      </c>
      <c r="AL3" s="14" t="s">
        <v>33</v>
      </c>
    </row>
    <row r="4" spans="1:38" s="27" customFormat="1" ht="22.15" customHeight="1">
      <c r="A4" s="63">
        <v>1</v>
      </c>
      <c r="B4" s="103" t="s">
        <v>4244</v>
      </c>
      <c r="C4" s="73" t="s">
        <v>4088</v>
      </c>
      <c r="D4" s="64" t="s">
        <v>4088</v>
      </c>
      <c r="E4" s="64" t="s">
        <v>175</v>
      </c>
      <c r="F4" s="64" t="s">
        <v>4089</v>
      </c>
      <c r="G4" s="64" t="s">
        <v>4090</v>
      </c>
      <c r="H4" s="64" t="s">
        <v>2345</v>
      </c>
      <c r="I4" s="65">
        <v>35836</v>
      </c>
      <c r="J4" s="64" t="s">
        <v>40</v>
      </c>
      <c r="K4" s="64" t="s">
        <v>2389</v>
      </c>
      <c r="L4" s="64" t="s">
        <v>42</v>
      </c>
      <c r="M4" s="64" t="s">
        <v>4091</v>
      </c>
      <c r="N4" s="66" t="s">
        <v>4249</v>
      </c>
      <c r="O4" s="64" t="s">
        <v>44</v>
      </c>
      <c r="P4" s="64" t="s">
        <v>2347</v>
      </c>
      <c r="Q4" s="64" t="s">
        <v>3676</v>
      </c>
      <c r="R4" s="64">
        <v>9023205749</v>
      </c>
      <c r="S4" s="67">
        <v>101552365555</v>
      </c>
      <c r="T4" s="68">
        <v>24794</v>
      </c>
      <c r="U4" s="64">
        <v>3713503443</v>
      </c>
      <c r="V4" s="64" t="s">
        <v>4092</v>
      </c>
      <c r="W4" s="68" t="s">
        <v>4093</v>
      </c>
      <c r="X4" s="68" t="s">
        <v>4094</v>
      </c>
      <c r="Y4" s="64" t="s">
        <v>4095</v>
      </c>
      <c r="Z4" s="64" t="s">
        <v>132</v>
      </c>
      <c r="AA4" s="64" t="s">
        <v>4096</v>
      </c>
      <c r="AB4" s="64" t="s">
        <v>4096</v>
      </c>
      <c r="AC4" s="103" t="s">
        <v>4244</v>
      </c>
      <c r="AD4" s="64"/>
      <c r="AE4" s="64"/>
      <c r="AF4" s="64"/>
      <c r="AG4" s="86" t="s">
        <v>6095</v>
      </c>
      <c r="AH4" s="64"/>
      <c r="AI4" s="64"/>
      <c r="AJ4" s="64"/>
      <c r="AK4" s="64"/>
      <c r="AL4" s="64"/>
    </row>
    <row r="5" spans="1:38" s="27" customFormat="1" ht="22.15" customHeight="1">
      <c r="A5" s="63">
        <v>2</v>
      </c>
      <c r="B5" s="103" t="s">
        <v>4243</v>
      </c>
      <c r="C5" s="73" t="s">
        <v>4097</v>
      </c>
      <c r="D5" s="64" t="s">
        <v>4098</v>
      </c>
      <c r="E5" s="64" t="s">
        <v>682</v>
      </c>
      <c r="F5" s="64" t="s">
        <v>4099</v>
      </c>
      <c r="G5" s="64" t="s">
        <v>4100</v>
      </c>
      <c r="H5" s="64" t="s">
        <v>2345</v>
      </c>
      <c r="I5" s="65">
        <v>34466</v>
      </c>
      <c r="J5" s="64" t="s">
        <v>40</v>
      </c>
      <c r="K5" s="64" t="s">
        <v>2389</v>
      </c>
      <c r="L5" s="64" t="s">
        <v>42</v>
      </c>
      <c r="M5" s="64" t="s">
        <v>4091</v>
      </c>
      <c r="N5" s="66" t="s">
        <v>4249</v>
      </c>
      <c r="O5" s="64" t="s">
        <v>44</v>
      </c>
      <c r="P5" s="64" t="s">
        <v>2347</v>
      </c>
      <c r="Q5" s="64" t="s">
        <v>3676</v>
      </c>
      <c r="R5" s="64">
        <v>8153063515</v>
      </c>
      <c r="S5" s="67">
        <v>101695343129</v>
      </c>
      <c r="T5" s="68">
        <v>24805</v>
      </c>
      <c r="U5" s="64">
        <v>3714193910</v>
      </c>
      <c r="V5" s="64" t="s">
        <v>4101</v>
      </c>
      <c r="W5" s="68" t="s">
        <v>4102</v>
      </c>
      <c r="X5" s="68" t="s">
        <v>4103</v>
      </c>
      <c r="Y5" s="64" t="s">
        <v>4104</v>
      </c>
      <c r="Z5" s="64" t="s">
        <v>146</v>
      </c>
      <c r="AA5" s="64" t="s">
        <v>4105</v>
      </c>
      <c r="AB5" s="64" t="s">
        <v>4105</v>
      </c>
      <c r="AC5" s="103" t="s">
        <v>4243</v>
      </c>
      <c r="AD5" s="64"/>
      <c r="AE5" s="64"/>
      <c r="AF5" s="64"/>
      <c r="AG5" s="86" t="s">
        <v>6096</v>
      </c>
      <c r="AH5" s="64"/>
      <c r="AI5" s="64"/>
      <c r="AJ5" s="64"/>
      <c r="AK5" s="64"/>
      <c r="AL5" s="64"/>
    </row>
    <row r="6" spans="1:38" s="27" customFormat="1" ht="22.15" customHeight="1">
      <c r="A6" s="63">
        <v>3</v>
      </c>
      <c r="B6" s="103" t="s">
        <v>4242</v>
      </c>
      <c r="C6" s="73" t="s">
        <v>4107</v>
      </c>
      <c r="D6" s="64" t="s">
        <v>4107</v>
      </c>
      <c r="E6" s="64" t="s">
        <v>948</v>
      </c>
      <c r="F6" s="64" t="s">
        <v>4108</v>
      </c>
      <c r="G6" s="64" t="s">
        <v>4109</v>
      </c>
      <c r="H6" s="64" t="s">
        <v>2345</v>
      </c>
      <c r="I6" s="65">
        <v>36461</v>
      </c>
      <c r="J6" s="64" t="s">
        <v>40</v>
      </c>
      <c r="K6" s="64" t="s">
        <v>3785</v>
      </c>
      <c r="L6" s="64" t="s">
        <v>42</v>
      </c>
      <c r="M6" s="64" t="s">
        <v>4091</v>
      </c>
      <c r="N6" s="66" t="s">
        <v>4249</v>
      </c>
      <c r="O6" s="64" t="s">
        <v>44</v>
      </c>
      <c r="P6" s="64" t="s">
        <v>2347</v>
      </c>
      <c r="Q6" s="64" t="s">
        <v>3676</v>
      </c>
      <c r="R6" s="64">
        <v>7016830853</v>
      </c>
      <c r="S6" s="67">
        <v>101698233644</v>
      </c>
      <c r="T6" s="68">
        <v>24802</v>
      </c>
      <c r="U6" s="64">
        <v>3713970877</v>
      </c>
      <c r="V6" s="64" t="s">
        <v>4110</v>
      </c>
      <c r="W6" s="68" t="s">
        <v>4111</v>
      </c>
      <c r="X6" s="68" t="s">
        <v>4112</v>
      </c>
      <c r="Y6" s="64" t="s">
        <v>4113</v>
      </c>
      <c r="Z6" s="64" t="s">
        <v>65</v>
      </c>
      <c r="AA6" s="64" t="s">
        <v>4114</v>
      </c>
      <c r="AB6" s="64" t="s">
        <v>4114</v>
      </c>
      <c r="AC6" s="103" t="s">
        <v>4242</v>
      </c>
      <c r="AD6" s="64"/>
      <c r="AE6" s="64"/>
      <c r="AF6" s="64"/>
      <c r="AG6" s="86" t="s">
        <v>6097</v>
      </c>
      <c r="AH6" s="64"/>
      <c r="AI6" s="64"/>
      <c r="AJ6" s="64"/>
      <c r="AK6" s="64"/>
      <c r="AL6" s="64"/>
    </row>
    <row r="7" spans="1:38" s="27" customFormat="1" ht="22.15" customHeight="1">
      <c r="A7" s="63">
        <v>4</v>
      </c>
      <c r="B7" s="103" t="s">
        <v>4230</v>
      </c>
      <c r="C7" s="73" t="s">
        <v>4115</v>
      </c>
      <c r="D7" s="64" t="s">
        <v>4115</v>
      </c>
      <c r="E7" s="64" t="s">
        <v>4116</v>
      </c>
      <c r="F7" s="64" t="s">
        <v>4117</v>
      </c>
      <c r="G7" s="64" t="s">
        <v>4118</v>
      </c>
      <c r="H7" s="64" t="s">
        <v>2345</v>
      </c>
      <c r="I7" s="65">
        <v>31621</v>
      </c>
      <c r="J7" s="64" t="s">
        <v>702</v>
      </c>
      <c r="K7" s="64" t="s">
        <v>2389</v>
      </c>
      <c r="L7" s="64" t="s">
        <v>42</v>
      </c>
      <c r="M7" s="64" t="s">
        <v>4119</v>
      </c>
      <c r="N7" s="66" t="s">
        <v>4249</v>
      </c>
      <c r="O7" s="64" t="s">
        <v>3772</v>
      </c>
      <c r="P7" s="64" t="s">
        <v>2347</v>
      </c>
      <c r="Q7" s="64" t="s">
        <v>3676</v>
      </c>
      <c r="R7" s="64">
        <v>7359561752</v>
      </c>
      <c r="S7" s="67">
        <v>101429911517</v>
      </c>
      <c r="T7" s="68">
        <v>24800</v>
      </c>
      <c r="U7" s="64">
        <v>3713274096</v>
      </c>
      <c r="V7" s="64" t="s">
        <v>4120</v>
      </c>
      <c r="W7" s="68" t="s">
        <v>4121</v>
      </c>
      <c r="X7" s="68" t="s">
        <v>4122</v>
      </c>
      <c r="Y7" s="64" t="s">
        <v>4123</v>
      </c>
      <c r="Z7" s="64" t="s">
        <v>51</v>
      </c>
      <c r="AA7" s="64" t="s">
        <v>4124</v>
      </c>
      <c r="AB7" s="64" t="s">
        <v>4124</v>
      </c>
      <c r="AC7" s="103" t="s">
        <v>4230</v>
      </c>
      <c r="AD7" s="64"/>
      <c r="AE7" s="64"/>
      <c r="AF7" s="64"/>
      <c r="AG7" s="86" t="s">
        <v>6098</v>
      </c>
      <c r="AH7" s="64"/>
      <c r="AI7" s="64"/>
      <c r="AJ7" s="64"/>
      <c r="AK7" s="64"/>
      <c r="AL7" s="64"/>
    </row>
    <row r="8" spans="1:38" s="27" customFormat="1" ht="22.15" customHeight="1">
      <c r="A8" s="63">
        <v>5</v>
      </c>
      <c r="B8" s="103" t="s">
        <v>4231</v>
      </c>
      <c r="C8" s="73" t="s">
        <v>4125</v>
      </c>
      <c r="D8" s="64" t="s">
        <v>4125</v>
      </c>
      <c r="E8" s="64" t="s">
        <v>4126</v>
      </c>
      <c r="F8" s="64" t="s">
        <v>4127</v>
      </c>
      <c r="G8" s="64" t="s">
        <v>4128</v>
      </c>
      <c r="H8" s="64" t="s">
        <v>2389</v>
      </c>
      <c r="I8" s="65">
        <v>32733</v>
      </c>
      <c r="J8" s="64" t="s">
        <v>40</v>
      </c>
      <c r="K8" s="64" t="s">
        <v>2389</v>
      </c>
      <c r="L8" s="64" t="s">
        <v>42</v>
      </c>
      <c r="M8" s="64" t="s">
        <v>1104</v>
      </c>
      <c r="N8" s="66" t="s">
        <v>4249</v>
      </c>
      <c r="O8" s="64" t="s">
        <v>3772</v>
      </c>
      <c r="P8" s="64" t="s">
        <v>2347</v>
      </c>
      <c r="Q8" s="64" t="s">
        <v>3676</v>
      </c>
      <c r="R8" s="64">
        <v>9727272525</v>
      </c>
      <c r="S8" s="67">
        <v>101526149054</v>
      </c>
      <c r="T8" s="68">
        <v>24796</v>
      </c>
      <c r="U8" s="64">
        <v>3713274240</v>
      </c>
      <c r="V8" s="64" t="s">
        <v>4129</v>
      </c>
      <c r="W8" s="68" t="s">
        <v>4130</v>
      </c>
      <c r="X8" s="68" t="s">
        <v>4131</v>
      </c>
      <c r="Y8" s="64" t="s">
        <v>4132</v>
      </c>
      <c r="Z8" s="64" t="s">
        <v>4133</v>
      </c>
      <c r="AA8" s="64" t="s">
        <v>4134</v>
      </c>
      <c r="AB8" s="64" t="s">
        <v>4134</v>
      </c>
      <c r="AC8" s="103" t="s">
        <v>4231</v>
      </c>
      <c r="AD8" s="64"/>
      <c r="AE8" s="64"/>
      <c r="AF8" s="64"/>
      <c r="AG8" s="86" t="s">
        <v>6099</v>
      </c>
      <c r="AH8" s="64"/>
      <c r="AI8" s="64"/>
      <c r="AJ8" s="64"/>
      <c r="AK8" s="64"/>
      <c r="AL8" s="64"/>
    </row>
    <row r="9" spans="1:38" s="27" customFormat="1" ht="22.15" customHeight="1">
      <c r="A9" s="63">
        <v>6</v>
      </c>
      <c r="B9" s="103" t="s">
        <v>4232</v>
      </c>
      <c r="C9" s="73" t="s">
        <v>4135</v>
      </c>
      <c r="D9" s="64" t="s">
        <v>4135</v>
      </c>
      <c r="E9" s="64" t="s">
        <v>1308</v>
      </c>
      <c r="F9" s="64" t="s">
        <v>2967</v>
      </c>
      <c r="G9" s="64" t="s">
        <v>2979</v>
      </c>
      <c r="H9" s="64" t="s">
        <v>2389</v>
      </c>
      <c r="I9" s="65">
        <v>35016</v>
      </c>
      <c r="J9" s="64" t="s">
        <v>40</v>
      </c>
      <c r="K9" s="64" t="s">
        <v>3785</v>
      </c>
      <c r="L9" s="64" t="s">
        <v>42</v>
      </c>
      <c r="M9" s="64" t="s">
        <v>4136</v>
      </c>
      <c r="N9" s="66" t="s">
        <v>4249</v>
      </c>
      <c r="O9" s="64" t="s">
        <v>3772</v>
      </c>
      <c r="P9" s="64" t="s">
        <v>2347</v>
      </c>
      <c r="Q9" s="64" t="s">
        <v>3676</v>
      </c>
      <c r="R9" s="64">
        <v>9998878326</v>
      </c>
      <c r="S9" s="67">
        <v>101552382813</v>
      </c>
      <c r="T9" s="68">
        <v>24810</v>
      </c>
      <c r="U9" s="64">
        <v>3713503498</v>
      </c>
      <c r="V9" s="64" t="s">
        <v>4137</v>
      </c>
      <c r="W9" s="68" t="s">
        <v>4138</v>
      </c>
      <c r="X9" s="68" t="s">
        <v>4139</v>
      </c>
      <c r="Y9" s="64" t="s">
        <v>4140</v>
      </c>
      <c r="Z9" s="64" t="s">
        <v>65</v>
      </c>
      <c r="AA9" s="64" t="s">
        <v>4141</v>
      </c>
      <c r="AB9" s="64" t="s">
        <v>4141</v>
      </c>
      <c r="AC9" s="103" t="s">
        <v>4232</v>
      </c>
      <c r="AD9" s="64"/>
      <c r="AE9" s="64"/>
      <c r="AF9" s="64"/>
      <c r="AG9" s="86" t="s">
        <v>6100</v>
      </c>
      <c r="AH9" s="64"/>
      <c r="AI9" s="64"/>
      <c r="AJ9" s="64"/>
      <c r="AK9" s="64"/>
      <c r="AL9" s="64"/>
    </row>
    <row r="10" spans="1:38" s="27" customFormat="1" ht="22.15" customHeight="1">
      <c r="A10" s="63">
        <v>7</v>
      </c>
      <c r="B10" s="103" t="s">
        <v>4233</v>
      </c>
      <c r="C10" s="73" t="s">
        <v>4143</v>
      </c>
      <c r="D10" s="64" t="s">
        <v>4144</v>
      </c>
      <c r="E10" s="64" t="s">
        <v>2421</v>
      </c>
      <c r="F10" s="64" t="s">
        <v>4145</v>
      </c>
      <c r="G10" s="64" t="s">
        <v>4146</v>
      </c>
      <c r="H10" s="64" t="s">
        <v>2389</v>
      </c>
      <c r="I10" s="65">
        <v>35290</v>
      </c>
      <c r="J10" s="64" t="s">
        <v>40</v>
      </c>
      <c r="K10" s="64" t="s">
        <v>3785</v>
      </c>
      <c r="L10" s="64" t="s">
        <v>42</v>
      </c>
      <c r="M10" s="64" t="s">
        <v>4147</v>
      </c>
      <c r="N10" s="66" t="s">
        <v>4249</v>
      </c>
      <c r="O10" s="64" t="s">
        <v>3772</v>
      </c>
      <c r="P10" s="64" t="s">
        <v>2347</v>
      </c>
      <c r="Q10" s="64" t="s">
        <v>3676</v>
      </c>
      <c r="R10" s="64">
        <v>8154859892</v>
      </c>
      <c r="S10" s="67">
        <v>101465040614</v>
      </c>
      <c r="T10" s="68">
        <v>24803</v>
      </c>
      <c r="U10" s="64">
        <v>3714193920</v>
      </c>
      <c r="V10" s="64" t="s">
        <v>4148</v>
      </c>
      <c r="W10" s="68" t="s">
        <v>4149</v>
      </c>
      <c r="X10" s="68" t="s">
        <v>4150</v>
      </c>
      <c r="Y10" s="64" t="s">
        <v>4151</v>
      </c>
      <c r="Z10" s="64" t="s">
        <v>65</v>
      </c>
      <c r="AA10" s="64" t="s">
        <v>4152</v>
      </c>
      <c r="AB10" s="64" t="s">
        <v>4152</v>
      </c>
      <c r="AC10" s="103" t="s">
        <v>4233</v>
      </c>
      <c r="AD10" s="64"/>
      <c r="AE10" s="64"/>
      <c r="AF10" s="64"/>
      <c r="AG10" s="86" t="s">
        <v>6101</v>
      </c>
      <c r="AH10" s="64"/>
      <c r="AI10" s="64"/>
      <c r="AJ10" s="64"/>
      <c r="AK10" s="64"/>
      <c r="AL10" s="64"/>
    </row>
    <row r="11" spans="1:38" s="27" customFormat="1" ht="22.15" customHeight="1">
      <c r="A11" s="63">
        <v>8</v>
      </c>
      <c r="B11" s="103" t="s">
        <v>4234</v>
      </c>
      <c r="C11" s="73" t="s">
        <v>4153</v>
      </c>
      <c r="D11" s="64" t="s">
        <v>4153</v>
      </c>
      <c r="E11" s="64" t="s">
        <v>682</v>
      </c>
      <c r="F11" s="64" t="s">
        <v>3477</v>
      </c>
      <c r="G11" s="64" t="s">
        <v>4106</v>
      </c>
      <c r="H11" s="64" t="s">
        <v>2389</v>
      </c>
      <c r="I11" s="65">
        <v>36568</v>
      </c>
      <c r="J11" s="64" t="s">
        <v>40</v>
      </c>
      <c r="K11" s="64" t="s">
        <v>3785</v>
      </c>
      <c r="L11" s="64" t="s">
        <v>42</v>
      </c>
      <c r="M11" s="64" t="s">
        <v>1104</v>
      </c>
      <c r="N11" s="66" t="s">
        <v>4249</v>
      </c>
      <c r="O11" s="64" t="s">
        <v>4154</v>
      </c>
      <c r="P11" s="64" t="s">
        <v>2347</v>
      </c>
      <c r="Q11" s="64" t="s">
        <v>3676</v>
      </c>
      <c r="R11" s="64">
        <v>9698853903</v>
      </c>
      <c r="S11" s="67">
        <v>101695343138</v>
      </c>
      <c r="T11" s="68">
        <v>24814</v>
      </c>
      <c r="U11" s="64">
        <v>3713934358</v>
      </c>
      <c r="V11" s="64" t="s">
        <v>4155</v>
      </c>
      <c r="W11" s="68" t="s">
        <v>4156</v>
      </c>
      <c r="X11" s="68" t="s">
        <v>4157</v>
      </c>
      <c r="Y11" s="64" t="s">
        <v>4140</v>
      </c>
      <c r="Z11" s="64" t="s">
        <v>65</v>
      </c>
      <c r="AA11" s="64" t="s">
        <v>4158</v>
      </c>
      <c r="AB11" s="64" t="s">
        <v>4158</v>
      </c>
      <c r="AC11" s="103" t="s">
        <v>4234</v>
      </c>
      <c r="AD11" s="64"/>
      <c r="AE11" s="64"/>
      <c r="AF11" s="64"/>
      <c r="AG11" s="86" t="s">
        <v>6102</v>
      </c>
      <c r="AH11" s="64"/>
      <c r="AI11" s="64"/>
      <c r="AJ11" s="64"/>
      <c r="AK11" s="64"/>
      <c r="AL11" s="64"/>
    </row>
    <row r="12" spans="1:38" s="27" customFormat="1" ht="22.15" customHeight="1">
      <c r="A12" s="63">
        <v>9</v>
      </c>
      <c r="B12" s="103" t="s">
        <v>4235</v>
      </c>
      <c r="C12" s="73" t="s">
        <v>4159</v>
      </c>
      <c r="D12" s="64" t="s">
        <v>4159</v>
      </c>
      <c r="E12" s="64" t="s">
        <v>136</v>
      </c>
      <c r="F12" s="64" t="s">
        <v>971</v>
      </c>
      <c r="G12" s="64" t="s">
        <v>768</v>
      </c>
      <c r="H12" s="64" t="s">
        <v>2345</v>
      </c>
      <c r="I12" s="65">
        <v>36178</v>
      </c>
      <c r="J12" s="64" t="s">
        <v>40</v>
      </c>
      <c r="K12" s="64" t="s">
        <v>3785</v>
      </c>
      <c r="L12" s="64" t="s">
        <v>42</v>
      </c>
      <c r="M12" s="64" t="s">
        <v>4160</v>
      </c>
      <c r="N12" s="66" t="s">
        <v>4249</v>
      </c>
      <c r="O12" s="64" t="s">
        <v>4161</v>
      </c>
      <c r="P12" s="64" t="s">
        <v>2347</v>
      </c>
      <c r="Q12" s="64" t="s">
        <v>3676</v>
      </c>
      <c r="R12" s="64">
        <v>7861911677</v>
      </c>
      <c r="S12" s="67">
        <v>101663794847</v>
      </c>
      <c r="T12" s="68">
        <v>24812</v>
      </c>
      <c r="U12" s="64">
        <v>3713741961</v>
      </c>
      <c r="V12" s="64" t="s">
        <v>4162</v>
      </c>
      <c r="W12" s="68" t="s">
        <v>4163</v>
      </c>
      <c r="X12" s="68" t="s">
        <v>4164</v>
      </c>
      <c r="Y12" s="64" t="s">
        <v>4165</v>
      </c>
      <c r="Z12" s="64" t="s">
        <v>65</v>
      </c>
      <c r="AA12" s="64" t="s">
        <v>4166</v>
      </c>
      <c r="AB12" s="64" t="s">
        <v>4166</v>
      </c>
      <c r="AC12" s="103" t="s">
        <v>4235</v>
      </c>
      <c r="AD12" s="64"/>
      <c r="AE12" s="64"/>
      <c r="AF12" s="64"/>
      <c r="AG12" s="86" t="s">
        <v>6103</v>
      </c>
      <c r="AH12" s="64"/>
      <c r="AI12" s="64"/>
      <c r="AJ12" s="64"/>
      <c r="AK12" s="64"/>
      <c r="AL12" s="64"/>
    </row>
    <row r="13" spans="1:38" s="27" customFormat="1" ht="22.15" customHeight="1">
      <c r="A13" s="63">
        <v>10</v>
      </c>
      <c r="B13" s="103" t="s">
        <v>4236</v>
      </c>
      <c r="C13" s="73" t="s">
        <v>4167</v>
      </c>
      <c r="D13" s="64" t="s">
        <v>4168</v>
      </c>
      <c r="E13" s="64" t="s">
        <v>249</v>
      </c>
      <c r="F13" s="64" t="s">
        <v>4117</v>
      </c>
      <c r="G13" s="64" t="s">
        <v>711</v>
      </c>
      <c r="H13" s="64" t="s">
        <v>2345</v>
      </c>
      <c r="I13" s="66" t="s">
        <v>4169</v>
      </c>
      <c r="J13" s="64" t="s">
        <v>40</v>
      </c>
      <c r="K13" s="64" t="s">
        <v>3785</v>
      </c>
      <c r="L13" s="64" t="s">
        <v>42</v>
      </c>
      <c r="M13" s="64" t="s">
        <v>4091</v>
      </c>
      <c r="N13" s="66" t="s">
        <v>4249</v>
      </c>
      <c r="O13" s="64" t="s">
        <v>44</v>
      </c>
      <c r="P13" s="64" t="s">
        <v>2347</v>
      </c>
      <c r="Q13" s="64" t="s">
        <v>3676</v>
      </c>
      <c r="R13" s="64">
        <v>9331634216</v>
      </c>
      <c r="S13" s="68">
        <v>101486611991</v>
      </c>
      <c r="T13" s="68">
        <v>24821</v>
      </c>
      <c r="U13" s="66" t="s">
        <v>4170</v>
      </c>
      <c r="V13" s="64" t="s">
        <v>4171</v>
      </c>
      <c r="W13" s="66" t="s">
        <v>4172</v>
      </c>
      <c r="X13" s="66" t="s">
        <v>4173</v>
      </c>
      <c r="Y13" s="64" t="s">
        <v>4140</v>
      </c>
      <c r="Z13" s="64" t="s">
        <v>65</v>
      </c>
      <c r="AA13" s="64" t="s">
        <v>4174</v>
      </c>
      <c r="AB13" s="64" t="s">
        <v>4174</v>
      </c>
      <c r="AC13" s="103" t="s">
        <v>4236</v>
      </c>
      <c r="AD13" s="64"/>
      <c r="AE13" s="64"/>
      <c r="AF13" s="64"/>
      <c r="AG13" s="86" t="s">
        <v>6104</v>
      </c>
      <c r="AH13" s="64"/>
      <c r="AI13" s="64"/>
      <c r="AJ13" s="64"/>
      <c r="AK13" s="64"/>
      <c r="AL13" s="64"/>
    </row>
    <row r="14" spans="1:38" s="27" customFormat="1" ht="22.15" customHeight="1">
      <c r="A14" s="63">
        <v>11</v>
      </c>
      <c r="B14" s="103" t="s">
        <v>4237</v>
      </c>
      <c r="C14" s="73" t="s">
        <v>4175</v>
      </c>
      <c r="D14" s="64" t="s">
        <v>4176</v>
      </c>
      <c r="E14" s="64" t="s">
        <v>122</v>
      </c>
      <c r="F14" s="64" t="s">
        <v>4177</v>
      </c>
      <c r="G14" s="64" t="s">
        <v>4178</v>
      </c>
      <c r="H14" s="64" t="s">
        <v>2389</v>
      </c>
      <c r="I14" s="66" t="s">
        <v>4179</v>
      </c>
      <c r="J14" s="64" t="s">
        <v>40</v>
      </c>
      <c r="K14" s="64" t="s">
        <v>3785</v>
      </c>
      <c r="L14" s="64" t="s">
        <v>42</v>
      </c>
      <c r="M14" s="64" t="s">
        <v>4180</v>
      </c>
      <c r="N14" s="66" t="s">
        <v>4249</v>
      </c>
      <c r="O14" s="64" t="s">
        <v>3880</v>
      </c>
      <c r="P14" s="64" t="s">
        <v>2347</v>
      </c>
      <c r="Q14" s="64" t="s">
        <v>3676</v>
      </c>
      <c r="R14" s="64">
        <v>9265244081</v>
      </c>
      <c r="S14" s="68">
        <v>101613311758</v>
      </c>
      <c r="T14" s="68">
        <v>25702</v>
      </c>
      <c r="U14" s="66" t="s">
        <v>4181</v>
      </c>
      <c r="V14" s="64"/>
      <c r="W14" s="66" t="s">
        <v>4182</v>
      </c>
      <c r="X14" s="66" t="s">
        <v>4183</v>
      </c>
      <c r="Y14" s="64" t="s">
        <v>4184</v>
      </c>
      <c r="Z14" s="64" t="s">
        <v>65</v>
      </c>
      <c r="AA14" s="64" t="s">
        <v>4185</v>
      </c>
      <c r="AB14" s="64" t="s">
        <v>4185</v>
      </c>
      <c r="AC14" s="103" t="s">
        <v>4237</v>
      </c>
      <c r="AD14" s="64"/>
      <c r="AE14" s="64"/>
      <c r="AF14" s="64"/>
      <c r="AG14" s="86" t="s">
        <v>6105</v>
      </c>
      <c r="AH14" s="64"/>
      <c r="AI14" s="64"/>
      <c r="AJ14" s="64"/>
      <c r="AK14" s="64"/>
      <c r="AL14" s="64"/>
    </row>
    <row r="15" spans="1:38" s="27" customFormat="1" ht="22.15" customHeight="1">
      <c r="A15" s="63">
        <v>12</v>
      </c>
      <c r="B15" s="103" t="s">
        <v>4238</v>
      </c>
      <c r="C15" s="73" t="s">
        <v>4186</v>
      </c>
      <c r="D15" s="64" t="s">
        <v>4186</v>
      </c>
      <c r="E15" s="64" t="s">
        <v>754</v>
      </c>
      <c r="F15" s="64" t="s">
        <v>4187</v>
      </c>
      <c r="G15" s="64" t="s">
        <v>4188</v>
      </c>
      <c r="H15" s="64" t="s">
        <v>2345</v>
      </c>
      <c r="I15" s="66" t="s">
        <v>4189</v>
      </c>
      <c r="J15" s="64" t="s">
        <v>40</v>
      </c>
      <c r="K15" s="64" t="s">
        <v>3785</v>
      </c>
      <c r="L15" s="64" t="s">
        <v>42</v>
      </c>
      <c r="M15" s="64" t="s">
        <v>4190</v>
      </c>
      <c r="N15" s="66" t="s">
        <v>4249</v>
      </c>
      <c r="O15" s="64" t="s">
        <v>44</v>
      </c>
      <c r="P15" s="64" t="s">
        <v>2347</v>
      </c>
      <c r="Q15" s="64" t="s">
        <v>3676</v>
      </c>
      <c r="R15" s="64">
        <v>9879584194</v>
      </c>
      <c r="S15" s="68">
        <v>101831612123</v>
      </c>
      <c r="T15" s="68">
        <v>27147</v>
      </c>
      <c r="U15" s="66" t="s">
        <v>4191</v>
      </c>
      <c r="V15" s="64" t="s">
        <v>4192</v>
      </c>
      <c r="W15" s="66" t="s">
        <v>4193</v>
      </c>
      <c r="X15" s="66" t="s">
        <v>4194</v>
      </c>
      <c r="Y15" s="64" t="s">
        <v>4195</v>
      </c>
      <c r="Z15" s="64" t="s">
        <v>146</v>
      </c>
      <c r="AA15" s="64" t="s">
        <v>4196</v>
      </c>
      <c r="AB15" s="64" t="s">
        <v>4196</v>
      </c>
      <c r="AC15" s="103" t="s">
        <v>4238</v>
      </c>
      <c r="AD15" s="64"/>
      <c r="AE15" s="64"/>
      <c r="AF15" s="64"/>
      <c r="AG15" s="86" t="s">
        <v>6106</v>
      </c>
      <c r="AH15" s="64"/>
      <c r="AI15" s="64"/>
      <c r="AJ15" s="64"/>
      <c r="AK15" s="64"/>
      <c r="AL15" s="64"/>
    </row>
    <row r="16" spans="1:38" s="27" customFormat="1" ht="22.15" customHeight="1">
      <c r="A16" s="63">
        <v>13</v>
      </c>
      <c r="B16" s="103" t="s">
        <v>4239</v>
      </c>
      <c r="C16" s="73" t="s">
        <v>4197</v>
      </c>
      <c r="D16" s="64" t="s">
        <v>4197</v>
      </c>
      <c r="E16" s="64" t="s">
        <v>4198</v>
      </c>
      <c r="F16" s="64" t="s">
        <v>4199</v>
      </c>
      <c r="G16" s="64" t="s">
        <v>3406</v>
      </c>
      <c r="H16" s="64" t="s">
        <v>2389</v>
      </c>
      <c r="I16" s="66" t="s">
        <v>4200</v>
      </c>
      <c r="J16" s="64" t="s">
        <v>40</v>
      </c>
      <c r="K16" s="64" t="s">
        <v>3785</v>
      </c>
      <c r="L16" s="64" t="s">
        <v>42</v>
      </c>
      <c r="M16" s="64" t="s">
        <v>4201</v>
      </c>
      <c r="N16" s="66" t="s">
        <v>4249</v>
      </c>
      <c r="O16" s="64" t="s">
        <v>2111</v>
      </c>
      <c r="P16" s="64" t="s">
        <v>2347</v>
      </c>
      <c r="Q16" s="64" t="s">
        <v>3676</v>
      </c>
      <c r="R16" s="64">
        <v>9726504157</v>
      </c>
      <c r="S16" s="68">
        <v>101834054045</v>
      </c>
      <c r="T16" s="68">
        <v>27200</v>
      </c>
      <c r="U16" s="66" t="s">
        <v>4202</v>
      </c>
      <c r="V16" s="64" t="s">
        <v>4203</v>
      </c>
      <c r="W16" s="66" t="s">
        <v>4204</v>
      </c>
      <c r="X16" s="66" t="s">
        <v>4205</v>
      </c>
      <c r="Y16" s="64" t="s">
        <v>4142</v>
      </c>
      <c r="Z16" s="64" t="s">
        <v>146</v>
      </c>
      <c r="AA16" s="64" t="s">
        <v>4206</v>
      </c>
      <c r="AB16" s="64" t="s">
        <v>4206</v>
      </c>
      <c r="AC16" s="103" t="s">
        <v>4239</v>
      </c>
      <c r="AD16" s="64"/>
      <c r="AE16" s="64"/>
      <c r="AF16" s="64"/>
      <c r="AG16" s="86" t="s">
        <v>6107</v>
      </c>
      <c r="AH16" s="64"/>
      <c r="AI16" s="64"/>
      <c r="AJ16" s="64"/>
      <c r="AK16" s="64"/>
      <c r="AL16" s="64"/>
    </row>
    <row r="17" spans="1:38" s="27" customFormat="1" ht="22.15" customHeight="1">
      <c r="A17" s="63">
        <v>14</v>
      </c>
      <c r="B17" s="103" t="s">
        <v>4240</v>
      </c>
      <c r="C17" s="73" t="s">
        <v>4207</v>
      </c>
      <c r="D17" s="64" t="s">
        <v>4207</v>
      </c>
      <c r="E17" s="64" t="s">
        <v>2421</v>
      </c>
      <c r="F17" s="64" t="s">
        <v>4208</v>
      </c>
      <c r="G17" s="64" t="s">
        <v>4209</v>
      </c>
      <c r="H17" s="64" t="s">
        <v>2389</v>
      </c>
      <c r="I17" s="66" t="s">
        <v>4210</v>
      </c>
      <c r="J17" s="64" t="s">
        <v>40</v>
      </c>
      <c r="K17" s="64" t="s">
        <v>3785</v>
      </c>
      <c r="L17" s="64" t="s">
        <v>42</v>
      </c>
      <c r="M17" s="64" t="s">
        <v>1104</v>
      </c>
      <c r="N17" s="66" t="s">
        <v>4249</v>
      </c>
      <c r="O17" s="64" t="s">
        <v>3772</v>
      </c>
      <c r="P17" s="64" t="s">
        <v>2347</v>
      </c>
      <c r="Q17" s="64" t="s">
        <v>3676</v>
      </c>
      <c r="R17" s="64">
        <v>7202871289</v>
      </c>
      <c r="S17" s="68">
        <v>101832936903</v>
      </c>
      <c r="T17" s="68">
        <v>27180</v>
      </c>
      <c r="U17" s="66" t="s">
        <v>4211</v>
      </c>
      <c r="V17" s="64" t="s">
        <v>4212</v>
      </c>
      <c r="W17" s="66" t="s">
        <v>4213</v>
      </c>
      <c r="X17" s="66" t="s">
        <v>4214</v>
      </c>
      <c r="Y17" s="64" t="s">
        <v>4142</v>
      </c>
      <c r="Z17" s="64" t="s">
        <v>146</v>
      </c>
      <c r="AA17" s="64" t="s">
        <v>4215</v>
      </c>
      <c r="AB17" s="64" t="s">
        <v>4215</v>
      </c>
      <c r="AC17" s="103" t="s">
        <v>4240</v>
      </c>
      <c r="AD17" s="64"/>
      <c r="AE17" s="64"/>
      <c r="AF17" s="64"/>
      <c r="AG17" s="86" t="s">
        <v>6108</v>
      </c>
      <c r="AH17" s="64"/>
      <c r="AI17" s="64"/>
      <c r="AJ17" s="64"/>
      <c r="AK17" s="64"/>
      <c r="AL17" s="64"/>
    </row>
    <row r="18" spans="1:38" s="27" customFormat="1" ht="22.15" customHeight="1">
      <c r="A18" s="63">
        <v>15</v>
      </c>
      <c r="B18" s="103" t="s">
        <v>4241</v>
      </c>
      <c r="C18" s="73" t="s">
        <v>4216</v>
      </c>
      <c r="D18" s="64" t="s">
        <v>4217</v>
      </c>
      <c r="E18" s="64" t="s">
        <v>4218</v>
      </c>
      <c r="F18" s="64" t="s">
        <v>4219</v>
      </c>
      <c r="G18" s="64" t="s">
        <v>4220</v>
      </c>
      <c r="H18" s="64" t="s">
        <v>2345</v>
      </c>
      <c r="I18" s="66" t="s">
        <v>4221</v>
      </c>
      <c r="J18" s="64" t="s">
        <v>40</v>
      </c>
      <c r="K18" s="64" t="s">
        <v>3785</v>
      </c>
      <c r="L18" s="64" t="s">
        <v>42</v>
      </c>
      <c r="M18" s="64" t="s">
        <v>4222</v>
      </c>
      <c r="N18" s="66" t="s">
        <v>4249</v>
      </c>
      <c r="O18" s="64" t="s">
        <v>4161</v>
      </c>
      <c r="P18" s="64" t="s">
        <v>2347</v>
      </c>
      <c r="Q18" s="64" t="s">
        <v>3676</v>
      </c>
      <c r="R18" s="64">
        <v>9998960149</v>
      </c>
      <c r="S18" s="68">
        <v>101844180773</v>
      </c>
      <c r="T18" s="68">
        <v>27436</v>
      </c>
      <c r="U18" s="66" t="s">
        <v>4223</v>
      </c>
      <c r="V18" s="64" t="s">
        <v>4224</v>
      </c>
      <c r="W18" s="66" t="s">
        <v>4225</v>
      </c>
      <c r="X18" s="66" t="s">
        <v>4226</v>
      </c>
      <c r="Y18" s="64" t="s">
        <v>4227</v>
      </c>
      <c r="Z18" s="64" t="s">
        <v>146</v>
      </c>
      <c r="AA18" s="64" t="s">
        <v>4228</v>
      </c>
      <c r="AB18" s="64" t="s">
        <v>4228</v>
      </c>
      <c r="AC18" s="103" t="s">
        <v>4241</v>
      </c>
      <c r="AD18" s="64"/>
      <c r="AE18" s="64"/>
      <c r="AF18" s="64"/>
      <c r="AG18" s="86" t="s">
        <v>6109</v>
      </c>
      <c r="AH18" s="64"/>
      <c r="AI18" s="64"/>
      <c r="AJ18" s="64"/>
      <c r="AK18" s="64"/>
      <c r="AL18" s="64"/>
    </row>
    <row r="19" spans="1:38" ht="45">
      <c r="A19" s="63">
        <v>16</v>
      </c>
      <c r="B19" s="104" t="s">
        <v>4245</v>
      </c>
      <c r="C19" s="73" t="s">
        <v>4229</v>
      </c>
      <c r="D19" s="64" t="s">
        <v>4229</v>
      </c>
      <c r="E19" s="64" t="s">
        <v>3781</v>
      </c>
      <c r="F19" s="64" t="s">
        <v>4246</v>
      </c>
      <c r="G19" s="64" t="s">
        <v>4247</v>
      </c>
      <c r="H19" s="64" t="s">
        <v>2345</v>
      </c>
      <c r="I19" s="65">
        <v>34561</v>
      </c>
      <c r="J19" s="64" t="s">
        <v>40</v>
      </c>
      <c r="K19" s="64" t="s">
        <v>3785</v>
      </c>
      <c r="L19" s="64" t="s">
        <v>42</v>
      </c>
      <c r="M19" s="64" t="s">
        <v>4248</v>
      </c>
      <c r="N19" s="65">
        <v>44882</v>
      </c>
      <c r="O19" s="64" t="s">
        <v>4250</v>
      </c>
      <c r="P19" s="64" t="s">
        <v>2347</v>
      </c>
      <c r="Q19" s="64" t="s">
        <v>3676</v>
      </c>
      <c r="R19" s="64" t="s">
        <v>4251</v>
      </c>
      <c r="S19" s="67">
        <v>101898017169</v>
      </c>
      <c r="T19" s="64">
        <v>28098</v>
      </c>
      <c r="U19" s="64" t="s">
        <v>4252</v>
      </c>
      <c r="V19" s="64" t="s">
        <v>4253</v>
      </c>
      <c r="W19" s="69" t="s">
        <v>4254</v>
      </c>
      <c r="X19" s="64" t="s">
        <v>4255</v>
      </c>
      <c r="Y19" s="64" t="s">
        <v>4256</v>
      </c>
      <c r="Z19" s="64" t="s">
        <v>65</v>
      </c>
      <c r="AA19" s="64" t="s">
        <v>4257</v>
      </c>
      <c r="AB19" s="64" t="s">
        <v>4257</v>
      </c>
      <c r="AC19" s="103" t="s">
        <v>4245</v>
      </c>
      <c r="AD19" s="64"/>
      <c r="AE19" s="64"/>
      <c r="AF19" s="64"/>
      <c r="AG19" s="86" t="s">
        <v>6114</v>
      </c>
      <c r="AH19" s="64"/>
      <c r="AI19" s="64"/>
      <c r="AJ19" s="64"/>
      <c r="AK19" s="64"/>
      <c r="AL19" s="64"/>
    </row>
    <row r="20" spans="1:38" s="74" customFormat="1" ht="30">
      <c r="A20" s="63">
        <v>17</v>
      </c>
      <c r="B20" s="103" t="s">
        <v>6110</v>
      </c>
      <c r="C20" s="64" t="s">
        <v>3705</v>
      </c>
      <c r="D20" s="64" t="s">
        <v>3706</v>
      </c>
      <c r="E20" s="64" t="s">
        <v>1428</v>
      </c>
      <c r="F20" s="64" t="s">
        <v>1065</v>
      </c>
      <c r="G20" s="64" t="s">
        <v>2396</v>
      </c>
      <c r="H20" s="64" t="s">
        <v>2345</v>
      </c>
      <c r="I20" s="64" t="s">
        <v>2397</v>
      </c>
      <c r="J20" s="64" t="s">
        <v>40</v>
      </c>
      <c r="K20" s="58" t="s">
        <v>3785</v>
      </c>
      <c r="L20" s="64" t="s">
        <v>42</v>
      </c>
      <c r="M20" s="64" t="s">
        <v>43</v>
      </c>
      <c r="N20" s="65">
        <v>44866</v>
      </c>
      <c r="O20" s="64" t="s">
        <v>44</v>
      </c>
      <c r="P20" s="64" t="s">
        <v>2347</v>
      </c>
      <c r="Q20" s="64" t="s">
        <v>3676</v>
      </c>
      <c r="R20" s="64" t="s">
        <v>2398</v>
      </c>
      <c r="S20" s="67">
        <v>101843640022</v>
      </c>
      <c r="T20" s="64">
        <v>28043</v>
      </c>
      <c r="U20" s="64" t="s">
        <v>2399</v>
      </c>
      <c r="V20" s="64" t="s">
        <v>2400</v>
      </c>
      <c r="W20" s="64" t="s">
        <v>2401</v>
      </c>
      <c r="X20" s="64" t="s">
        <v>2402</v>
      </c>
      <c r="Y20" s="64" t="s">
        <v>2403</v>
      </c>
      <c r="Z20" s="58" t="s">
        <v>146</v>
      </c>
      <c r="AA20" s="64" t="s">
        <v>2404</v>
      </c>
      <c r="AB20" s="64" t="s">
        <v>2404</v>
      </c>
      <c r="AC20" s="103" t="s">
        <v>6110</v>
      </c>
      <c r="AD20" s="64"/>
      <c r="AE20" s="64"/>
      <c r="AF20" s="64"/>
      <c r="AG20" s="86" t="s">
        <v>5349</v>
      </c>
      <c r="AH20" s="64"/>
      <c r="AI20" s="64"/>
      <c r="AJ20" s="64"/>
      <c r="AK20" s="64"/>
      <c r="AL20" s="64"/>
    </row>
  </sheetData>
  <autoFilter ref="A3:AL19">
    <filterColumn colId="14"/>
  </autoFilter>
  <mergeCells count="1">
    <mergeCell ref="A1:L1"/>
  </mergeCells>
  <conditionalFormatting sqref="X3">
    <cfRule type="duplicateValues" dxfId="15" priority="30"/>
  </conditionalFormatting>
  <conditionalFormatting sqref="S3:U3">
    <cfRule type="duplicateValues" dxfId="14" priority="29"/>
  </conditionalFormatting>
  <conditionalFormatting sqref="U3">
    <cfRule type="duplicateValues" dxfId="13" priority="28"/>
  </conditionalFormatting>
  <conditionalFormatting sqref="S3:T3">
    <cfRule type="duplicateValues" dxfId="12" priority="27"/>
  </conditionalFormatting>
  <conditionalFormatting sqref="X1">
    <cfRule type="duplicateValues" dxfId="11" priority="26"/>
  </conditionalFormatting>
  <conditionalFormatting sqref="S1:U1">
    <cfRule type="duplicateValues" dxfId="10" priority="25"/>
  </conditionalFormatting>
  <conditionalFormatting sqref="X2">
    <cfRule type="duplicateValues" dxfId="9" priority="24"/>
  </conditionalFormatting>
  <conditionalFormatting sqref="S2:U2">
    <cfRule type="duplicateValues" dxfId="8" priority="23"/>
  </conditionalFormatting>
  <conditionalFormatting sqref="A3:B3">
    <cfRule type="duplicateValues" dxfId="7" priority="21"/>
  </conditionalFormatting>
  <conditionalFormatting sqref="B1:B18 B20:B1048576">
    <cfRule type="duplicateValues" dxfId="6" priority="20"/>
  </conditionalFormatting>
  <conditionalFormatting sqref="U14">
    <cfRule type="duplicateValues" dxfId="5" priority="19"/>
  </conditionalFormatting>
  <conditionalFormatting sqref="U4:U13">
    <cfRule type="duplicateValues" dxfId="4" priority="72"/>
  </conditionalFormatting>
  <conditionalFormatting sqref="U15:U18">
    <cfRule type="duplicateValues" dxfId="3" priority="86"/>
  </conditionalFormatting>
  <conditionalFormatting sqref="B2">
    <cfRule type="duplicateValues" dxfId="2" priority="6"/>
  </conditionalFormatting>
  <conditionalFormatting sqref="B20">
    <cfRule type="duplicateValues" dxfId="1" priority="5"/>
  </conditionalFormatting>
  <conditionalFormatting sqref="AC20">
    <cfRule type="duplicateValues" dxfId="0" priority="4"/>
  </conditionalFormatting>
  <hyperlinks>
    <hyperlink ref="AG4" r:id="rId1"/>
    <hyperlink ref="AG5" r:id="rId2"/>
    <hyperlink ref="AG6" r:id="rId3"/>
    <hyperlink ref="AG7" r:id="rId4"/>
    <hyperlink ref="AG8" r:id="rId5"/>
    <hyperlink ref="AG9" r:id="rId6"/>
    <hyperlink ref="AG10" r:id="rId7"/>
    <hyperlink ref="AG11" r:id="rId8"/>
    <hyperlink ref="AG12" r:id="rId9"/>
    <hyperlink ref="AG13" r:id="rId10"/>
    <hyperlink ref="AG14" r:id="rId11"/>
    <hyperlink ref="AG15" r:id="rId12"/>
    <hyperlink ref="AG16" r:id="rId13"/>
    <hyperlink ref="AG17" r:id="rId14"/>
    <hyperlink ref="AG18" r:id="rId15"/>
    <hyperlink ref="AG20" r:id="rId16"/>
    <hyperlink ref="AG19" r:id="rId17"/>
  </hyperlinks>
  <pageMargins left="0.70866141732283472" right="0.2" top="0.74803149606299213" bottom="0.74803149606299213" header="0.31496062992125984" footer="0.31496062992125984"/>
  <pageSetup paperSize="9" scale="113" orientation="portrait" verticalDpi="0" r:id="rId18"/>
</worksheet>
</file>

<file path=xl/worksheets/sheet5.xml><?xml version="1.0" encoding="utf-8"?>
<worksheet xmlns="http://schemas.openxmlformats.org/spreadsheetml/2006/main" xmlns:r="http://schemas.openxmlformats.org/officeDocument/2006/relationships">
  <dimension ref="B2:D30"/>
  <sheetViews>
    <sheetView workbookViewId="0">
      <selection activeCell="D32" sqref="D32:E32"/>
    </sheetView>
  </sheetViews>
  <sheetFormatPr defaultRowHeight="15"/>
  <cols>
    <col min="3" max="4" width="17.85546875" bestFit="1" customWidth="1"/>
  </cols>
  <sheetData>
    <row r="2" spans="2:4">
      <c r="B2" s="80" t="s">
        <v>6130</v>
      </c>
    </row>
    <row r="10" spans="2:4">
      <c r="C10" s="81">
        <v>372353104942</v>
      </c>
      <c r="D10" t="s">
        <v>6233</v>
      </c>
    </row>
    <row r="12" spans="2:4">
      <c r="C12" s="105"/>
    </row>
    <row r="14" spans="2:4">
      <c r="C14" s="81"/>
    </row>
    <row r="18" spans="4:4">
      <c r="D18" s="105"/>
    </row>
    <row r="20" spans="4:4">
      <c r="D20" s="105"/>
    </row>
    <row r="22" spans="4:4">
      <c r="D22" s="105"/>
    </row>
    <row r="24" spans="4:4">
      <c r="D24" s="105"/>
    </row>
    <row r="26" spans="4:4">
      <c r="D26" s="81"/>
    </row>
    <row r="27" spans="4:4">
      <c r="D27" s="81"/>
    </row>
    <row r="30" spans="4:4">
      <c r="D30" s="105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AHMEDABAD</vt:lpstr>
      <vt:lpstr>BHAVNAGAR</vt:lpstr>
      <vt:lpstr>RAJKOT</vt:lpstr>
      <vt:lpstr>SIDDHPUR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VIJAY</cp:lastModifiedBy>
  <cp:lastPrinted>2023-02-01T10:52:52Z</cp:lastPrinted>
  <dcterms:created xsi:type="dcterms:W3CDTF">2022-12-27T08:33:52Z</dcterms:created>
  <dcterms:modified xsi:type="dcterms:W3CDTF">2025-02-03T05:36:57Z</dcterms:modified>
</cp:coreProperties>
</file>